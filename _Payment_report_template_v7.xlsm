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m_card\processing\program\"/>
    </mc:Choice>
  </mc:AlternateContent>
  <xr:revisionPtr revIDLastSave="0" documentId="13_ncr:1_{BF278F08-07D2-404E-A934-B2CA777E024C}" xr6:coauthVersionLast="47" xr6:coauthVersionMax="47" xr10:uidLastSave="{00000000-0000-0000-0000-000000000000}"/>
  <bookViews>
    <workbookView xWindow="28680" yWindow="-120" windowWidth="29040" windowHeight="15720" xr2:uid="{D4CDD53F-D95D-4030-A566-40236CBB9DA1}"/>
  </bookViews>
  <sheets>
    <sheet name="Payment_Term_History" sheetId="1" r:id="rId1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1" l="1" a="1"/>
  <c r="F2" i="1" a="1"/>
  <c r="E2" i="1" a="1"/>
  <c r="C2" i="1" a="1"/>
  <c r="S2" i="1" l="1"/>
  <c r="F2" i="1"/>
  <c r="E2" i="1"/>
  <c r="C2" i="1"/>
  <c r="H2" i="1" l="1" a="1"/>
  <c r="G2" i="1" a="1"/>
  <c r="H2" i="1" l="1"/>
  <c r="G2" i="1"/>
  <c r="L2" i="1" l="1" a="1"/>
  <c r="L2" i="1" s="1"/>
  <c r="B2" i="1" l="1"/>
  <c r="AE2" i="1" l="1" a="1"/>
  <c r="AE2" i="1" s="1"/>
  <c r="AE3" i="1" a="1"/>
  <c r="AE3" i="1" s="1"/>
  <c r="AE4" i="1" a="1"/>
  <c r="AE4" i="1" s="1"/>
  <c r="A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<sst xmlns="http://schemas.openxmlformats.org/spreadsheetml/2006/main" count="45" uniqueCount="42">
  <si>
    <t>number</t>
  </si>
  <si>
    <t>month</t>
  </si>
  <si>
    <t>name</t>
  </si>
  <si>
    <t>pamcode</t>
  </si>
  <si>
    <t>old_contract_id</t>
  </si>
  <si>
    <t>product</t>
  </si>
  <si>
    <t>current_status</t>
  </si>
  <si>
    <t>current_mode</t>
  </si>
  <si>
    <t>payment_amount</t>
  </si>
  <si>
    <t>expense</t>
  </si>
  <si>
    <t>channel_payment</t>
  </si>
  <si>
    <t>payment_remark</t>
  </si>
  <si>
    <t>portfolio</t>
  </si>
  <si>
    <t>payment_note</t>
  </si>
  <si>
    <t>source</t>
  </si>
  <si>
    <t>C:\Pam_card\_Data_Status.xlsx</t>
  </si>
  <si>
    <t>Status_list</t>
  </si>
  <si>
    <t>data_table</t>
  </si>
  <si>
    <t>payment_code</t>
  </si>
  <si>
    <t>doc_id</t>
  </si>
  <si>
    <t>payment_date</t>
  </si>
  <si>
    <t>billing_address</t>
  </si>
  <si>
    <t>billing_note</t>
  </si>
  <si>
    <t>Counter</t>
  </si>
  <si>
    <t>discount</t>
  </si>
  <si>
    <t>verdict</t>
  </si>
  <si>
    <t>payment</t>
  </si>
  <si>
    <t>Adjust Part</t>
  </si>
  <si>
    <t>Sheet name</t>
  </si>
  <si>
    <t>Payment Term History</t>
  </si>
  <si>
    <t>Name</t>
  </si>
  <si>
    <t>effective_date</t>
  </si>
  <si>
    <t>Responsible</t>
  </si>
  <si>
    <t>OA</t>
  </si>
  <si>
    <t>status_QMC</t>
  </si>
  <si>
    <t>detail_note</t>
  </si>
  <si>
    <t>BBL</t>
  </si>
  <si>
    <t>QMC</t>
  </si>
  <si>
    <t>C:\Pam_card\_Data_CutOff_v19.xlsx</t>
  </si>
  <si>
    <t>Full Payment</t>
  </si>
  <si>
    <t>CM</t>
  </si>
  <si>
    <t>41 ม.2   ต.นาทราย อ.ลี้ จ.ลำพูน 51110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</si>
</sst>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[$-409]mmm\-yy;@"/>
    <numFmt numFmtId="165" formatCode="_-* #,##0.00_-;\-* #,##0.00_-;_-* &quot;-&quot;??_-;_-@_-"/>
    <numFmt numFmtId="166" formatCode="[$-409]d/mmm/yyyy;@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ptos Narrow"/>
      <family val="2"/>
      <charset val="222"/>
      <scheme val="minor"/>
    </font>
    <font>
      <b/>
      <sz val="11"/>
      <color theme="0"/>
      <name val="Arial"/>
      <family val="2"/>
    </font>
    <font>
      <sz val="11"/>
      <name val="Aptos Narrow"/>
      <family val="2"/>
      <scheme val="minor"/>
    </font>
    <font>
      <sz val="14"/>
      <name val="Consolas"/>
      <family val="3"/>
    </font>
    <font>
      <u/>
      <sz val="11"/>
      <color theme="10"/>
      <name val="Aptos Narrow"/>
      <family val="2"/>
      <scheme val="minor"/>
    </font>
    <font>
      <b/>
      <sz val="11"/>
      <color rgb="FFFF0000"/>
      <name val="Arial"/>
      <family val="2"/>
    </font>
    <font>
      <b/>
      <sz val="14"/>
      <color rgb="FFFF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5" fontId="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4">
    <xf numFmtId="0" fontId="0" fillId="0" borderId="0" xfId="0"/>
    <xf numFmtId="1" fontId="2" fillId="2" borderId="2" xfId="3" applyNumberFormat="1" applyFont="1" applyFill="1" applyBorder="1" applyAlignment="1" applyProtection="1">
      <alignment horizontal="center"/>
      <protection locked="0"/>
    </xf>
    <xf numFmtId="0" fontId="2" fillId="0" borderId="2" xfId="2" applyFont="1" applyBorder="1" applyAlignment="1">
      <alignment horizontal="left" vertical="center"/>
    </xf>
    <xf numFmtId="43" fontId="2" fillId="2" borderId="2" xfId="3" applyFont="1" applyFill="1" applyBorder="1" applyAlignment="1" applyProtection="1">
      <alignment horizontal="left" vertical="center"/>
      <protection locked="0"/>
    </xf>
    <xf numFmtId="165" fontId="4" fillId="2" borderId="2" xfId="1" applyFont="1" applyFill="1" applyBorder="1" applyAlignment="1" applyProtection="1">
      <alignment horizontal="left" vertical="center"/>
      <protection locked="0"/>
    </xf>
    <xf numFmtId="0" fontId="2" fillId="2" borderId="4" xfId="2" applyFont="1" applyFill="1" applyBorder="1" applyAlignment="1" applyProtection="1">
      <alignment horizontal="left" vertical="center"/>
      <protection locked="0"/>
    </xf>
    <xf numFmtId="14" fontId="2" fillId="2" borderId="4" xfId="2" applyNumberFormat="1" applyFont="1" applyFill="1" applyBorder="1" applyAlignment="1" applyProtection="1">
      <alignment horizontal="left" vertical="center"/>
      <protection locked="0"/>
    </xf>
    <xf numFmtId="166" fontId="2" fillId="2" borderId="1" xfId="2" applyNumberFormat="1" applyFont="1" applyFill="1" applyBorder="1" applyAlignment="1" applyProtection="1">
      <alignment horizontal="left" vertical="center"/>
      <protection locked="0"/>
    </xf>
    <xf numFmtId="0" fontId="1" fillId="0" borderId="0" xfId="2"/>
    <xf numFmtId="0" fontId="0" fillId="3" borderId="0" xfId="2" applyFont="1" applyFill="1"/>
    <xf numFmtId="0" fontId="1" fillId="0" borderId="2" xfId="2" applyBorder="1"/>
    <xf numFmtId="164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2" applyFont="1" applyBorder="1" applyAlignment="1" applyProtection="1">
      <alignment horizontal="center"/>
      <protection locked="0"/>
    </xf>
    <xf numFmtId="0" fontId="5" fillId="0" borderId="2" xfId="2" applyFont="1" applyBorder="1" applyAlignment="1" applyProtection="1">
      <alignment vertical="center"/>
      <protection locked="0"/>
    </xf>
    <xf numFmtId="0" fontId="5" fillId="0" borderId="2" xfId="2" applyFont="1" applyBorder="1" applyAlignment="1">
      <alignment horizontal="center"/>
    </xf>
    <xf numFmtId="166" fontId="5" fillId="0" borderId="2" xfId="3" applyNumberFormat="1" applyFont="1" applyFill="1" applyBorder="1" applyAlignment="1" applyProtection="1">
      <alignment horizontal="center"/>
    </xf>
    <xf numFmtId="43" fontId="5" fillId="0" borderId="2" xfId="3" applyFont="1" applyFill="1" applyBorder="1" applyAlignment="1" applyProtection="1">
      <alignment horizontal="center"/>
      <protection locked="0"/>
    </xf>
    <xf numFmtId="0" fontId="6" fillId="0" borderId="2" xfId="2" applyFont="1" applyBorder="1" applyAlignment="1" applyProtection="1">
      <alignment horizontal="center"/>
      <protection locked="0"/>
    </xf>
    <xf numFmtId="0" fontId="7" fillId="0" borderId="0" xfId="4" applyFill="1"/>
    <xf numFmtId="0" fontId="1" fillId="4" borderId="0" xfId="2" applyFill="1"/>
    <xf numFmtId="0" fontId="1" fillId="0" borderId="0" xfId="2" applyProtection="1">
      <protection locked="0"/>
    </xf>
    <xf numFmtId="1" fontId="0" fillId="0" borderId="0" xfId="3" applyNumberFormat="1" applyFont="1" applyAlignment="1" applyProtection="1">
      <alignment horizontal="center"/>
      <protection locked="0"/>
    </xf>
    <xf numFmtId="43" fontId="0" fillId="0" borderId="0" xfId="3" applyFont="1" applyProtection="1"/>
    <xf numFmtId="165" fontId="1" fillId="0" borderId="0" xfId="1" applyFont="1" applyProtection="1">
      <protection locked="0"/>
    </xf>
    <xf numFmtId="0" fontId="1" fillId="5" borderId="0" xfId="2" applyFill="1"/>
    <xf numFmtId="43" fontId="5" fillId="0" borderId="5" xfId="1" applyNumberFormat="1" applyFont="1" applyFill="1" applyBorder="1" applyAlignment="1" applyProtection="1">
      <alignment horizontal="center"/>
      <protection locked="0"/>
    </xf>
    <xf numFmtId="14" fontId="5" fillId="0" borderId="2" xfId="3" applyNumberFormat="1" applyFont="1" applyFill="1" applyBorder="1" applyAlignment="1" applyProtection="1">
      <alignment horizontal="center"/>
      <protection locked="0"/>
    </xf>
    <xf numFmtId="14" fontId="1" fillId="0" borderId="0" xfId="2" applyNumberFormat="1" applyProtection="1">
      <protection locked="0"/>
    </xf>
    <xf numFmtId="0" fontId="5" fillId="0" borderId="2" xfId="3" applyNumberFormat="1" applyFont="1" applyBorder="1" applyAlignment="1" applyProtection="1">
      <alignment horizontal="center"/>
      <protection locked="0"/>
    </xf>
    <xf numFmtId="0" fontId="8" fillId="4" borderId="1" xfId="2" applyFont="1" applyFill="1" applyBorder="1" applyAlignment="1">
      <alignment horizontal="left" vertical="center"/>
    </xf>
    <xf numFmtId="0" fontId="8" fillId="4" borderId="2" xfId="2" applyFont="1" applyFill="1" applyBorder="1" applyAlignment="1" applyProtection="1">
      <alignment horizontal="left" vertical="center"/>
      <protection locked="0"/>
    </xf>
    <xf numFmtId="0" fontId="8" fillId="4" borderId="2" xfId="2" applyFont="1" applyFill="1" applyBorder="1" applyAlignment="1" applyProtection="1">
      <alignment horizontal="right" vertical="center"/>
      <protection locked="0"/>
    </xf>
    <xf numFmtId="0" fontId="2" fillId="7" borderId="3" xfId="2" applyFont="1" applyFill="1" applyBorder="1" applyAlignment="1" applyProtection="1">
      <alignment horizontal="left" vertical="center"/>
      <protection locked="0"/>
    </xf>
    <xf numFmtId="14" fontId="2" fillId="7" borderId="2" xfId="2" applyNumberFormat="1" applyFont="1" applyFill="1" applyBorder="1" applyAlignment="1" applyProtection="1">
      <alignment horizontal="left" vertical="center"/>
      <protection locked="0"/>
    </xf>
    <xf numFmtId="0" fontId="8" fillId="6" borderId="2" xfId="2" applyFont="1" applyFill="1" applyBorder="1" applyAlignment="1" applyProtection="1">
      <alignment horizontal="left" vertical="center"/>
      <protection locked="0"/>
    </xf>
    <xf numFmtId="49" fontId="2" fillId="7" borderId="3" xfId="2" applyNumberFormat="1" applyFont="1" applyFill="1" applyBorder="1" applyAlignment="1" applyProtection="1">
      <alignment horizontal="left" vertical="center"/>
      <protection locked="0"/>
    </xf>
    <xf numFmtId="49" fontId="5" fillId="0" borderId="2" xfId="3" applyNumberFormat="1" applyFont="1" applyFill="1" applyBorder="1" applyAlignment="1" applyProtection="1">
      <alignment horizontal="center"/>
    </xf>
    <xf numFmtId="49" fontId="0" fillId="0" borderId="0" xfId="3" applyNumberFormat="1" applyFont="1" applyProtection="1"/>
    <xf numFmtId="164" fontId="4" fillId="8" borderId="2" xfId="2" applyNumberFormat="1" applyFont="1" applyFill="1" applyBorder="1" applyAlignment="1" applyProtection="1">
      <alignment horizontal="left" vertical="center"/>
      <protection locked="0"/>
    </xf>
    <xf numFmtId="0" fontId="9" fillId="0" borderId="2" xfId="2" quotePrefix="1" applyFont="1" applyBorder="1" applyAlignment="1">
      <alignment horizontal="center" vertical="center"/>
    </xf>
    <xf numFmtId="0" fontId="9" fillId="0" borderId="2" xfId="2" applyFont="1" applyBorder="1" applyAlignment="1">
      <alignment horizontal="center" vertical="center"/>
    </xf>
    <xf numFmtId="0" fontId="5" fillId="0" borderId="2" xfId="1" applyNumberFormat="1" applyFont="1" applyFill="1" applyBorder="1" applyAlignment="1" applyProtection="1">
      <alignment horizontal="center"/>
      <protection locked="0"/>
    </xf>
    <xf numFmtId="0" fontId="2" fillId="9" borderId="3" xfId="2" applyFont="1" applyFill="1" applyBorder="1" applyAlignment="1">
      <alignment horizontal="left" vertical="center"/>
    </xf>
    <xf numFmtId="0" fontId="1" fillId="0" borderId="0" xfId="2" applyAlignment="1">
      <alignment horizontal="center"/>
    </xf>
  </cellXfs>
  <cellStyles count="5">
    <cellStyle name="Comma" xfId="1" builtinId="3"/>
    <cellStyle name="Comma 2" xfId="3" xr:uid="{095E7BE2-B0F9-4856-82A7-A0853AE2BA58}"/>
    <cellStyle name="Hyperlink" xfId="4" builtinId="8"/>
    <cellStyle name="Normal" xfId="0" builtinId="0"/>
    <cellStyle name="Normal 2" xfId="2" xr:uid="{00187E5E-ACAB-45F3-80E1-84F2A3AE51A8}"/>
  </cellStyles>
  <dxfs count="56"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7" formatCode="dd/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7" formatCode="dd/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6" formatCode="[$-409]d/m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6" formatCode="[$-409]d/m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6" formatCode="[$-409]d/m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[$-409]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6F138755-EFFE-4CFC-AA12-F41C8E12E3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108857</xdr:colOff>
      <xdr:row>6</xdr:row>
      <xdr:rowOff>108857</xdr:rowOff>
    </xdr:from>
    <xdr:to>
      <xdr:col>30</xdr:col>
      <xdr:colOff>587828</xdr:colOff>
      <xdr:row>18</xdr:row>
      <xdr:rowOff>108857</xdr:rowOff>
    </xdr:to>
    <xdr:sp macro="[0]!Create_report_payment" textlink="">
      <xdr:nvSpPr>
        <xdr:cNvPr id="2" name="Rectangle 1">
          <a:extLst>
            <a:ext uri="{FF2B5EF4-FFF2-40B4-BE49-F238E27FC236}">
              <a16:creationId xmlns:a16="http://schemas.microsoft.com/office/drawing/2014/main" id="{4886C62E-79EB-F5EE-5AAE-6E45A7957F16}"/>
            </a:ext>
          </a:extLst>
        </xdr:cNvPr>
        <xdr:cNvSpPr/>
      </xdr:nvSpPr>
      <xdr:spPr>
        <a:xfrm>
          <a:off x="27432000" y="1436914"/>
          <a:ext cx="3526971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</a:t>
          </a:r>
          <a:r>
            <a:rPr lang="en-US" sz="2800" baseline="0"/>
            <a:t> Payment Report</a:t>
          </a:r>
          <a:endParaRPr lang="en-US" sz="2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7FC257-FB28-4B23-87F1-32E9B33BD772}" name="Payment" displayName="Payment" ref="A1:X2" totalsRowShown="0" headerRowDxfId="50" headerRowBorderDxfId="49" tableBorderDxfId="48" totalsRowBorderDxfId="47" headerRowCellStyle="Normal 2">
  <autoFilter ref="A1:X2" xr:uid="{FF0E939E-47CD-48EA-8DE4-E0624BDA3ACF}"/>
  <tableColumns count="24">
    <tableColumn id="17" xr3:uid="{C6B53C23-4D68-434C-9592-C4F34C5A1597}" name="number" dataDxfId="46" totalsRowDxfId="45" dataCellStyle="Normal 2" totalsRowCellStyle="Normal 2">
      <calculatedColumnFormula>ROW(Payment[[#This Row],[pamcode]])-1</calculatedColumnFormula>
    </tableColumn>
    <tableColumn id="2" xr3:uid="{CAC69C2B-33A7-4DDD-8512-C8F93D0A9627}" name="month" dataDxfId="44" totalsRowDxfId="43">
      <calculatedColumnFormula>DATE(YEAR(TODAY()),MONTH(TODAY()),1)</calculatedColumnFormula>
    </tableColumn>
    <tableColumn id="3" xr3:uid="{17E41C01-7C45-4EC0-865A-5A979EE2DB12}" name="name" dataDxfId="42" totalsRowDxfId="41">
      <calculatedColumnFormula array="1">_xlfn.XLOOKUP(Payment[[#This Row],[pamcode]],VALUE(INDIRECT("'"&amp;$Z$2&amp;"'!"&amp;$Z$5&amp;"[pam_code]")),INDIRECT("'"&amp;$Z$2&amp;"'!"&amp;$Z$5&amp;"[name]"))</calculatedColumnFormula>
    </tableColumn>
    <tableColumn id="4" xr3:uid="{72816EEA-9809-4266-9C01-3454FB6E656F}" name="pamcode" dataDxfId="40" dataCellStyle="Comma" totalsRowCellStyle="Comma"/>
    <tableColumn id="5" xr3:uid="{F5C92577-2009-4590-B16A-717813C01224}" name="old_contract_id" dataDxfId="39" totalsRowDxfId="38">
      <calculatedColumnFormula array="1">_xlfn.XLOOKUP(Payment[[#This Row],[pamcode]],VALUE(INDIRECT("'"&amp;$Z$2&amp;"'!"&amp;$Z$5&amp;"[pam_code]")),INDIRECT("'"&amp;$Z$2&amp;"'!"&amp;$Z$5&amp;"[old_contract_number]"))</calculatedColumnFormula>
    </tableColumn>
    <tableColumn id="6" xr3:uid="{DB577AAA-74E8-4286-B9BC-DAA44800F100}" name="product" dataDxfId="37" totalsRowDxfId="36">
      <calculatedColumnFormula array="1">_xlfn.XLOOKUP(Payment[[#This Row],[pamcode]],VALUE(INDIRECT("'"&amp;$Z$2&amp;"'!"&amp;$Z$5&amp;"[pam_code]")),INDIRECT("'"&amp;$Z$2&amp;"'!"&amp;$Z$5&amp;"[transferred_product]"))</calculatedColumnFormula>
    </tableColumn>
    <tableColumn id="7" xr3:uid="{0F1EF019-822D-48AC-93F8-13F4E5E3F712}" name="current_status" dataDxfId="35" totalsRowDxfId="34">
      <calculatedColumnFormula array="1">IF(Payment[[#This Row],[pamcode]]="","",INDEX(_xlfn._xlws.SORT(_xlfn._xlws.FILTER(INDIRECT("'"&amp;$Z$3&amp;"'!"&amp;$Z$4&amp;"[#Data]"),(VALUE(INDIRECT("'"&amp;$Z$3&amp;"'!"&amp;$Z$4&amp;"[pamcode]"))=Payment[[#This Row],[pamcode]])*(INDIRECT("'"&amp;$Z$3&amp;"'!"&amp;$Z$4&amp;"[tr_date]")&lt;=Payment[[#This Row],[payment_date]])),5,-1),1,3))</calculatedColumnFormula>
    </tableColumn>
    <tableColumn id="8" xr3:uid="{92F87734-A697-419C-8446-D160D9033EB9}" name="current_mode" dataDxfId="33" totalsRowDxfId="32">
      <calculatedColumnFormula array="1">IF(Payment[[#This Row],[pamcode]]="","",INDEX(_xlfn._xlws.SORT(_xlfn._xlws.FILTER(INDIRECT("'"&amp;$Z$3&amp;"'!"&amp;$Z$4&amp;"[#Data]"),(VALUE(INDIRECT("'"&amp;$Z$3&amp;"'!"&amp;$Z$4&amp;"[pamcode]"))=Payment[[#This Row],[pamcode]])*(INDIRECT("'"&amp;$Z$3&amp;"'!"&amp;$Z$4&amp;"[tr_date]")&lt;=Payment[[#This Row],[payment_date]])),5,-1),1,4))</calculatedColumnFormula>
    </tableColumn>
    <tableColumn id="22" xr3:uid="{F40C287E-44E8-4E06-8A05-54DB18D5CC84}" name="Responsible" dataDxfId="31" totalsRowDxfId="30" dataCellStyle="Comma 2"/>
    <tableColumn id="21" xr3:uid="{A19B389F-7B00-4CE4-814C-EC6E1BA89C27}" name="OA" dataDxfId="29" totalsRowDxfId="28" dataCellStyle="Comma 2"/>
    <tableColumn id="18" xr3:uid="{2ED01DD4-34D0-483C-A7E7-69AB0543F794}" name="doc_id" dataDxfId="27" totalsRowDxfId="26" dataCellStyle="Comma 2" totalsRowCellStyle="Comma 2"/>
    <tableColumn id="9" xr3:uid="{050B109B-58DE-4505-B65B-E119E53A4B65}" name="payment_code" dataDxfId="25" totalsRowDxfId="24">
      <calculatedColumnFormula array="1">IFERROR(_xlfn.IFS(OR(Payment[[#This Row],[payment_remark]]="Normal",Payment[[#This Row],[payment_remark]]="RS",Payment[[#This Row],[payment_remark]]="Full Payment"),"pm",Payment[[#This Row],[payment_remark]]="HC",IF(IFERROR(FIND("HC 1/",Payment[[#This Row],[payment_note]]),0)&gt;0,"dis","pm"),ISNUMBER(FIND("Sold",Payment[[#This Row],[payment_remark]])),IF(Payment[[#This Row],[payment_note]]="Direct","sold_d","sold_a"),AND(Payment[[#This Row],[payment_amount]]&lt;1,Payment[[#This Row],[payment_note]]="Add Transaction"),"dis",Payment[[#This Row],[payment_note]]="Adjust Balance","vd"),"pm")</calculatedColumnFormula>
    </tableColumn>
    <tableColumn id="10" xr3:uid="{DF9687CA-714E-4AFE-B01B-38B4248CD5ED}" name="payment_amount" dataDxfId="23" totalsRowDxfId="22" dataCellStyle="Comma 2" totalsRowCellStyle="Comma 2"/>
    <tableColumn id="20" xr3:uid="{0FF9F571-A4CE-4C04-BDB2-422F4CDB9AEC}" name="expense" dataDxfId="21" totalsRowDxfId="20" dataCellStyle="Comma" totalsRowCellStyle="Comma"/>
    <tableColumn id="11" xr3:uid="{A39BDDD5-9B64-4A1D-B10B-ED0C542FE439}" name="payment_date" dataDxfId="19" totalsRowDxfId="18" dataCellStyle="Comma 2" totalsRowCellStyle="Comma 2"/>
    <tableColumn id="19" xr3:uid="{01A19E1E-50EA-41C5-B863-7BFFB47C8D01}" name="effective_date" dataDxfId="17" totalsRowDxfId="16" dataCellStyle="Comma 2" totalsRowCellStyle="Comma 2"/>
    <tableColumn id="23" xr3:uid="{BF1CD77E-D4DF-44D8-9E2E-EF8F3B9AFE80}" name="channel_payment" dataDxfId="15" totalsRowDxfId="14" dataCellStyle="Comma" totalsRowCellStyle="Comma"/>
    <tableColumn id="24" xr3:uid="{E845A093-6367-4406-8D61-01F868F0EAC2}" name="payment_remark" dataDxfId="13" totalsRowDxfId="12" dataCellStyle="Comma" totalsRowCellStyle="Comma"/>
    <tableColumn id="14" xr3:uid="{119EE1A9-1EDF-47E5-A846-F123E56F6149}" name="portfolio" dataDxfId="11" totalsRowDxfId="10">
      <calculatedColumnFormula array="1">_xlfn.XLOOKUP(Payment[[#This Row],[pamcode]],VALUE(INDIRECT("'"&amp;$Z$2&amp;"'!"&amp;$Z$5&amp;"[pam_code]")),INDIRECT("'"&amp;$Z$2&amp;"'!"&amp;$Z$5&amp;"[portfolio_credit_buying]"))</calculatedColumnFormula>
    </tableColumn>
    <tableColumn id="1" xr3:uid="{91A51013-E816-40DD-88AA-BF90D0B6BC4B}" name="payment_note" dataDxfId="9" totalsRowDxfId="8" dataCellStyle="Normal 2" totalsRowCellStyle="Normal 2"/>
    <tableColumn id="12" xr3:uid="{F99144F9-A700-40D8-9201-E00B8932A042}" name="status_QMC" dataDxfId="7" totalsRowDxfId="6" dataCellStyle="Normal 2" totalsRowCellStyle="Normal 2"/>
    <tableColumn id="13" xr3:uid="{5DDBC97C-973F-44FF-9009-2D3DCF237495}" name="detail_note" dataDxfId="5" totalsRowDxfId="4" dataCellStyle="Normal 2" totalsRowCellStyle="Normal 2"/>
    <tableColumn id="15" xr3:uid="{3FFC01D1-9825-4C43-BCAF-AADF7A16F2AD}" name="billing_address" dataDxfId="3" totalsRowDxfId="2" dataCellStyle="Normal 2" totalsRowCellStyle="Normal 2"/>
    <tableColumn id="16" xr3:uid="{C8BEE2F0-E5DA-4337-A647-778AB3058402}" name="billing_note" dataDxfId="1" totalsRowDxfId="0" dataCellStyle="Normal 2" totalsRow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457AA-62E4-454A-A5F2-F8319C7D62FE}">
  <sheetPr codeName="Sheet1"/>
  <dimension ref="A1:AE26"/>
  <sheetViews>
    <sheetView tabSelected="1" zoomScale="55" zoomScaleNormal="55" workbookViewId="0">
      <selection activeCell="M14" sqref="M14"/>
    </sheetView>
  </sheetViews>
  <sheetFormatPr defaultRowHeight="14.4" x14ac:dyDescent="0.3"/>
  <cols>
    <col min="1" max="1" width="8.88671875" style="8"/>
    <col min="2" max="2" width="10.33203125" style="20" bestFit="1" customWidth="1"/>
    <col min="3" max="3" width="42.21875" style="20" bestFit="1" customWidth="1"/>
    <col min="4" max="4" width="17.77734375" style="21" bestFit="1" customWidth="1"/>
    <col min="5" max="5" width="23.21875" style="20" customWidth="1"/>
    <col min="6" max="6" width="11.77734375" style="20" bestFit="1" customWidth="1"/>
    <col min="7" max="7" width="21.5546875" style="8" customWidth="1"/>
    <col min="8" max="10" width="17" style="22" customWidth="1"/>
    <col min="11" max="11" width="17" style="37" customWidth="1"/>
    <col min="12" max="12" width="10.6640625" style="20" bestFit="1" customWidth="1"/>
    <col min="13" max="13" width="22.88671875" style="20" bestFit="1" customWidth="1"/>
    <col min="14" max="14" width="15.77734375" style="20" bestFit="1" customWidth="1"/>
    <col min="15" max="15" width="18.109375" style="27" bestFit="1" customWidth="1"/>
    <col min="16" max="16" width="18.109375" style="27" customWidth="1"/>
    <col min="17" max="17" width="18.109375" style="23" customWidth="1"/>
    <col min="18" max="18" width="26.88671875" style="23" bestFit="1" customWidth="1"/>
    <col min="19" max="19" width="20.21875" style="20" bestFit="1" customWidth="1"/>
    <col min="20" max="20" width="20.77734375" style="8" bestFit="1" customWidth="1"/>
    <col min="21" max="21" width="19.5546875" style="8" bestFit="1" customWidth="1"/>
    <col min="22" max="22" width="10.77734375" style="8" bestFit="1" customWidth="1"/>
    <col min="23" max="23" width="21.77734375" style="8" bestFit="1" customWidth="1"/>
    <col min="24" max="24" width="17.77734375" style="8" bestFit="1" customWidth="1"/>
    <col min="25" max="30" width="8.88671875" style="8"/>
    <col min="31" max="31" width="10" style="8" bestFit="1" customWidth="1"/>
    <col min="32" max="16384" width="8.88671875" style="8"/>
  </cols>
  <sheetData>
    <row r="1" spans="1:31" x14ac:dyDescent="0.3">
      <c r="A1" s="29" t="s">
        <v>0</v>
      </c>
      <c r="B1" s="38" t="s">
        <v>1</v>
      </c>
      <c r="C1" s="30" t="s">
        <v>2</v>
      </c>
      <c r="D1" s="1" t="s">
        <v>3</v>
      </c>
      <c r="E1" s="31" t="s">
        <v>4</v>
      </c>
      <c r="F1" s="30" t="s">
        <v>5</v>
      </c>
      <c r="G1" s="2" t="s">
        <v>6</v>
      </c>
      <c r="H1" s="2" t="s">
        <v>7</v>
      </c>
      <c r="I1" s="42" t="s">
        <v>32</v>
      </c>
      <c r="J1" s="42" t="s">
        <v>33</v>
      </c>
      <c r="K1" s="35" t="s">
        <v>19</v>
      </c>
      <c r="L1" s="32" t="s">
        <v>18</v>
      </c>
      <c r="M1" s="3" t="s">
        <v>8</v>
      </c>
      <c r="N1" s="3" t="s">
        <v>9</v>
      </c>
      <c r="O1" s="33" t="s">
        <v>20</v>
      </c>
      <c r="P1" s="33" t="s">
        <v>31</v>
      </c>
      <c r="Q1" s="4" t="s">
        <v>10</v>
      </c>
      <c r="R1" s="4" t="s">
        <v>11</v>
      </c>
      <c r="S1" s="34" t="s">
        <v>12</v>
      </c>
      <c r="T1" s="5" t="s">
        <v>13</v>
      </c>
      <c r="U1" s="5" t="s">
        <v>34</v>
      </c>
      <c r="V1" s="5" t="s">
        <v>35</v>
      </c>
      <c r="W1" s="6" t="s">
        <v>21</v>
      </c>
      <c r="X1" s="7" t="s">
        <v>22</v>
      </c>
      <c r="Z1" s="9" t="s">
        <v>14</v>
      </c>
      <c r="AE1" s="24" t="s">
        <v>23</v>
      </c>
    </row>
    <row r="2" spans="1:31" ht="18" x14ac:dyDescent="0.35">
      <c r="A2" s="10">
        <f>ROW(Payment[[#This Row],[pamcode]])-1</f>
        <v>1</v>
      </c>
      <c r="B2" s="11">
        <f ca="1">DATE(YEAR(TODAY()),MONTH(TODAY()),1)</f>
        <v>45809</v>
      </c>
      <c r="C2" s="12" t="str" cm="1">
        <f t="array" aca="1" ref="C2" ca="1">_xlfn.XLOOKUP(Payment[[#This Row],[pamcode]],VALUE(INDIRECT("'"&amp;$Z$2&amp;"'!"&amp;$Z$5&amp;"[pam_code]")),INDIRECT("'"&amp;$Z$2&amp;"'!"&amp;$Z$5&amp;"[name]"))</f>
        <v>คำ ไชยปัญญา</v>
      </c>
      <c r="D2" s="28">
        <v>2200002</v>
      </c>
      <c r="E2" s="13" cm="1">
        <f t="array" aca="1" ref="E2" ca="1">_xlfn.XLOOKUP(Payment[[#This Row],[pamcode]],VALUE(INDIRECT("'"&amp;$Z$2&amp;"'!"&amp;$Z$5&amp;"[pam_code]")),INDIRECT("'"&amp;$Z$2&amp;"'!"&amp;$Z$5&amp;"[old_contract_number]"))</f>
        <v>22961666</v>
      </c>
      <c r="F2" s="12" t="str" cm="1">
        <f t="array" aca="1" ref="F2" ca="1">_xlfn.XLOOKUP(Payment[[#This Row],[pamcode]],VALUE(INDIRECT("'"&amp;$Z$2&amp;"'!"&amp;$Z$5&amp;"[pam_code]")),INDIRECT("'"&amp;$Z$2&amp;"'!"&amp;$Z$5&amp;"[transferred_product]"))</f>
        <v>land</v>
      </c>
      <c r="G2" s="14" t="str" cm="1">
        <f t="array" aca="1" ref="G2" ca="1">IF(Payment[[#This Row],[pamcode]]="","",INDEX(_xlfn._xlws.SORT(_xlfn._xlws.FILTER(INDIRECT("'"&amp;$Z$3&amp;"'!"&amp;$Z$4&amp;"[#Data]"),(VALUE(INDIRECT("'"&amp;$Z$3&amp;"'!"&amp;$Z$4&amp;"[pamcode]"))=Payment[[#This Row],[pamcode]])*(INDIRECT("'"&amp;$Z$3&amp;"'!"&amp;$Z$4&amp;"[tr_date]")&lt;=Payment[[#This Row],[payment_date]])),5,-1),1,3))</f>
        <v>cm</v>
      </c>
      <c r="H2" s="15" t="str" cm="1">
        <f t="array" aca="1" ref="H2" ca="1">IF(Payment[[#This Row],[pamcode]]="","",INDEX(_xlfn._xlws.SORT(_xlfn._xlws.FILTER(INDIRECT("'"&amp;$Z$3&amp;"'!"&amp;$Z$4&amp;"[#Data]"),(VALUE(INDIRECT("'"&amp;$Z$3&amp;"'!"&amp;$Z$4&amp;"[pamcode]"))=Payment[[#This Row],[pamcode]])*(INDIRECT("'"&amp;$Z$3&amp;"'!"&amp;$Z$4&amp;"[tr_date]")&lt;=Payment[[#This Row],[payment_date]])),5,-1),1,4))</f>
        <v>cm</v>
      </c>
      <c r="I2" s="15" t="s">
        <v>37</v>
      </c>
      <c r="J2" s="15" t="s">
        <v>37</v>
      </c>
      <c r="K2" s="36"/>
      <c r="L2" s="14" t="str" cm="1">
        <f t="array" ref="L2">IFERROR(_xlfn.IFS(OR(Payment[[#This Row],[payment_remark]]="Normal",Payment[[#This Row],[payment_remark]]="RS",Payment[[#This Row],[payment_remark]]="Full Payment"),"pm",Payment[[#This Row],[payment_remark]]="HC",IF(IFERROR(FIND("HC 1/",Payment[[#This Row],[payment_note]]),0)&gt;0,"dis","pm"),ISNUMBER(FIND("Sold",Payment[[#This Row],[payment_remark]])),IF(Payment[[#This Row],[payment_note]]="Direct","sold_d","sold_a"),AND(Payment[[#This Row],[payment_amount]]&lt;1,Payment[[#This Row],[payment_note]]="Add Transaction"),"dis",Payment[[#This Row],[payment_note]]="Adjust Balance","vd"),"pm")</f>
        <v>pm</v>
      </c>
      <c r="M2" s="16">
        <v>3625</v>
      </c>
      <c r="N2" s="25"/>
      <c r="O2" s="26">
        <v>45814</v>
      </c>
      <c r="P2" s="26">
        <v>45814</v>
      </c>
      <c r="Q2" s="41" t="s">
        <v>36</v>
      </c>
      <c r="R2" s="41" t="s">
        <v>39</v>
      </c>
      <c r="S2" s="17" t="str" cm="1">
        <f t="array" aca="1" ref="S2" ca="1">_xlfn.XLOOKUP(Payment[[#This Row],[pamcode]],VALUE(INDIRECT("'"&amp;$Z$2&amp;"'!"&amp;$Z$5&amp;"[pam_code]")),INDIRECT("'"&amp;$Z$2&amp;"'!"&amp;$Z$5&amp;"[portfolio_credit_buying]"))</f>
        <v>22Q2-MTC</v>
      </c>
      <c r="T2" s="10" t="s">
        <v>39</v>
      </c>
      <c r="U2" s="10" t="s">
        <v>40</v>
      </c>
      <c r="V2" s="10"/>
      <c r="W2" s="10" t="s">
        <v>41</v>
      </c>
      <c r="X2" s="10"/>
      <c r="Z2" s="8" t="s">
        <v>38</v>
      </c>
      <c r="AD2" s="8" t="s">
        <v>24</v>
      </c>
      <c r="AE2" s="39" cm="1">
        <f t="array" ref="AE2">INDEX(IF(ISERR(_xlfn._xlws.FILTER(Payment[payment_code],(Payment[payment_code]="dis"))),0,COUNTA(_xlfn._xlws.FILTER(Payment[payment_code],(Payment[payment_code]="dis")))),1)</f>
        <v>0</v>
      </c>
    </row>
    <row r="3" spans="1:31" ht="18" x14ac:dyDescent="0.3">
      <c r="Z3" s="18" t="s">
        <v>15</v>
      </c>
      <c r="AD3" s="8" t="s">
        <v>25</v>
      </c>
      <c r="AE3" s="40" cm="1">
        <f t="array" ref="AE3">INDEX(IF(ISERR(_xlfn._xlws.FILTER(Payment[payment_code],(Payment[payment_code]="vd"))),0,COUNTA(_xlfn._xlws.FILTER(Payment[payment_code],(Payment[payment_code]="vd")))),1)</f>
        <v>0</v>
      </c>
    </row>
    <row r="4" spans="1:31" ht="18" x14ac:dyDescent="0.3">
      <c r="Z4" s="19" t="s">
        <v>16</v>
      </c>
      <c r="AD4" s="8" t="s">
        <v>26</v>
      </c>
      <c r="AE4" s="40" cm="1">
        <f t="array" ref="AE4">COUNTA(_xlfn._xlws.FILTER(Payment[payment_code],(Payment[payment_code]="pm")))</f>
        <v>1</v>
      </c>
    </row>
    <row r="5" spans="1:31" x14ac:dyDescent="0.3">
      <c r="Z5" s="24" t="s">
        <v>17</v>
      </c>
    </row>
    <row r="7" spans="1:31" x14ac:dyDescent="0.3">
      <c r="Z7" s="43"/>
      <c r="AA7" s="43"/>
      <c r="AB7" s="43"/>
      <c r="AC7" s="43"/>
      <c r="AD7" s="43"/>
      <c r="AE7" s="43"/>
    </row>
    <row r="8" spans="1:31" x14ac:dyDescent="0.3">
      <c r="Z8" s="43"/>
      <c r="AA8" s="43"/>
      <c r="AB8" s="43"/>
      <c r="AC8" s="43"/>
      <c r="AD8" s="43"/>
      <c r="AE8" s="43"/>
    </row>
    <row r="9" spans="1:31" x14ac:dyDescent="0.3">
      <c r="Z9" s="43"/>
      <c r="AA9" s="43"/>
      <c r="AB9" s="43"/>
      <c r="AC9" s="43"/>
      <c r="AD9" s="43"/>
      <c r="AE9" s="43"/>
    </row>
    <row r="10" spans="1:31" x14ac:dyDescent="0.3">
      <c r="Z10" s="43"/>
      <c r="AA10" s="43"/>
      <c r="AB10" s="43"/>
      <c r="AC10" s="43"/>
      <c r="AD10" s="43"/>
      <c r="AE10" s="43"/>
    </row>
    <row r="11" spans="1:31" x14ac:dyDescent="0.3">
      <c r="Z11" s="43"/>
      <c r="AA11" s="43"/>
      <c r="AB11" s="43"/>
      <c r="AC11" s="43"/>
      <c r="AD11" s="43"/>
      <c r="AE11" s="43"/>
    </row>
    <row r="12" spans="1:31" x14ac:dyDescent="0.3">
      <c r="Z12" s="43"/>
      <c r="AA12" s="43"/>
      <c r="AB12" s="43"/>
      <c r="AC12" s="43"/>
      <c r="AD12" s="43"/>
      <c r="AE12" s="43"/>
    </row>
    <row r="13" spans="1:31" x14ac:dyDescent="0.3">
      <c r="Z13" s="43"/>
      <c r="AA13" s="43"/>
      <c r="AB13" s="43"/>
      <c r="AC13" s="43"/>
      <c r="AD13" s="43"/>
      <c r="AE13" s="43"/>
    </row>
    <row r="14" spans="1:31" x14ac:dyDescent="0.3">
      <c r="Z14" s="43"/>
      <c r="AA14" s="43"/>
      <c r="AB14" s="43"/>
      <c r="AC14" s="43"/>
      <c r="AD14" s="43"/>
      <c r="AE14" s="43"/>
    </row>
    <row r="15" spans="1:31" x14ac:dyDescent="0.3">
      <c r="Z15" s="43"/>
      <c r="AA15" s="43"/>
      <c r="AB15" s="43"/>
      <c r="AC15" s="43"/>
      <c r="AD15" s="43"/>
      <c r="AE15" s="43"/>
    </row>
    <row r="16" spans="1:31" x14ac:dyDescent="0.3">
      <c r="Z16" s="43"/>
      <c r="AA16" s="43"/>
      <c r="AB16" s="43"/>
      <c r="AC16" s="43"/>
      <c r="AD16" s="43"/>
      <c r="AE16" s="43"/>
    </row>
    <row r="17" spans="26:31" x14ac:dyDescent="0.3">
      <c r="Z17" s="43"/>
      <c r="AA17" s="43"/>
      <c r="AB17" s="43"/>
      <c r="AC17" s="43"/>
      <c r="AD17" s="43"/>
      <c r="AE17" s="43"/>
    </row>
    <row r="18" spans="26:31" x14ac:dyDescent="0.3">
      <c r="Z18" s="43"/>
      <c r="AA18" s="43"/>
      <c r="AB18" s="43"/>
      <c r="AC18" s="43"/>
      <c r="AD18" s="43"/>
      <c r="AE18" s="43"/>
    </row>
    <row r="19" spans="26:31" x14ac:dyDescent="0.3">
      <c r="Z19" s="43"/>
      <c r="AA19" s="43"/>
      <c r="AB19" s="43"/>
      <c r="AC19" s="43"/>
      <c r="AD19" s="43"/>
      <c r="AE19" s="43"/>
    </row>
    <row r="21" spans="26:31" x14ac:dyDescent="0.3">
      <c r="Z21" s="43" t="s">
        <v>27</v>
      </c>
      <c r="AA21" s="43"/>
      <c r="AB21" s="43"/>
      <c r="AC21" s="43"/>
      <c r="AD21" s="43"/>
      <c r="AE21" s="43"/>
    </row>
    <row r="22" spans="26:31" x14ac:dyDescent="0.3">
      <c r="Z22" s="43"/>
      <c r="AA22" s="43"/>
      <c r="AB22" s="43"/>
      <c r="AC22" s="43"/>
      <c r="AD22" s="43"/>
      <c r="AE22" s="43"/>
    </row>
    <row r="23" spans="26:31" x14ac:dyDescent="0.3">
      <c r="Z23" s="43"/>
      <c r="AA23" s="43"/>
      <c r="AB23" s="43"/>
      <c r="AC23" s="43"/>
      <c r="AD23" s="43"/>
      <c r="AE23" s="43"/>
    </row>
    <row r="24" spans="26:31" x14ac:dyDescent="0.3">
      <c r="Z24" s="8" t="s">
        <v>28</v>
      </c>
      <c r="AA24" s="24" t="s">
        <v>29</v>
      </c>
    </row>
    <row r="26" spans="26:31" x14ac:dyDescent="0.3">
      <c r="Z26" s="8" t="s">
        <v>30</v>
      </c>
      <c r="AA26" s="8" t="s">
        <v>29</v>
      </c>
    </row>
  </sheetData>
  <protectedRanges>
    <protectedRange sqref="O2:S2 M3:R94 M95:P172 Q95:R320 L173:P320 L321:R1046860 S3:S1046860 L3:L172 L2:M2" name="Range2"/>
    <protectedRange sqref="D361 D362:E1046860 B3:C1046860 F3:F1046860 D3:E360 B2:F2" name="Range1"/>
    <protectedRange sqref="K1:S1" name="Range2_2"/>
    <protectedRange sqref="B1:F1" name="Range1_1"/>
    <protectedRange sqref="T1:X1" name="Range2_1_1"/>
  </protectedRanges>
  <mergeCells count="2">
    <mergeCell ref="Z7:AE19"/>
    <mergeCell ref="Z21:AE23"/>
  </mergeCells>
  <conditionalFormatting sqref="D1">
    <cfRule type="duplicateValues" dxfId="55" priority="4"/>
  </conditionalFormatting>
  <conditionalFormatting sqref="E1">
    <cfRule type="duplicateValues" dxfId="54" priority="3"/>
  </conditionalFormatting>
  <conditionalFormatting sqref="R1:R1048576">
    <cfRule type="containsText" dxfId="53" priority="2" operator="containsText" text="HC">
      <formula>NOT(ISERROR(SEARCH("HC",R1)))</formula>
    </cfRule>
  </conditionalFormatting>
  <conditionalFormatting sqref="T1:T1048576">
    <cfRule type="containsText" dxfId="52" priority="1" operator="containsText" text="HC 1/">
      <formula>NOT(ISERROR(SEARCH("HC 1/",T1)))</formula>
    </cfRule>
  </conditionalFormatting>
  <conditionalFormatting sqref="D2">
    <cfRule type="duplicateValues" dxfId="51" priority="147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Payment_Term_History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Paramut Chanthakan (Alpha)</dc:creator>
  <cp:lastModifiedBy>Paramut Chanthakan (Alpha)</cp:lastModifiedBy>
  <dcterms:created xsi:type="dcterms:W3CDTF">2024-04-09T07:38:17Z</dcterms:created>
  <dcterms:modified xsi:type="dcterms:W3CDTF">2025-06-30T08:00:00Z</dcterms:modified>
</cp:coreProperties>
</file>