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Pam_card\processing\program\"/>
    </mc:Choice>
  </mc:AlternateContent>
  <xr:revisionPtr revIDLastSave="0" documentId="13_ncr:1_{C0927112-A615-4389-8485-72B7CA4DB5FD}" xr6:coauthVersionLast="47" xr6:coauthVersionMax="47" xr10:uidLastSave="{00000000-0000-0000-0000-000000000000}"/>
  <bookViews>
    <workbookView xWindow="28680" yWindow="-120" windowWidth="29040" windowHeight="15720" xr2:uid="{FF923D9B-96E6-48F2-8550-ECD6D93F00D6}"/>
  </bookViews>
  <sheets>
    <sheet name="Hold_Cutting" sheetId="1" r:id="rId1"/>
    <sheet name="Complete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1" i="1" l="1"/>
  <c r="AO15" i="1" s="1"/>
  <c r="I1" i="1" l="1"/>
  <c r="J1" i="1"/>
  <c r="Q1" i="1" l="1"/>
  <c r="O1" i="1"/>
  <c r="P1" i="1"/>
  <c r="AL5" i="7" a="1"/>
  <c r="AL5" i="7" s="1"/>
  <c r="AA1" i="7"/>
  <c r="Z1" i="7"/>
  <c r="Y1" i="7"/>
  <c r="W1" i="7"/>
  <c r="V1" i="7"/>
  <c r="U1" i="7"/>
  <c r="T1" i="7"/>
  <c r="S1" i="7"/>
  <c r="R1" i="7"/>
  <c r="Q1" i="7"/>
  <c r="P1" i="7"/>
  <c r="O1" i="7"/>
  <c r="N1" i="7"/>
  <c r="M1" i="7"/>
  <c r="K1" i="7"/>
  <c r="J1" i="7"/>
  <c r="I1" i="7"/>
  <c r="H1" i="7"/>
  <c r="G1" i="7"/>
  <c r="F1" i="7"/>
  <c r="E1" i="7"/>
  <c r="D1" i="7"/>
  <c r="C1" i="7"/>
  <c r="B1" i="7"/>
  <c r="A1" i="7"/>
  <c r="AI1" i="1" l="1"/>
  <c r="AJ1" i="1"/>
  <c r="AK1" i="1"/>
  <c r="AL1" i="1"/>
  <c r="AM1" i="1"/>
  <c r="AN1" i="1"/>
  <c r="AO1" i="1"/>
  <c r="AP1" i="1"/>
  <c r="AO21" i="1" l="1" a="1"/>
  <c r="AO21" i="1" s="1"/>
  <c r="AF1" i="1" l="1"/>
  <c r="AG1" i="1"/>
  <c r="AH1" i="1"/>
  <c r="L1" i="1" l="1"/>
  <c r="AC1" i="1" l="1"/>
  <c r="AD1" i="1"/>
  <c r="AE1" i="1"/>
  <c r="R1" i="1" l="1"/>
  <c r="B1" i="1"/>
  <c r="C1" i="1"/>
  <c r="D1" i="1"/>
  <c r="E1" i="1"/>
  <c r="AO18" i="1" s="1"/>
  <c r="F1" i="1"/>
  <c r="G1" i="1"/>
  <c r="H1" i="1"/>
  <c r="K1" i="1"/>
  <c r="N1" i="1"/>
  <c r="S1" i="1"/>
  <c r="T1" i="1"/>
  <c r="U1" i="1"/>
  <c r="V1" i="1"/>
  <c r="W1" i="1"/>
  <c r="X1" i="1"/>
  <c r="Y1" i="1"/>
  <c r="Z1" i="1"/>
  <c r="AA1" i="1"/>
  <c r="AB1" i="1"/>
  <c r="A1" i="1"/>
  <c r="AN2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<sst xmlns="http://schemas.openxmlformats.org/spreadsheetml/2006/main" count="35844" uniqueCount="1158">
  <si>
    <t>Code</t>
  </si>
  <si>
    <t>ContractID</t>
  </si>
  <si>
    <t>Cname</t>
  </si>
  <si>
    <t>Port</t>
  </si>
  <si>
    <t>Product</t>
  </si>
  <si>
    <t>Curr_status</t>
  </si>
  <si>
    <t>Mode</t>
  </si>
  <si>
    <t>PM_code</t>
  </si>
  <si>
    <t>Amount</t>
  </si>
  <si>
    <t>exp_balance</t>
  </si>
  <si>
    <t>otl_balance</t>
  </si>
  <si>
    <t>lss_balance</t>
  </si>
  <si>
    <t>pnt_balance</t>
  </si>
  <si>
    <t>int_balance</t>
  </si>
  <si>
    <t>opc_balance</t>
  </si>
  <si>
    <t>chg_balance</t>
  </si>
  <si>
    <t>prn_balance</t>
  </si>
  <si>
    <t>rpm_balance</t>
  </si>
  <si>
    <t>all_balance</t>
  </si>
  <si>
    <t>Count_payment</t>
  </si>
  <si>
    <t>to card</t>
  </si>
  <si>
    <t>to report</t>
  </si>
  <si>
    <t>From Card</t>
  </si>
  <si>
    <t>Z</t>
  </si>
  <si>
    <t>AA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</si>
  <si>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</si>
  <si>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</si>
  <si>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</si>
  <si>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</si>
  <si>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</si>
  <si>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</si>
  <si>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</si>
  <si>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</si>
  <si>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</si>
  <si>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</si>
  <si>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G</t>
  </si>
  <si>
    <t>AX</t>
  </si>
  <si>
    <t>BA</t>
  </si>
  <si>
    <t>BD</t>
  </si>
  <si>
    <t>BG</t>
  </si>
  <si>
    <t>BK</t>
  </si>
  <si>
    <t>BN</t>
  </si>
  <si>
    <t>BQ</t>
  </si>
  <si>
    <t>BT</t>
  </si>
  <si>
    <t>BW</t>
  </si>
  <si>
    <t>BZ</t>
  </si>
  <si>
    <t>Date</t>
  </si>
  <si>
    <t>Path</t>
  </si>
  <si>
    <t xml:space="preserve">File-Password </t>
  </si>
  <si>
    <t>User</t>
  </si>
  <si>
    <t>Paramut.c</t>
  </si>
  <si>
    <t>Note</t>
  </si>
  <si>
    <t>pm</t>
  </si>
  <si>
    <t>DocID</t>
  </si>
  <si>
    <t>b4</t>
  </si>
  <si>
    <t>Eff_Date</t>
  </si>
  <si>
    <t>Status_Program</t>
  </si>
  <si>
    <t>Remark</t>
  </si>
  <si>
    <t>Update Payment</t>
  </si>
  <si>
    <t>HD66201906000001</t>
  </si>
  <si>
    <t>บริษัท ไดเทค เวิร์ค จำกัด</t>
  </si>
  <si>
    <t>HD92201902000004</t>
  </si>
  <si>
    <t>บริษัท สยามวิชั่น ทรานสปอร์ต จำกัด</t>
  </si>
  <si>
    <t>HD66201803000001-R1</t>
  </si>
  <si>
    <t>บริษัท ทาคายาม่า พรีซิชั่น จำกัด</t>
  </si>
  <si>
    <t>FDKM201812000005</t>
  </si>
  <si>
    <t>ห้างหุ้นส่วนจำกัด กู๊ด-พริ้นท์ พริ้นท์ติ้ง</t>
  </si>
  <si>
    <t>HD92201903000006-R1</t>
  </si>
  <si>
    <t>บริษัท เอ เจ คอนเทนเนอร์ จำกัด</t>
  </si>
  <si>
    <t>HD92201903000007-R1</t>
  </si>
  <si>
    <t>HD02201810000002</t>
  </si>
  <si>
    <t>npl_all_vat</t>
  </si>
  <si>
    <t>Create new card</t>
  </si>
  <si>
    <t>outstanding_balance_excluding_vat</t>
  </si>
  <si>
    <t>vat_remain</t>
  </si>
  <si>
    <t>outstanding_balance_including_vat</t>
  </si>
  <si>
    <t>สมัชชา ศิรินธราพรรณ</t>
  </si>
  <si>
    <t>พัชรี โสสุด</t>
  </si>
  <si>
    <t>ผจญ ผัดผ่อง</t>
  </si>
  <si>
    <t>วันดี เรือนคำ</t>
  </si>
  <si>
    <t>วรรณี กุลหกูล</t>
  </si>
  <si>
    <t>เดือนเพ็ญ ขันคำ</t>
  </si>
  <si>
    <t>npl</t>
  </si>
  <si>
    <t>npl_vat</t>
  </si>
  <si>
    <t>ภัชรี ยะติน</t>
  </si>
  <si>
    <t>นราพันธ์ พึ่งภักดี</t>
  </si>
  <si>
    <t>รุ่งฤทัย พลิกนุช</t>
  </si>
  <si>
    <t>บริษัท ภูเก็ตจันทรสว่าง จำกัด</t>
  </si>
  <si>
    <t>ฑิฆัมพร เจริญภาส</t>
  </si>
  <si>
    <t>Rows</t>
  </si>
  <si>
    <t>630139L025</t>
  </si>
  <si>
    <t>630100L033</t>
  </si>
  <si>
    <t>2756020075</t>
  </si>
  <si>
    <t>26373941</t>
  </si>
  <si>
    <t>25560817</t>
  </si>
  <si>
    <t>28868846</t>
  </si>
  <si>
    <t>9.0102E+11</t>
  </si>
  <si>
    <t>1100168312</t>
  </si>
  <si>
    <t>F-6434063</t>
  </si>
  <si>
    <t>A-7020894</t>
  </si>
  <si>
    <t>H-6724848</t>
  </si>
  <si>
    <t>C-7058231</t>
  </si>
  <si>
    <t>96093</t>
  </si>
  <si>
    <t>10044677</t>
  </si>
  <si>
    <t>10379208</t>
  </si>
  <si>
    <t>123154</t>
  </si>
  <si>
    <t>9.01019E+11</t>
  </si>
  <si>
    <t>9.01014E+11</t>
  </si>
  <si>
    <t>9.01015E+11</t>
  </si>
  <si>
    <t>9.01016E+11</t>
  </si>
  <si>
    <t>9.01012E+11</t>
  </si>
  <si>
    <t>อมรรัตน์ บุตรโส</t>
  </si>
  <si>
    <t>บรรจง เสาร์สุดใจ</t>
  </si>
  <si>
    <t>ชุมพล ขัดฝั้น</t>
  </si>
  <si>
    <t>ธนโชค ศรีอบเชย</t>
  </si>
  <si>
    <t>นรินทร์ แก้วอินศรี</t>
  </si>
  <si>
    <t>พรทิพย์ มูสิกะสง</t>
  </si>
  <si>
    <t>แพรวผกา หมั่นหา</t>
  </si>
  <si>
    <t>ภิรมย์ ยอดคีรี</t>
  </si>
  <si>
    <t>เมตตา ขัมภรัตน์</t>
  </si>
  <si>
    <t>สยามเกียรติ์ วันน้อย</t>
  </si>
  <si>
    <t>พเยาว์ ชาวสวน</t>
  </si>
  <si>
    <t>น้ำทิพย์ แนบเนียน</t>
  </si>
  <si>
    <t>วัชรินทร์ ม่วงไหม</t>
  </si>
  <si>
    <t>ราเชน หน่องพงษ์</t>
  </si>
  <si>
    <t>จิราพร ทองพร</t>
  </si>
  <si>
    <t>ประสิทธิ์ คงจีน</t>
  </si>
  <si>
    <t>ปาริฉัตร สิโนรักษ์</t>
  </si>
  <si>
    <t>แสงเดือน จงย่อกลาง</t>
  </si>
  <si>
    <t>มนต์ชัย สิทธิแสงอำไพ</t>
  </si>
  <si>
    <t>ศิริลักษณ์ ปราบสกูล</t>
  </si>
  <si>
    <t>ประสิทธิ์ แสงจันทร์</t>
  </si>
  <si>
    <t>พรรณอร ศรีปุณะ</t>
  </si>
  <si>
    <t>ศิริลักษณ์ โนนลือชา</t>
  </si>
  <si>
    <t>บุษบา ไชยบุตร</t>
  </si>
  <si>
    <t>กัญญารัตน์ ละลี</t>
  </si>
  <si>
    <t>ชลธิชา บุษดี</t>
  </si>
  <si>
    <t>ละมัย เวียงนนท์</t>
  </si>
  <si>
    <t>ทิพวรรณ ศักดิ์ทัศนา</t>
  </si>
  <si>
    <t>ชลนพร เขียวแก้ว</t>
  </si>
  <si>
    <t>รัตน์ชนีกร เตรียมตัว</t>
  </si>
  <si>
    <t>ธีรพล อยู่ยงค์</t>
  </si>
  <si>
    <t>กัลยา อรรถาสิงห์</t>
  </si>
  <si>
    <t>ทิวาพร ปินตาสี</t>
  </si>
  <si>
    <t>อารี ชูช่วย</t>
  </si>
  <si>
    <t>สุวิมล หมื่นยงค์</t>
  </si>
  <si>
    <t>วานิตย์ ปลุกตะคุ</t>
  </si>
  <si>
    <t>สมรัก แก้วทีตา</t>
  </si>
  <si>
    <t>อัฉรา สร้อยเพ็ชร</t>
  </si>
  <si>
    <t>อานนท์ เกตุโชติ</t>
  </si>
  <si>
    <t>กมลรัตน์ เซียงเห็น</t>
  </si>
  <si>
    <t>ธันย์ภัคนันท์ เทศะแพทย์</t>
  </si>
  <si>
    <t>น้ำค้าง นบนอบ</t>
  </si>
  <si>
    <t>วนิดา มูหะหมัดซอและ</t>
  </si>
  <si>
    <t>พรพรรณ หมื่นพรมมา</t>
  </si>
  <si>
    <t>ธนวัฒน์ เฉลยไตร</t>
  </si>
  <si>
    <t>นฤมล วงศ์โกศล</t>
  </si>
  <si>
    <t>ปาณิศา เกิดศิลป์</t>
  </si>
  <si>
    <t>ใบคิม จอมมณี</t>
  </si>
  <si>
    <t>ชาญณรงค์ วิสาระเกต</t>
  </si>
  <si>
    <t>กำพล พัฒนาเวช</t>
  </si>
  <si>
    <t>สุกัญญา ประวัติ</t>
  </si>
  <si>
    <t>ชวลิตร นันทวงค์</t>
  </si>
  <si>
    <t>ปภาวดี ณ รังษี</t>
  </si>
  <si>
    <t>สุณิสา ลอยเลิศ</t>
  </si>
  <si>
    <t>สุดารัตน์ ฆารจรุง</t>
  </si>
  <si>
    <t>ไพสุดา สำราญ</t>
  </si>
  <si>
    <t>สุนันท์ เงินสวัสดิ์</t>
  </si>
  <si>
    <t>สุกัญญา ชูเดช</t>
  </si>
  <si>
    <t>วรณัน ลองจำนงค์</t>
  </si>
  <si>
    <t>ห้างหุ้นส่วนจำกัด พัชรสุข</t>
  </si>
  <si>
    <t>พรเทพ เทาสันเทียะ</t>
  </si>
  <si>
    <t>สมพงษ์ ฉิมพาลี</t>
  </si>
  <si>
    <t>นเรศน์ แรมลี</t>
  </si>
  <si>
    <t>สรไกร ทองอุดม</t>
  </si>
  <si>
    <t>ภูธร ตาวอ่อน</t>
  </si>
  <si>
    <t>จุฬาลักษณ์ โคตวินนท์</t>
  </si>
  <si>
    <t>วงเดือน สาระศาลิน</t>
  </si>
  <si>
    <t>สุชาติ เกื้อกิ้ม</t>
  </si>
  <si>
    <t>บัญฑิต สังสุวรรณ</t>
  </si>
  <si>
    <t>ปิยะ ดอนลาดลี</t>
  </si>
  <si>
    <t>สมฤทัย ฉิมพาลี</t>
  </si>
  <si>
    <t>นิสสรณ์ ชุ่มกระโทก</t>
  </si>
  <si>
    <t>ยะรอน๊ะ มาลีเต๊ะ</t>
  </si>
  <si>
    <t>อรวรรณ ผิวผ่อง</t>
  </si>
  <si>
    <t>วชิราวิทย์ เขตตลาด</t>
  </si>
  <si>
    <t>ราเชด อาสะหนิ</t>
  </si>
  <si>
    <t>พุทธิษา ตาจุ่ม</t>
  </si>
  <si>
    <t>วิภาค ภู่เพชร</t>
  </si>
  <si>
    <t>อภิรักษ์ หอมละออ</t>
  </si>
  <si>
    <t>ชัยรัฐพล โสภณธนนันท์</t>
  </si>
  <si>
    <t>ธนัตถ์ เจริญสุข</t>
  </si>
  <si>
    <t>สุวินัย ถาวร</t>
  </si>
  <si>
    <t>อิทธิศักดิ์ เอี่ยมสำอางค์</t>
  </si>
  <si>
    <t>รัตติยากร สาโรจน์</t>
  </si>
  <si>
    <t>ชาลิต บุนนาค</t>
  </si>
  <si>
    <t>ณัฐกานต์ จุมกุ่ย</t>
  </si>
  <si>
    <t>ศุภณัฐ ขจรวงษ์</t>
  </si>
  <si>
    <t>สุภาพร เจริญสุข</t>
  </si>
  <si>
    <t>จิราภรณ์ ขันทะชัย</t>
  </si>
  <si>
    <t>เปี่ยมทรัพย์ ทองสา</t>
  </si>
  <si>
    <t>สุมัจฉา วงษ์บุญส่ง</t>
  </si>
  <si>
    <t>สรธัญ ทับยาง</t>
  </si>
  <si>
    <t>ธัญลักษณ์ พิทักษ์เดโชพล</t>
  </si>
  <si>
    <t>อังชัน แต่งทรัพย์</t>
  </si>
  <si>
    <t>กิ่งกาญจน์ กิติอาษา</t>
  </si>
  <si>
    <t>พรทิพย์ เอ๊บสูงเนิน</t>
  </si>
  <si>
    <t>ทิติภา ธรรมรัตน์</t>
  </si>
  <si>
    <t>อัครา ชูราษฎร์</t>
  </si>
  <si>
    <t>กฤษฎา คาวิน</t>
  </si>
  <si>
    <t>ศิริกัลญา โคตรชมภู</t>
  </si>
  <si>
    <t>ละเมียด สุขชูศรี</t>
  </si>
  <si>
    <t>ประพันธ์ เผื่อนกลาง</t>
  </si>
  <si>
    <t>สุริยัน วงศ์ทะเล</t>
  </si>
  <si>
    <t>สุทธิพงศ์ ศรีสถาน</t>
  </si>
  <si>
    <t>ธนาเทพ สังขวรรณ</t>
  </si>
  <si>
    <t>พิมพ์ภัทรา มีนาภา</t>
  </si>
  <si>
    <t>สกุลรัตน์ สดไธสง</t>
  </si>
  <si>
    <t>ทิพวัลย์ ขุนศรี</t>
  </si>
  <si>
    <t>สุรฉัตร โหลสกุล</t>
  </si>
  <si>
    <t>ธีระพงษ์</t>
  </si>
  <si>
    <t>จิตติศักดิ์ เสนาทิพย์</t>
  </si>
  <si>
    <t>ห้างหุ้นส่วนจำกัด โชค วายุ เครน</t>
  </si>
  <si>
    <t>บริษัท ดีอาร์เอส เครน จำกัด</t>
  </si>
  <si>
    <t>พีระพล มาวาตาริ</t>
  </si>
  <si>
    <t>บริษัท เสือโตซีเมนต์ จำกัด</t>
  </si>
  <si>
    <t>บริษัท เอส.พี.อินเตอร์ ไฮดรอลิค จำกัด</t>
  </si>
  <si>
    <t>บริษัท อภิวัฒน์ทรานสปอร์ต จำกัด</t>
  </si>
  <si>
    <t>เอกพงษ์ อุดอ้าย</t>
  </si>
  <si>
    <t>บจก.นครหลวง555</t>
  </si>
  <si>
    <t>jm</t>
  </si>
  <si>
    <t>jm_vat</t>
  </si>
  <si>
    <t>npl_loss</t>
  </si>
  <si>
    <t>jm_loss_before</t>
  </si>
  <si>
    <t>jm_all_vat</t>
  </si>
  <si>
    <t>cm</t>
  </si>
  <si>
    <t>cm_vat</t>
  </si>
  <si>
    <t>jm_loss_after</t>
  </si>
  <si>
    <t>cm_loss_before</t>
  </si>
  <si>
    <t>Total_vat</t>
  </si>
  <si>
    <t>Total_pay</t>
  </si>
  <si>
    <t>loss_status</t>
  </si>
  <si>
    <t>No information</t>
  </si>
  <si>
    <t>19271884</t>
  </si>
  <si>
    <t>16517294</t>
  </si>
  <si>
    <t>16517368</t>
  </si>
  <si>
    <t>9.01018E+11</t>
  </si>
  <si>
    <t>2080004691</t>
  </si>
  <si>
    <t>6001270309</t>
  </si>
  <si>
    <t>6001800191</t>
  </si>
  <si>
    <t>6000630157</t>
  </si>
  <si>
    <t>10119043</t>
  </si>
  <si>
    <t>29127116</t>
  </si>
  <si>
    <t>2751044766</t>
  </si>
  <si>
    <t>1010319958</t>
  </si>
  <si>
    <t>สมจิตร ชัยวงศ์</t>
  </si>
  <si>
    <t>ประภัสสร ใจภักดี</t>
  </si>
  <si>
    <t>อาภากร จรุงโภคากร</t>
  </si>
  <si>
    <t>คำภา หงษ์ชื่น</t>
  </si>
  <si>
    <t>วิชาญ กุณารบ</t>
  </si>
  <si>
    <t>ฮานีพะห์ ชุ่มจำรัส</t>
  </si>
  <si>
    <t>สุพรรษา เพิ่มขึ้น</t>
  </si>
  <si>
    <t>นิลเนตร  จรลี</t>
  </si>
  <si>
    <t>นาวี วงษ์ประเสริฐ</t>
  </si>
  <si>
    <t>จตุพร นาคหัสดี</t>
  </si>
  <si>
    <t>ขอยรอดิ้น ยีสะอิ</t>
  </si>
  <si>
    <t>วันชัย กล่ำแสง</t>
  </si>
  <si>
    <t>อนุรี โพธิ์ทักษิณ</t>
  </si>
  <si>
    <t>ซัมซูดิน ดารอแซ</t>
  </si>
  <si>
    <t>กุลภัสส์ กันเอม</t>
  </si>
  <si>
    <t>ปรัชญาทิตย์ พันธุ์ศิริ</t>
  </si>
  <si>
    <t>ไชยา ชินพา</t>
  </si>
  <si>
    <t>ดวงสุดา สอนซา</t>
  </si>
  <si>
    <t>สถาพร ทรัพย์บัว</t>
  </si>
  <si>
    <t>วาสนา ปาแดง</t>
  </si>
  <si>
    <t>สายรุ้ง กรอสเส็น</t>
  </si>
  <si>
    <t>จิดาภา ประยงค์แย้ม</t>
  </si>
  <si>
    <t>สนั่น จิตระออน</t>
  </si>
  <si>
    <t>มณเฑียร อยู่พิทักษ์</t>
  </si>
  <si>
    <t>ประกอบ เอื้อเฟื้อ</t>
  </si>
  <si>
    <t>กำพล ศรีทะลัง</t>
  </si>
  <si>
    <t>วรวิชย์ วินิตเขตคำนวณ</t>
  </si>
  <si>
    <t>คณิต พลสุพี</t>
  </si>
  <si>
    <t>วาสนา ปัดชากาว</t>
  </si>
  <si>
    <t>อาอีดะห์ สะตาปอ</t>
  </si>
  <si>
    <t>จิราภรณ์ สุขแสงจันทร์</t>
  </si>
  <si>
    <t>ธเนศ ฉนำกลาง</t>
  </si>
  <si>
    <t>อรรถพล ชูเมฆ</t>
  </si>
  <si>
    <t>หจก.ร้อยล้านโฆษณา</t>
  </si>
  <si>
    <t>ไพรัช คงมีสิทธิ์</t>
  </si>
  <si>
    <t>ชญาดา อุระพนม</t>
  </si>
  <si>
    <t>บริษัท ทีแอลซี พาวเวอร์ ไพล์ จำกัด</t>
  </si>
  <si>
    <t>ปรีชา พรมวิหาร</t>
  </si>
  <si>
    <t>กุ๊ก รำไพ</t>
  </si>
  <si>
    <t>จินตนา แซ่ล้อ</t>
  </si>
  <si>
    <t>อภิชาติ ภานุสถิตย์</t>
  </si>
  <si>
    <t>สุธี ศรีศักดิ์</t>
  </si>
  <si>
    <t>อัครณัฐ เลิศสรรเสริญ</t>
  </si>
  <si>
    <t>สุชาติ สังข์ภิรมย์</t>
  </si>
  <si>
    <t>ถาวร เหล่าศิริวัฒนา</t>
  </si>
  <si>
    <t>ณัฐปกรณ์ บัวปาน</t>
  </si>
  <si>
    <t>กัญญา พลอยขุนทด</t>
  </si>
  <si>
    <t>นพรัตน์ ภูมิ่งใบ</t>
  </si>
  <si>
    <t>ดวงชาย แก่นจันทร์</t>
  </si>
  <si>
    <t>กำธร ฉันทวิลาศ</t>
  </si>
  <si>
    <t>ปฏิภัทร ม่วงจอม</t>
  </si>
  <si>
    <t>นิซูรูวาน วาโด</t>
  </si>
  <si>
    <t>เกียรติพงษ์ ทองแถม</t>
  </si>
  <si>
    <t>พัชรินทร์ สารสมจริง</t>
  </si>
  <si>
    <t>ธนพล ทองสุกมาก</t>
  </si>
  <si>
    <t>รวม จันทร์เทศ</t>
  </si>
  <si>
    <t>มงคล ใจวงค์</t>
  </si>
  <si>
    <t>สมชัย สกุลเตียว</t>
  </si>
  <si>
    <t>อนุชิต หมื่นข่ม</t>
  </si>
  <si>
    <t>ทองสุข แสงแก้ว</t>
  </si>
  <si>
    <t>ปัชชญา สำรี</t>
  </si>
  <si>
    <t>สุวรรณา เตชา</t>
  </si>
  <si>
    <t>ยุวรัตน์ บุสดี</t>
  </si>
  <si>
    <t>รุชลี ดิง</t>
  </si>
  <si>
    <t>ธีรพนธ์ วงค์แก้ว</t>
  </si>
  <si>
    <t>ชัยมงคล เดือนขึ้น</t>
  </si>
  <si>
    <t>บุญเกิด ถานันใจ</t>
  </si>
  <si>
    <t>อนุรักษ์ พัฒนศุภกิจ</t>
  </si>
  <si>
    <t>ราเชนทร์ แซ่ตั้ง</t>
  </si>
  <si>
    <t>วิรัตน์ ปัญญาแสง</t>
  </si>
  <si>
    <t>วันทนา มิลชเตน</t>
  </si>
  <si>
    <t>cm_loss_after</t>
  </si>
  <si>
    <t>npl_loss_after</t>
  </si>
  <si>
    <t>npl_full_closed</t>
  </si>
  <si>
    <t>return_closed</t>
  </si>
  <si>
    <t>jm_full_closed</t>
  </si>
  <si>
    <t>Loss</t>
  </si>
  <si>
    <t>TotalID</t>
  </si>
  <si>
    <t>Total_sus</t>
  </si>
  <si>
    <t>Total_ass</t>
  </si>
  <si>
    <t>18891794</t>
  </si>
  <si>
    <t>25039875</t>
  </si>
  <si>
    <t>25478519</t>
  </si>
  <si>
    <t>21586263</t>
  </si>
  <si>
    <t>20883830</t>
  </si>
  <si>
    <t>18571472</t>
  </si>
  <si>
    <t>26727230</t>
  </si>
  <si>
    <t>29126727</t>
  </si>
  <si>
    <t>26728747</t>
  </si>
  <si>
    <t>29126914</t>
  </si>
  <si>
    <t>2759004321</t>
  </si>
  <si>
    <t>1020278354</t>
  </si>
  <si>
    <t>1030327051</t>
  </si>
  <si>
    <t>1050285649</t>
  </si>
  <si>
    <t>2030018497</t>
  </si>
  <si>
    <t>3010183625</t>
  </si>
  <si>
    <t>1010593430</t>
  </si>
  <si>
    <t>1011006236</t>
  </si>
  <si>
    <t>1011251419</t>
  </si>
  <si>
    <t>1011320399</t>
  </si>
  <si>
    <t>1050303477</t>
  </si>
  <si>
    <t>1050385376</t>
  </si>
  <si>
    <t>1100189018</t>
  </si>
  <si>
    <t>10332482</t>
  </si>
  <si>
    <t>2756002417</t>
  </si>
  <si>
    <t>2754008264</t>
  </si>
  <si>
    <t>2751044448</t>
  </si>
  <si>
    <t>1030331113</t>
  </si>
  <si>
    <t>1070194712</t>
  </si>
  <si>
    <t>1020099280</t>
  </si>
  <si>
    <t>23694970</t>
  </si>
  <si>
    <t>610065L002</t>
  </si>
  <si>
    <t>610092L001</t>
  </si>
  <si>
    <t>21260900</t>
  </si>
  <si>
    <t>2759045044</t>
  </si>
  <si>
    <t>2755009957</t>
  </si>
  <si>
    <t>1011653428</t>
  </si>
  <si>
    <t>1011705983</t>
  </si>
  <si>
    <t>110239</t>
  </si>
  <si>
    <t>75327</t>
  </si>
  <si>
    <t>10035865</t>
  </si>
  <si>
    <t>108309</t>
  </si>
  <si>
    <t>กรรณิการ์ ใจการ</t>
  </si>
  <si>
    <t>จารุวรรณ วิชัยงาม</t>
  </si>
  <si>
    <t>สุพัฒน์ กาญจนะโภคิน</t>
  </si>
  <si>
    <t>รวินท์ มะลิมาตร์</t>
  </si>
  <si>
    <t>อนุสรณ์  ศรีอ่อน</t>
  </si>
  <si>
    <t>สุริสา มะโนวงค์</t>
  </si>
  <si>
    <t>ศุภกิตติ์ ทองกก</t>
  </si>
  <si>
    <t>วราภรณ์ คำบัวทอง</t>
  </si>
  <si>
    <t>นภัสสร แอสพลุนด์</t>
  </si>
  <si>
    <t>ชัยนาท ทองมี</t>
  </si>
  <si>
    <t>ประนอม กุณา</t>
  </si>
  <si>
    <t>ธีรยุทธ ศรีทวี</t>
  </si>
  <si>
    <t>ราชัน งามแก้ว</t>
  </si>
  <si>
    <t>ประมวล มุ่งกลาง</t>
  </si>
  <si>
    <t>พรพักตร์ ชัชกุล</t>
  </si>
  <si>
    <t>เมธี สิทธิวงษ์</t>
  </si>
  <si>
    <t>สมพงษ์ ภาพยนต์</t>
  </si>
  <si>
    <t>พนินารถ บัวกลม</t>
  </si>
  <si>
    <t>พนรัญชน์ เวฬุ</t>
  </si>
  <si>
    <t>ประภัทสร หิตะวัน</t>
  </si>
  <si>
    <t>รักษ์สุดา แก้วพฤกษ์</t>
  </si>
  <si>
    <t>บังอร คลังสมบัติ</t>
  </si>
  <si>
    <t>ณรงค์ เทียมสังข์</t>
  </si>
  <si>
    <t>พงศธร สุดจิตร์</t>
  </si>
  <si>
    <t>สุนทร จันทร์ศรี</t>
  </si>
  <si>
    <t>สุชิน สรวมศิริ</t>
  </si>
  <si>
    <t>รัชนี เดอ เลท</t>
  </si>
  <si>
    <t>มารุต ลำน้อย</t>
  </si>
  <si>
    <t>ยงยุทธ์ เพตะกร</t>
  </si>
  <si>
    <t>อนันตา จีนขวั้น</t>
  </si>
  <si>
    <t>คำ ไชยปัญญา</t>
  </si>
  <si>
    <t>พัทธนันท์ กรงแก้ว</t>
  </si>
  <si>
    <t>พิพัฒน์พงษ์ แก้วรักษา</t>
  </si>
  <si>
    <t>ยุทธกานต์ เพิ่มกระโทก</t>
  </si>
  <si>
    <t>อาอิชะห์ มูฮัมหมัดวาซีม ยาฮังเกอร์</t>
  </si>
  <si>
    <t>อุษาพัชร พลีดี</t>
  </si>
  <si>
    <t>กฤษณะ ธนวจีมุนีโชติ</t>
  </si>
  <si>
    <t>ธนาวุฒิ ชำนาญขาว</t>
  </si>
  <si>
    <t>ธนิตา ถนอมศักดิ์ยุทธ</t>
  </si>
  <si>
    <t>dis</t>
  </si>
  <si>
    <t>npl_closed</t>
  </si>
  <si>
    <t>cm_closed</t>
  </si>
  <si>
    <t>jm_loss_before_closed</t>
  </si>
  <si>
    <t>cm_loss_before_closed</t>
  </si>
  <si>
    <t>jm_closed</t>
  </si>
  <si>
    <t>jm_loss_after_closed</t>
  </si>
  <si>
    <t/>
  </si>
  <si>
    <t>Expense</t>
  </si>
  <si>
    <t>sold_a</t>
  </si>
  <si>
    <t>land</t>
  </si>
  <si>
    <t>car_for_cash</t>
  </si>
  <si>
    <t>mc_for_cash</t>
  </si>
  <si>
    <t>personal_loan</t>
  </si>
  <si>
    <t>hp_car</t>
  </si>
  <si>
    <t>hp_mc</t>
  </si>
  <si>
    <t>nano_finance</t>
  </si>
  <si>
    <t>hp_sme</t>
  </si>
  <si>
    <t>leasing_sme</t>
  </si>
  <si>
    <t>2022_Q2_MTC</t>
  </si>
  <si>
    <t>2022_Q3_MTC</t>
  </si>
  <si>
    <t>2022_Q4_Heng</t>
  </si>
  <si>
    <t>2022_Q4_MTC</t>
  </si>
  <si>
    <t>2022_Q4_AMN</t>
  </si>
  <si>
    <t>2022_Q3_TCRB</t>
  </si>
  <si>
    <t>2023_Q1_KL</t>
  </si>
  <si>
    <t>2023_Q3_TYT</t>
  </si>
  <si>
    <t>2023_Q3_BMW</t>
  </si>
  <si>
    <t>2023_Q1_BMW</t>
  </si>
  <si>
    <t>2023_Q1_Orico</t>
  </si>
  <si>
    <t>2023_Q4_Orico</t>
  </si>
  <si>
    <t>2023_Q2_TCRB</t>
  </si>
  <si>
    <t>2023_Q4_MIT</t>
  </si>
  <si>
    <t>pm_a</t>
  </si>
  <si>
    <t>sold_d</t>
  </si>
  <si>
    <t>9.01013E+11</t>
  </si>
  <si>
    <t>630074L019</t>
  </si>
  <si>
    <t>6102050040</t>
  </si>
  <si>
    <t>2759010984</t>
  </si>
  <si>
    <t>2758011561</t>
  </si>
  <si>
    <t>28115078</t>
  </si>
  <si>
    <t>29022827</t>
  </si>
  <si>
    <t>6001370033</t>
  </si>
  <si>
    <t>6100400112</t>
  </si>
  <si>
    <t>6101350121</t>
  </si>
  <si>
    <t>6102110145</t>
  </si>
  <si>
    <t>29361202</t>
  </si>
  <si>
    <t>27596897</t>
  </si>
  <si>
    <t>1011509050</t>
  </si>
  <si>
    <t>9060012196</t>
  </si>
  <si>
    <t>9090013685</t>
  </si>
  <si>
    <t>9110026568</t>
  </si>
  <si>
    <t>1090187879</t>
  </si>
  <si>
    <t>9120029760</t>
  </si>
  <si>
    <t>P-6949319</t>
  </si>
  <si>
    <t>89996</t>
  </si>
  <si>
    <t>90248</t>
  </si>
  <si>
    <t>92674</t>
  </si>
  <si>
    <t>96065</t>
  </si>
  <si>
    <t>96231</t>
  </si>
  <si>
    <t>99592</t>
  </si>
  <si>
    <t>10000278</t>
  </si>
  <si>
    <t>10019936</t>
  </si>
  <si>
    <t>10025714</t>
  </si>
  <si>
    <t>10123626</t>
  </si>
  <si>
    <t>10065859</t>
  </si>
  <si>
    <t>10072609</t>
  </si>
  <si>
    <t>10109740</t>
  </si>
  <si>
    <t>10112193</t>
  </si>
  <si>
    <t>10113799</t>
  </si>
  <si>
    <t>10137559</t>
  </si>
  <si>
    <t>10147450</t>
  </si>
  <si>
    <t>10170263</t>
  </si>
  <si>
    <t>10171529</t>
  </si>
  <si>
    <t>10192267</t>
  </si>
  <si>
    <t>10190125</t>
  </si>
  <si>
    <t>10199894</t>
  </si>
  <si>
    <t>10222225</t>
  </si>
  <si>
    <t>10249420</t>
  </si>
  <si>
    <t>10256251</t>
  </si>
  <si>
    <t>10455116</t>
  </si>
  <si>
    <t>10307580</t>
  </si>
  <si>
    <t>10312627</t>
  </si>
  <si>
    <t>10328567</t>
  </si>
  <si>
    <t>10384871</t>
  </si>
  <si>
    <t>10382999</t>
  </si>
  <si>
    <t>10445342</t>
  </si>
  <si>
    <t>10453234</t>
  </si>
  <si>
    <t>10445896</t>
  </si>
  <si>
    <t>10455474</t>
  </si>
  <si>
    <t>10465800</t>
  </si>
  <si>
    <t>10492772</t>
  </si>
  <si>
    <t>10522589</t>
  </si>
  <si>
    <t>10001062</t>
  </si>
  <si>
    <t>10005497</t>
  </si>
  <si>
    <t>10163020</t>
  </si>
  <si>
    <t>1140019620</t>
  </si>
  <si>
    <t>108971</t>
  </si>
  <si>
    <t>117403</t>
  </si>
  <si>
    <t>121435</t>
  </si>
  <si>
    <t>85287</t>
  </si>
  <si>
    <t>HDKM201811000001</t>
  </si>
  <si>
    <t>นาง แก้วมณีรตน เอื้อมงคลวงศ์</t>
  </si>
  <si>
    <t>บริษัท ฉัตรเครน จำกัด</t>
  </si>
  <si>
    <t>ปาณญาภา พยุงวงษ์</t>
  </si>
  <si>
    <t>ลักษมี คำหอม</t>
  </si>
  <si>
    <t>ธนกฤต วันจงคำ</t>
  </si>
  <si>
    <t>ผดุงฤทธิ์ ลันขุนทด</t>
  </si>
  <si>
    <t>ภัทรกันย์ ณ นคร</t>
  </si>
  <si>
    <t>จิณพัต นาขันดี</t>
  </si>
  <si>
    <t>ธนพัต สุบินดี</t>
  </si>
  <si>
    <t>ยุวนุช สุนทรธรรม</t>
  </si>
  <si>
    <t>เพ็ญศรี ขันตี</t>
  </si>
  <si>
    <t>ณัฐวดี ชูพินิจ</t>
  </si>
  <si>
    <t>ไอยรา โพธิ์พุดซา</t>
  </si>
  <si>
    <t>ธวัช ศรีมณี</t>
  </si>
  <si>
    <t>ห้างหุ้นส่วนจำกัด ช.การช่างกันทรวิชัย</t>
  </si>
  <si>
    <t>บริษัท บิ๊ก แมชชีน เทรดดิ้ง จำกัด</t>
  </si>
  <si>
    <t>บจ.บิ้กแมชชีน เทรดดิ้ง</t>
  </si>
  <si>
    <t>น.ส. เสาวคนธ์ พรหมพันธ์</t>
  </si>
  <si>
    <t>บริษัท สยาม ซังเคียวพาร์ท จำกัด</t>
  </si>
  <si>
    <t>รัฐนนท์ พัฒนาพารา</t>
  </si>
  <si>
    <t>พรนภา ทองพัฒน์</t>
  </si>
  <si>
    <t>ประภัสสร มูลศรี</t>
  </si>
  <si>
    <t>ชัยยุทธ วังคำแหง</t>
  </si>
  <si>
    <t>กฤษฎา มหาครอง</t>
  </si>
  <si>
    <t>นิ่มนวล สีสันงาม</t>
  </si>
  <si>
    <t>สุวาริน ยศปัญญา</t>
  </si>
  <si>
    <t>นาย ปัญญา ปัญญาโชควัฒนา</t>
  </si>
  <si>
    <t>ภูริตา ถิ่นทัพ</t>
  </si>
  <si>
    <t>อนุชิต สุขรอด</t>
  </si>
  <si>
    <t>ภัทราวดี นานอน</t>
  </si>
  <si>
    <t>ปราโมทย์ สุภาพักตร์</t>
  </si>
  <si>
    <t>ชัยมงคลพร จันทร์ดี</t>
  </si>
  <si>
    <t>กิจจณา  สนสร้อย</t>
  </si>
  <si>
    <t>พูลสิทธิ์ เพ็ชร์สีสม</t>
  </si>
  <si>
    <t>พรพจน์ พลอยประเสริฐ</t>
  </si>
  <si>
    <t>ธัญสุดา โภชาดม</t>
  </si>
  <si>
    <t>วีระศักดิ์ หลิมวิวัฒน์</t>
  </si>
  <si>
    <t>มนัสวี เรืองสกุล</t>
  </si>
  <si>
    <t>ณัฐพงษ์ จันทร์เพชร</t>
  </si>
  <si>
    <t>สุรศักดิ์ ปิ่นมะณี</t>
  </si>
  <si>
    <t>ปิยธิดา สิทธิ</t>
  </si>
  <si>
    <t>ณัฐพล โพธิ์พร</t>
  </si>
  <si>
    <t>อภิชาติ บุญเภา</t>
  </si>
  <si>
    <t>กิตติกานต์ ณ ลำปาง</t>
  </si>
  <si>
    <t>ธนธรณ์ พรมมา</t>
  </si>
  <si>
    <t>พิทักษ์ จันที</t>
  </si>
  <si>
    <t>สุเมธ สิงหาด</t>
  </si>
  <si>
    <t>สรชาติ วิชย สุวรรณพรหม</t>
  </si>
  <si>
    <t>อนาวิล ชัตไพบูลย์</t>
  </si>
  <si>
    <t>รัชดา กรองแก้ว</t>
  </si>
  <si>
    <t>วิมล แพรอร่าม</t>
  </si>
  <si>
    <t>ดุสดี สละพันธุ์</t>
  </si>
  <si>
    <t>ชญาดา สิทธิจิตต์</t>
  </si>
  <si>
    <t>ฐิติธนดล ชุ่มอภัย</t>
  </si>
  <si>
    <t>เอกภพ พลอยน้ำเทศ</t>
  </si>
  <si>
    <t>พรหมประทาน ศรีคำจักร์</t>
  </si>
  <si>
    <t>ชลัมพ์ กวดขันธุ์</t>
  </si>
  <si>
    <t>เกื้อกูล รังษา</t>
  </si>
  <si>
    <t>สายชล รอดผึ้ง</t>
  </si>
  <si>
    <t>ราตรี แสนคำ</t>
  </si>
  <si>
    <t>นพคร สิริปุมแปง</t>
  </si>
  <si>
    <t>เบญญาภา สานคลุย</t>
  </si>
  <si>
    <t>ประสิทธิ์ ฟองเกตุ</t>
  </si>
  <si>
    <t>ภัชภิชา บุญฤทธิ์</t>
  </si>
  <si>
    <t>รัศมี นาคโชติ</t>
  </si>
  <si>
    <t>ดนุพัฒน์ รอดภัย</t>
  </si>
  <si>
    <t>ยุทธนา วัดพรหม</t>
  </si>
  <si>
    <t>น.ส. จินัชลิน โชตินันท์ธรณ์</t>
  </si>
  <si>
    <t>กรองแก้ว พงษ์สวัสดิ์</t>
  </si>
  <si>
    <t>ธเนศ คงเจริญ</t>
  </si>
  <si>
    <t>สนอง เพชรหมี</t>
  </si>
  <si>
    <t>ห้างหุ้นส่วนจำกัด เจริญทอง 999 บริการ</t>
  </si>
  <si>
    <t>ชาคิด ไสลรัตน์</t>
  </si>
  <si>
    <t>บริษัท ไทรอัมฟส์ โมล์ด เทคโนโลยี่ จำกัด</t>
  </si>
  <si>
    <t>บริษัท พญา พริ้นติ้ง แอนด์ พับลิชชิ่ง จำกัด</t>
  </si>
  <si>
    <t>pm_d</t>
  </si>
  <si>
    <t>Profit</t>
  </si>
  <si>
    <t>คนึง ตุกวุ่น</t>
  </si>
  <si>
    <t>กฤษฎา รักษา</t>
  </si>
  <si>
    <t>17087828</t>
  </si>
  <si>
    <t>เรืองยศ จำปาเจียม</t>
  </si>
  <si>
    <t>27004477</t>
  </si>
  <si>
    <t>โรสลิน แก้วเมือง</t>
  </si>
  <si>
    <t>25428963</t>
  </si>
  <si>
    <t>จำลอง หล้าโปทา</t>
  </si>
  <si>
    <t>27082394</t>
  </si>
  <si>
    <t>สุพัตรา โคตภูเขียว</t>
  </si>
  <si>
    <t>25812951</t>
  </si>
  <si>
    <t>14922214</t>
  </si>
  <si>
    <t>อุทัย กาวิละ</t>
  </si>
  <si>
    <t>25102586</t>
  </si>
  <si>
    <t>ไพฑูรย์ มาศวรรณา</t>
  </si>
  <si>
    <t>25933922</t>
  </si>
  <si>
    <t>วัชราภรณ์ ชะรินรัมย์</t>
  </si>
  <si>
    <t>21986372</t>
  </si>
  <si>
    <t>21986426</t>
  </si>
  <si>
    <t>21986771</t>
  </si>
  <si>
    <t>มิตร จันทร์นาค</t>
  </si>
  <si>
    <t>แอ๊ด บัวอิ่น</t>
  </si>
  <si>
    <t>20865216</t>
  </si>
  <si>
    <t>17165444</t>
  </si>
  <si>
    <t>20865266</t>
  </si>
  <si>
    <t>สมศักดิ์ ศรีพรม</t>
  </si>
  <si>
    <t>9.01017E+11</t>
  </si>
  <si>
    <t>บริษัท ภัทรวดีทัวร์ 2553 จำกัด</t>
  </si>
  <si>
    <t>9.01011E+11</t>
  </si>
  <si>
    <t>สุจิน นำแปง</t>
  </si>
  <si>
    <t>23526321</t>
  </si>
  <si>
    <t>โสพิน สายหล้า</t>
  </si>
  <si>
    <t>26632579</t>
  </si>
  <si>
    <t>อภิสรา จันสีมุ่ย</t>
  </si>
  <si>
    <t>19237498</t>
  </si>
  <si>
    <t>22961523</t>
  </si>
  <si>
    <t>กาญจนา คำศรี</t>
  </si>
  <si>
    <t>19096260</t>
  </si>
  <si>
    <t>เอกลักษณ์ ไชยกันธ์</t>
  </si>
  <si>
    <t>27563280</t>
  </si>
  <si>
    <t>จิราภรณ์ แสนวังคำ</t>
  </si>
  <si>
    <t>24813865</t>
  </si>
  <si>
    <t>นาถฤทัย สุรินทร์</t>
  </si>
  <si>
    <t>26851674</t>
  </si>
  <si>
    <t>อัมพร ผิวฝาด</t>
  </si>
  <si>
    <t>16244612</t>
  </si>
  <si>
    <t>รุ่งสุริยา เดชเลย์</t>
  </si>
  <si>
    <t>25191718</t>
  </si>
  <si>
    <t>พรประภา คืนมาเมือง</t>
  </si>
  <si>
    <t>24058311</t>
  </si>
  <si>
    <t>22961666</t>
  </si>
  <si>
    <t>22961796</t>
  </si>
  <si>
    <t>รุ่งนภา ไชยพร</t>
  </si>
  <si>
    <t>23280129</t>
  </si>
  <si>
    <t>จารุพร พรมเมศ</t>
  </si>
  <si>
    <t>18567309</t>
  </si>
  <si>
    <t>18567521</t>
  </si>
  <si>
    <t>ทวีพร สียางนอก</t>
  </si>
  <si>
    <t>25692011</t>
  </si>
  <si>
    <t>อินทิรา ช่วงโชติ</t>
  </si>
  <si>
    <t>30183985</t>
  </si>
  <si>
    <t>สุกัญญา สุนารักษ์</t>
  </si>
  <si>
    <t>26393637</t>
  </si>
  <si>
    <t>วนิดา ทุ่งพรวน</t>
  </si>
  <si>
    <t>18575408</t>
  </si>
  <si>
    <t>เจนจิรา อ้วนวิจิตร</t>
  </si>
  <si>
    <t>24848292</t>
  </si>
  <si>
    <t>กมลทิพย์ กันปาน</t>
  </si>
  <si>
    <t>25645406</t>
  </si>
  <si>
    <t>ห้างหุ้นส่วนจำกัด เจพี โมลด์แอนด์พาร์ท</t>
  </si>
  <si>
    <t>คนองเดช พงค์พล</t>
  </si>
  <si>
    <t>27455935</t>
  </si>
  <si>
    <t>ปรียา ตรีมาตย์</t>
  </si>
  <si>
    <t>25511663</t>
  </si>
  <si>
    <t>24843920</t>
  </si>
  <si>
    <t>มาลา กอบแก้ว</t>
  </si>
  <si>
    <t>24761551</t>
  </si>
  <si>
    <t>vd</t>
  </si>
  <si>
    <t>early_sue</t>
  </si>
  <si>
    <t>sue</t>
  </si>
  <si>
    <t>land_not_registered</t>
  </si>
  <si>
    <t>P-6486381</t>
  </si>
  <si>
    <t>P-7277605</t>
  </si>
  <si>
    <t>28602672</t>
  </si>
  <si>
    <t>27016577</t>
  </si>
  <si>
    <t>L-6726734</t>
  </si>
  <si>
    <t>L-6905596</t>
  </si>
  <si>
    <t>H-6564142</t>
  </si>
  <si>
    <t>H-6893936</t>
  </si>
  <si>
    <t>J-6679383</t>
  </si>
  <si>
    <t>J-7057574</t>
  </si>
  <si>
    <t>L-6448149</t>
  </si>
  <si>
    <t>L-6873681</t>
  </si>
  <si>
    <t>L-7094798</t>
  </si>
  <si>
    <t>R-6734911</t>
  </si>
  <si>
    <t>R-6735574</t>
  </si>
  <si>
    <t>C-7158237</t>
  </si>
  <si>
    <t>HD80201811000001</t>
  </si>
  <si>
    <t>HD66201810000001</t>
  </si>
  <si>
    <t>HD66201802000004-R1</t>
  </si>
  <si>
    <t>HDKM201807000004</t>
  </si>
  <si>
    <t>ประสิทธิ์ หนูรักษ์</t>
  </si>
  <si>
    <t>ลินดา แสงสว่าง</t>
  </si>
  <si>
    <t>พฤฒ บัณฑร</t>
  </si>
  <si>
    <t>รัฐศาสตร์ ทรัพย์ถาวร</t>
  </si>
  <si>
    <t>นาย พิทักษ์ ชัยเจริญชนะ</t>
  </si>
  <si>
    <t>เฉลิมชนม์ สอดสี</t>
  </si>
  <si>
    <t>สมศักดิ์ แป้นสุข</t>
  </si>
  <si>
    <t>นาย ธนพงษ์ ทองพิมพ์</t>
  </si>
  <si>
    <t>ภัทราวดี ขัดสม</t>
  </si>
  <si>
    <t>ประจวบ พรมสวัสดิ์</t>
  </si>
  <si>
    <t>สุภาภรณ์ บุญภักดี</t>
  </si>
  <si>
    <t>นันทนา บรรณชวนชิต</t>
  </si>
  <si>
    <t>พัชรี สิงห์สงฆ์</t>
  </si>
  <si>
    <t>พัฒนพงษ์ มาตรแสง</t>
  </si>
  <si>
    <t>พัทธนันท์ ศุขมนัส</t>
  </si>
  <si>
    <t>อักษราภรณ์ ร่มโพธิ์</t>
  </si>
  <si>
    <t>เมทิกา เตชะปิยะฉัตร</t>
  </si>
  <si>
    <t>จิระประภา โสรมรรค</t>
  </si>
  <si>
    <t>ณัฐวุฒิ นิยมสุขศิริ</t>
  </si>
  <si>
    <t>อัครชัย เทียมศรี</t>
  </si>
  <si>
    <t>พนมไพร พรอินทร์</t>
  </si>
  <si>
    <t>มาโนช มาสะและ</t>
  </si>
  <si>
    <t>ศศิธร ปัญญานาม</t>
  </si>
  <si>
    <t>ชนิตา โสประดิษฐ</t>
  </si>
  <si>
    <t>วิว วงศ์สุขดี</t>
  </si>
  <si>
    <t>กัญญาภัทร แตงชาติ</t>
  </si>
  <si>
    <t>อุไรวรรณ จันทร</t>
  </si>
  <si>
    <t>มณีรัตน์ บุญดี</t>
  </si>
  <si>
    <t>กิตติศักดิ์ สร้อยประดิษฐ์</t>
  </si>
  <si>
    <t>อภิวัฒน์ บุตรพรมมา</t>
  </si>
  <si>
    <t>ปัญญาธร เหลือน้อย</t>
  </si>
  <si>
    <t>พีระศักดิ์ โพธิ์ศรี</t>
  </si>
  <si>
    <t>ธนวัฒน์ หงษ์น้อย</t>
  </si>
  <si>
    <t>ชาญยุทธ จวงทอง</t>
  </si>
  <si>
    <t>กิตติศักดิ์ นาปัญญา</t>
  </si>
  <si>
    <t>รัชดาภรณ์ มณีมอญ</t>
  </si>
  <si>
    <t>ประยูร หอมยม</t>
  </si>
  <si>
    <t>ชนธร ชุติพรทวี</t>
  </si>
  <si>
    <t>ไหมดีน๊ะ จินดา</t>
  </si>
  <si>
    <t>ธัญญรัตน์ แสงระวี</t>
  </si>
  <si>
    <t>อาภรณ์ สารโภคา</t>
  </si>
  <si>
    <t>สาคร ภูคำศักดิ์</t>
  </si>
  <si>
    <t>ธนปติ ศรีหริ่ง</t>
  </si>
  <si>
    <t>คมเดช แก้วยงกฎ</t>
  </si>
  <si>
    <t>สุพัตรา เปี่ยมไชย</t>
  </si>
  <si>
    <t>ศิตา คำปัง</t>
  </si>
  <si>
    <t>สมใจ พันธ์มี</t>
  </si>
  <si>
    <t>บรรจง บูรณะ</t>
  </si>
  <si>
    <t>ดุษฎี วัฒนุยาน</t>
  </si>
  <si>
    <t>มยุรา ม่วงบาง</t>
  </si>
  <si>
    <t>ปวริศร ฉายฝาก</t>
  </si>
  <si>
    <t>ภาณุพงศ์ เพ็งคล้าย</t>
  </si>
  <si>
    <t>วราพร กองพิมาย</t>
  </si>
  <si>
    <t>ราตรี ฮาสแลม</t>
  </si>
  <si>
    <t>ปรียานุช แสงนาค</t>
  </si>
  <si>
    <t>ประกาศิต ร่มบุญ</t>
  </si>
  <si>
    <t>จิรศักดิ์ รักษาบุญ</t>
  </si>
  <si>
    <t>สุวรรณ หิรัญรัตน์</t>
  </si>
  <si>
    <t>อริญชัย ตลุ่มพุก</t>
  </si>
  <si>
    <t>อนุสรณ์ พรใหม่</t>
  </si>
  <si>
    <t>พันธ์ทิพา มุมกลางวิชัย</t>
  </si>
  <si>
    <t>วัชรวัฒน์ ยอดสอน</t>
  </si>
  <si>
    <t>ภาคิณ น้อยสกุล</t>
  </si>
  <si>
    <t>ทรัพย์สุวรรณ เกตุประยูร</t>
  </si>
  <si>
    <t>รุจิรา อารีย์</t>
  </si>
  <si>
    <t>ศรินณา  ตาลาน</t>
  </si>
  <si>
    <t>กิตติศักดิ์ เทียมสำโรง</t>
  </si>
  <si>
    <t>นาย ชวลิต หนูมาก</t>
  </si>
  <si>
    <t>นาย เจริญชัย นิลบุญ</t>
  </si>
  <si>
    <t>cm_all_vat</t>
  </si>
  <si>
    <t>N-7100277</t>
  </si>
  <si>
    <t>N-6556764</t>
  </si>
  <si>
    <t>C-7149802</t>
  </si>
  <si>
    <t>ฐิติรัตน์ ปุละโว</t>
  </si>
  <si>
    <t>ภัทราวดี สัตยสุวรรณ</t>
  </si>
  <si>
    <t>พรทิพย์ สุทธิอาจ</t>
  </si>
  <si>
    <t>อนุรักษ์ หุตะสิงห์</t>
  </si>
  <si>
    <t>สุภาลักษณ์ กาเรือง</t>
  </si>
  <si>
    <t>บริษัท ฆ.ระฆัง ก่อสร้าง จำกัด</t>
  </si>
  <si>
    <t>ณัชชารีย์ ณัฐธิกานต์โภคิน</t>
  </si>
  <si>
    <t>ปรีชญา จันทร์แก้ว</t>
  </si>
  <si>
    <t>นุชจรินทร์ ชนะพันธ์</t>
  </si>
  <si>
    <t>ชาตรี ประจำเมือง</t>
  </si>
  <si>
    <t>เสาวณีย์ เสมอใจ</t>
  </si>
  <si>
    <t>ธนาโชติ นาราช</t>
  </si>
  <si>
    <t>กฤษณะชัย ศรีกำพล</t>
  </si>
  <si>
    <t>ชุติกาญจน์ กุลวุฒิกอบโชค</t>
  </si>
  <si>
    <t>รักเกียรติ โพธิ</t>
  </si>
  <si>
    <t>ภัทราวดี อยู่หนองฉาง</t>
  </si>
  <si>
    <t>ภภัสร์อร ประชานุชิต</t>
  </si>
  <si>
    <t>สามารถ โคตรวิทย์</t>
  </si>
  <si>
    <t>ภานุเดช คนเสงี่ยม</t>
  </si>
  <si>
    <t>สิทธิพล ภูมิถาวร</t>
  </si>
  <si>
    <t>จิระภา น้อยมณี</t>
  </si>
  <si>
    <t>สมพงษ์ สุขสุแพทย์</t>
  </si>
  <si>
    <t>จรรยา ปลูกบุญทรง</t>
  </si>
  <si>
    <t>ณัฏฐ์นลิน ทิมกระจ่าง</t>
  </si>
  <si>
    <t>พิมพ์พิไล ชื่นเมือง</t>
  </si>
  <si>
    <t>แสงเจริญชัย หวั้นเส้ง</t>
  </si>
  <si>
    <t>ประกอบ สุขแก้ว</t>
  </si>
  <si>
    <t>อาทิตย์ ดอนโสรส</t>
  </si>
  <si>
    <t>บจก.เอวาย2499</t>
  </si>
  <si>
    <t>Done</t>
  </si>
  <si>
    <t>C-6871718</t>
  </si>
  <si>
    <t>620080L011</t>
  </si>
  <si>
    <t>630238L040</t>
  </si>
  <si>
    <t>630160L001</t>
  </si>
  <si>
    <t>650273L002</t>
  </si>
  <si>
    <t>ภูวดล ไวยเนตร</t>
  </si>
  <si>
    <t>จรัล อำภัย</t>
  </si>
  <si>
    <t>ธีระศักดิ์ ศรีตะบุตร</t>
  </si>
  <si>
    <t>ปัญญา ปันทอง</t>
  </si>
  <si>
    <t>จอมศรี ใจอาษา</t>
  </si>
  <si>
    <t>วินัยธร ธนะสุนทร</t>
  </si>
  <si>
    <t>ประเสริฐ พุ่มสุข</t>
  </si>
  <si>
    <t>สุวิทย์ ฟักนาดี</t>
  </si>
  <si>
    <t>ภูวรินทร์ เรืองศรี</t>
  </si>
  <si>
    <t>สว่าง นาคเรือง</t>
  </si>
  <si>
    <t>สุกัญญา ศรีชัย</t>
  </si>
  <si>
    <t>อภิชาติ พันธรักษ์</t>
  </si>
  <si>
    <t>ดรชา แก้วชา</t>
  </si>
  <si>
    <t>รุ่งอรุณ ผลาปีย์</t>
  </si>
  <si>
    <t>เกสรา คะนันศรี</t>
  </si>
  <si>
    <t>จิราภรณ์ แก้วดี</t>
  </si>
  <si>
    <t>สุธัญญา ถาวารี</t>
  </si>
  <si>
    <t>ดวงฤดี เปล่งศรี</t>
  </si>
  <si>
    <t>เกตุ โพธิ์แก้ว</t>
  </si>
  <si>
    <t>ศรีไพร ไม้เกตุ</t>
  </si>
  <si>
    <t>วรางคนาง ศักดิ์จ้าย</t>
  </si>
  <si>
    <t>นิคม กะสันเทียะ</t>
  </si>
  <si>
    <t>กุลธิดา ปาตู</t>
  </si>
  <si>
    <t>เกรียงไกร จันทร์เมือง</t>
  </si>
  <si>
    <t>สมานเกียรติ เกรัมย์</t>
  </si>
  <si>
    <t>ประกิต สุขสำราญ</t>
  </si>
  <si>
    <t>ปราณีรัตน์ นรารมย์</t>
  </si>
  <si>
    <t>อนิตยา ทรัพย์พอกพูล</t>
  </si>
  <si>
    <t>ดอเลาะ มูนะ</t>
  </si>
  <si>
    <t>สมาพร พรอยู่ศรี</t>
  </si>
  <si>
    <t>วรรณภรณ์ ทิพย์สอน</t>
  </si>
  <si>
    <t>รัชนี ทองกูล</t>
  </si>
  <si>
    <t>เนตรนภา อามาตย์สมบัติ</t>
  </si>
  <si>
    <t>รัญจวน สีจำปา</t>
  </si>
  <si>
    <t>เยาวมาณ สงสุข</t>
  </si>
  <si>
    <t>สำลี แดนชัยภูมิ</t>
  </si>
  <si>
    <t>กนกพิชญ ทำสันเทียะ</t>
  </si>
  <si>
    <t>อนันต์ ลีโคตร</t>
  </si>
  <si>
    <t>วณีรัตน์ วุฒิภาภรณ์</t>
  </si>
  <si>
    <t>รัตติกาล แก้วบัวดี</t>
  </si>
  <si>
    <t>วนิดา ธุระตา</t>
  </si>
  <si>
    <t>วรวุฒิ นวลพุดซา</t>
  </si>
  <si>
    <t>บุญตา แสนตะรัตน์</t>
  </si>
  <si>
    <t>ศศิกานต์ มากดี</t>
  </si>
  <si>
    <t>เฉลิมวุฒิ สมแสน</t>
  </si>
  <si>
    <t>จินตนา ดงใต้</t>
  </si>
  <si>
    <t>บุบผา แสงคำ</t>
  </si>
  <si>
    <t>สมภูมิ เพิ่มไธสง</t>
  </si>
  <si>
    <t>สนธยา คูณขุนทด</t>
  </si>
  <si>
    <t>ชญาณี สุขบรรเทิง</t>
  </si>
  <si>
    <t>พวงทอง ไสยประพันธุ์</t>
  </si>
  <si>
    <t>อิศราภรณ์ คมทอง</t>
  </si>
  <si>
    <t>อุทัย ทองภู</t>
  </si>
  <si>
    <t>สุวรรณา งามเขียว</t>
  </si>
  <si>
    <t>เบญจมาศ เปรี่ยมดี</t>
  </si>
  <si>
    <t>สายชล สานคลุย</t>
  </si>
  <si>
    <t>สุปรียา สร้อยจิตร</t>
  </si>
  <si>
    <t>สุพัตรา เทพารักษ์</t>
  </si>
  <si>
    <t>ณัฐชานันท์ พรสวัสดิ์</t>
  </si>
  <si>
    <t>คัทรียา สุรินทร์</t>
  </si>
  <si>
    <t>เกียรติศักดิ์ เที่ยงเรือง</t>
  </si>
  <si>
    <t>ฐิตารีย์ นาขำ</t>
  </si>
  <si>
    <t>ศุอภิญา ศรีม่วง</t>
  </si>
  <si>
    <t>นาวิกา สันตวง</t>
  </si>
  <si>
    <t>นภัทร เศรษฐบุตร</t>
  </si>
  <si>
    <t>อรุณศรี สุตะพันธ์</t>
  </si>
  <si>
    <t>โสรญา บับพาสี</t>
  </si>
  <si>
    <t>วิชาญ ไกรษร</t>
  </si>
  <si>
    <t>ปานแก้ว สุขศรี</t>
  </si>
  <si>
    <t>ถนอมนวล ขาวอร่าม</t>
  </si>
  <si>
    <t>จีรยุทธ์ ภักดีสุวรรณ์</t>
  </si>
  <si>
    <t>วารุณีย์ คงบุญ</t>
  </si>
  <si>
    <t>ทองพูน ก้านเพชร</t>
  </si>
  <si>
    <t>มาลี เทพรักษา</t>
  </si>
  <si>
    <t>กชพรรณ วงค์สารภี</t>
  </si>
  <si>
    <t>กรรญาณี บัวงาม</t>
  </si>
  <si>
    <t>สุชาดา เกตุแก้ว</t>
  </si>
  <si>
    <t>ปัญญา ศิลาคุปต์</t>
  </si>
  <si>
    <t>สุกัญญา จิตรีวาสน์</t>
  </si>
  <si>
    <t>เยาวเรศ มั่นแน่</t>
  </si>
  <si>
    <t>ทิศาชล สีแสง</t>
  </si>
  <si>
    <t>ทิวากร พลศรีราช</t>
  </si>
  <si>
    <t>วาสนา พรมมา</t>
  </si>
  <si>
    <t>รัชนีภร ศรนุวัตร</t>
  </si>
  <si>
    <t>นพร จิระศิลปสุทธิ์</t>
  </si>
  <si>
    <t>ยุทธนา รัตนเย็นใจ</t>
  </si>
  <si>
    <t>สำราญ เพชรปานกัน</t>
  </si>
  <si>
    <t>วรธน อยู่เย็น</t>
  </si>
  <si>
    <t>จักรี โคทอง</t>
  </si>
  <si>
    <t>พัชรินท์ หาญจริง</t>
  </si>
  <si>
    <t>ละอองดาว จันทร์หอม</t>
  </si>
  <si>
    <t>สงกรานต์ ผาลัย</t>
  </si>
  <si>
    <t>กาญจนา เหลืองสราญกุล</t>
  </si>
  <si>
    <t>นุชชนันลดา ชัยสงค์</t>
  </si>
  <si>
    <t>มนตรี ไทยกุล</t>
  </si>
  <si>
    <t>ปัญจพร มงคล</t>
  </si>
  <si>
    <t>จุฬาพร แหยมนุช</t>
  </si>
  <si>
    <t>ภูวดล ศรีสงคราม</t>
  </si>
  <si>
    <t>น.ส.นริสรา ศรีชวน</t>
  </si>
  <si>
    <t>มนัสชัย ชัยชนะทรัพย์</t>
  </si>
  <si>
    <t>นพฤทธิ์ ฤทธิเดช</t>
  </si>
  <si>
    <t>ไพรัช มิ่งขวัญสกุลสุข</t>
  </si>
  <si>
    <t>สุนิสา โป้ชาดา</t>
  </si>
  <si>
    <t>วรวุฒิ โสภณางกูร</t>
  </si>
  <si>
    <t>พัชรี บุตรสา</t>
  </si>
  <si>
    <t>นเรศ วารินทร์</t>
  </si>
  <si>
    <t>ศุภรัตน์ ดู่แก้ว</t>
  </si>
  <si>
    <t>ดิเรก สุวรรณโฉม</t>
  </si>
  <si>
    <t>นาง ภัครดา ศรีตระกูล</t>
  </si>
  <si>
    <t>มาลี พาลีเขต</t>
  </si>
  <si>
    <t>พัชรินทร์ หลวงราช</t>
  </si>
  <si>
    <t>จักรี จำปารา</t>
  </si>
  <si>
    <t>พัชราภรณ์ พงษ์สละ</t>
  </si>
  <si>
    <t>เพียง เอี่ยมศิริ</t>
  </si>
  <si>
    <t>ประภา ศรีเหรา</t>
  </si>
  <si>
    <t>พลอยสุดา ดวงวงษ์จันทร์</t>
  </si>
  <si>
    <t>ณัฐวัฒน์ โคตะวัน</t>
  </si>
  <si>
    <t>ปัทมาพร กำลังไทย</t>
  </si>
  <si>
    <t>อังคาร นิตถาวร</t>
  </si>
  <si>
    <t>ฐิติโชติ เลี้ยงวงษ์</t>
  </si>
  <si>
    <t>ปิยฉัตร ชุนตาล</t>
  </si>
  <si>
    <t>อุบลวรรณ ตันเจริญ</t>
  </si>
  <si>
    <t>สมบูรณ์ พึ่งนุสนธ์</t>
  </si>
  <si>
    <t>C:\Pam_card\_Data_Status.xlsx</t>
  </si>
  <si>
    <t>update Status file Path</t>
  </si>
  <si>
    <t>นางสาวแสงเดือน จงย่อกลาง</t>
  </si>
  <si>
    <t>น.ส. อรวรรณ ผิวผ่อง</t>
  </si>
  <si>
    <t>นาย วิภาค ภู่เพชร</t>
  </si>
  <si>
    <t>น.ส. จุไรรัตน์ ณ ระนอง</t>
  </si>
  <si>
    <t>นายมนต์ชัย สิทธิแสงอำไพ</t>
  </si>
  <si>
    <t>นางสาวปาริฉัตร สิโนรักษ์</t>
  </si>
  <si>
    <t>TAKAYAMA PRECISION CO.,LTD.</t>
  </si>
  <si>
    <t>AJ CONTAINER CO.,LTD.</t>
  </si>
  <si>
    <t>นาย อัชญา แดงหัวนา</t>
  </si>
  <si>
    <t>น.ส. สุปราณี ธรรมทะ</t>
  </si>
  <si>
    <t>นาย สุรฉัตร โหลสกุล</t>
  </si>
  <si>
    <t>A-7096348</t>
  </si>
  <si>
    <t>นาย นิสสรณ์ ชุ่มกระโทก</t>
  </si>
  <si>
    <t>น.ส. ยะรอน๊ะ มาลีเต๊ะ</t>
  </si>
  <si>
    <t>นาง รัตนา จูฑามาตย์</t>
  </si>
  <si>
    <t>นาย คมเดช แก้วยงกฎ</t>
  </si>
  <si>
    <t xml:space="preserve">บริษัท บิ๊ก แมชชีน เทรดดิ้ง จำกัด       </t>
  </si>
  <si>
    <t>นาย พนม อบมาลี</t>
  </si>
  <si>
    <t>บจก.ควอลิตี้ รีโนเวชั่น แอนด์ แมนเนจเม้นท์</t>
  </si>
  <si>
    <t>นายถวัลย์ จันทร์เอี่ยม</t>
  </si>
  <si>
    <t>นางสาวนันทกานต์ ภาคสัมพันธ์</t>
  </si>
  <si>
    <t>นางสาวโชติโรส สมสมัย</t>
  </si>
  <si>
    <t>นาย ธเนศ คงเจริญ</t>
  </si>
  <si>
    <t>นายประสิทธิ์ คงจีน</t>
  </si>
  <si>
    <t>น.ส. พุทธิษา ตาจุ่ม</t>
  </si>
  <si>
    <t>นาย ปัญญา เชื้ออินทร์</t>
  </si>
  <si>
    <t>นาย ราเชด อาสะหนิ</t>
  </si>
  <si>
    <t>PHAYA PRINTING AND PUBLISHING COMPANY LIMITED</t>
  </si>
  <si>
    <t>นางฤทัย ศรีสมศักดิ์</t>
  </si>
  <si>
    <t>นางจิราพร ทองพร</t>
  </si>
  <si>
    <t>นาย วีรยุทธ ใยสีงาม</t>
  </si>
  <si>
    <t>น.ส. ศศิประภา นาคสุวรรณ</t>
  </si>
  <si>
    <t>นาย อานนท์ เทพลิบ</t>
  </si>
  <si>
    <t>น.ส. สมฤทัย ฉิมพาลี</t>
  </si>
  <si>
    <t>SIAMVISION TRANSPORT CO.,LTD.</t>
  </si>
  <si>
    <t>นายราเชน หน่องพงษ์</t>
  </si>
  <si>
    <t>นายเอนก โพธิ์สุ</t>
  </si>
  <si>
    <t xml:space="preserve">นาย มิตร จันทร์นาค                      </t>
  </si>
  <si>
    <t>นาย กบินร์ เสนานาม</t>
  </si>
  <si>
    <t>นาย อาคม แตงทอง</t>
  </si>
  <si>
    <t>น.ส. ณดา ฟองละแอ</t>
  </si>
  <si>
    <t>AW TOOLS AND AUTOMATION COMPANY LIMITED</t>
  </si>
  <si>
    <t>GOOD-PRINT PRINTING LTD.,PART.</t>
  </si>
  <si>
    <t>นางสาวฟาอีซะห์ หะยีแลบา</t>
  </si>
  <si>
    <t>นางวราภรณ์ คำบัวทอง</t>
  </si>
  <si>
    <t xml:space="preserve">นาย สมศักดิ์ ศรีพรม                     </t>
  </si>
  <si>
    <t>พ.อ. วชิราวิทย์ เขตตลาด</t>
  </si>
  <si>
    <t>DIATEC WORK COMPANY LIMITED</t>
  </si>
  <si>
    <t xml:space="preserve">ห้างหุ้นส่วนจำกัด พัชรสุข               </t>
  </si>
  <si>
    <t>น.ส. จินดา โอระพันธ์</t>
  </si>
  <si>
    <t xml:space="preserve">นาย ศิริวิทย์ คีรีเดช                   </t>
  </si>
  <si>
    <t>นาย ฑายุกร รักนุ้ย</t>
  </si>
  <si>
    <t>น.ส. เกษราภรณ์ บำรุงรักษ์</t>
  </si>
  <si>
    <t>น.ส. วิภาดา ดอนดีไพร</t>
  </si>
  <si>
    <t>นาย ศักดา วิภาคสงเคราะห์</t>
  </si>
  <si>
    <t>CHPI ENGINEERING (THAILAND) CO.,LTD.</t>
  </si>
  <si>
    <t>BUSINESS BRIDGE INTERNATIONAL CO.,LTD.</t>
  </si>
  <si>
    <t>นายวัชรินทร์ ม่วงไหม</t>
  </si>
  <si>
    <t>น.ส. รัตดา ปินใจ</t>
  </si>
  <si>
    <t xml:space="preserve">นาย คนึง ตุกวุ่น                        </t>
  </si>
  <si>
    <t>น.ส. รุจิรา จันทร์พะโยม</t>
  </si>
  <si>
    <t>นายวุฒิพงษ์ ผลเพิ่ม</t>
  </si>
  <si>
    <t>นายสัญชัย จันต๊ะ</t>
  </si>
  <si>
    <t>นายสุริยา วิบูลย์ธนากร</t>
  </si>
  <si>
    <t>นางสุเรขา มูลสาร</t>
  </si>
  <si>
    <t xml:space="preserve">ห้างหุ้นส่วนจำกัด เจพี โมลด์แอนด์พาร์ท  </t>
  </si>
  <si>
    <t>บจก.ธีระพงษ์</t>
  </si>
  <si>
    <t xml:space="preserve">บริษัท ภูเก็ตจันทรสว่าง จำกัด           </t>
  </si>
  <si>
    <t>นาย สัญญา ศาลางาม</t>
  </si>
  <si>
    <t>นายประสิทธิ์ แสงจันทร์</t>
  </si>
  <si>
    <t>นาย เกศพยุง คนการ</t>
  </si>
  <si>
    <t>นาง แสงเดือน ตั้งตัว</t>
  </si>
  <si>
    <t>นางปุณณภา อินทรทองคำ</t>
  </si>
  <si>
    <t>นางสาวจอมสุรางค์ วิภาตะจิตร์</t>
  </si>
  <si>
    <t>นางสาวศิริลักษณ์ ปราบสกูล</t>
  </si>
  <si>
    <t>นายเตชะ เพิ่มความดี</t>
  </si>
  <si>
    <t>นายสมานเกียรติ เกรัมย์</t>
  </si>
  <si>
    <t>น.ส. นงคราญ ถาริยะ</t>
  </si>
  <si>
    <t>น.ส. ดลพร อิ่มท้องฟ้า</t>
  </si>
  <si>
    <t>น.ส. อ้อมจิตร แนสส์</t>
  </si>
  <si>
    <t>สรัญญา ชมภูศรี</t>
  </si>
  <si>
    <t>ปัทมาวรรณ ศรีวงศ์อุดมสิน</t>
  </si>
  <si>
    <t>ยุพิน สร้อยทองคำ</t>
  </si>
  <si>
    <t>ศุภฤกษ์ มลิเถา</t>
  </si>
  <si>
    <t>Normal</t>
  </si>
  <si>
    <t>HC 2/2 (ครบ 75,000)</t>
  </si>
  <si>
    <t>HC 4/5</t>
  </si>
  <si>
    <t>Add Transaction</t>
  </si>
  <si>
    <t>Full Payment</t>
  </si>
  <si>
    <t>HC 1/1</t>
  </si>
  <si>
    <t>Normal (ลูกค้าจ่ายที่274,620 แต่หักค่าใช้จ่ายให้ทีมเซลล์7,000)</t>
  </si>
  <si>
    <t>คืนเงิน + จ่ายก่อน assign งาน OA 20/11/2023 (Orico หักค่าธรรมเนียม 10 บาท)</t>
  </si>
  <si>
    <t>คืนเงิน + จ่าย 18/12/2023  (Orico หักค่าธรรมเนียม 20 บาท)</t>
  </si>
  <si>
    <t>HC 1/1 (บางส่วน นัดชำระที่900,000 จ่ายมา30,000 ค้างอีก870,000 วันที่15/01/2024)</t>
  </si>
  <si>
    <t>Auction</t>
  </si>
  <si>
    <t>Adjust Balance</t>
  </si>
  <si>
    <t>HC 1/1 (ครบ900,000)</t>
  </si>
  <si>
    <t>Full Payment (รวมVat)</t>
  </si>
  <si>
    <t>HC 1/1 (บางส่วน นัดชำระที่60,000 จ่ายมา30,000 ค้างอีก30,000 วันที่24/01/2024)</t>
  </si>
  <si>
    <t>Full Payment (จ่ายครบยอดหนี้คงเหลือแล้ว)</t>
  </si>
  <si>
    <t>RS</t>
  </si>
  <si>
    <t>HC 5/15</t>
  </si>
  <si>
    <t>Direct</t>
  </si>
  <si>
    <t>HC 1/1 (ครบ60,000)</t>
  </si>
  <si>
    <t>รับเช็ค</t>
  </si>
  <si>
    <t>HC 8/10</t>
  </si>
  <si>
    <t>HC 1/2 (แบ่งจ่ายสองสลิป77,000 +3,000)</t>
  </si>
  <si>
    <t>HC 4/4</t>
  </si>
  <si>
    <t>CM</t>
  </si>
  <si>
    <t>HC 2/6</t>
  </si>
  <si>
    <t>RS (บางส่วน มีนัดชำระปลายเดือนอีก16,000)</t>
  </si>
  <si>
    <t>ตัดยอดย้อนหลัง เงินเข้า 20/02/2024</t>
  </si>
  <si>
    <t>HC 1/5</t>
  </si>
  <si>
    <t>HC 2/2 (ยอด80,000 แบ่งชำระ2สลิป สลิปละ40,000)</t>
  </si>
  <si>
    <t>HC 1/2</t>
  </si>
  <si>
    <t>ตัดยอดย้อนหลัง เงินเข้า 29/02/2024</t>
  </si>
  <si>
    <t>HC 3/6</t>
  </si>
  <si>
    <t>HC 1/4</t>
  </si>
  <si>
    <t>HC 3/6 (ครบ5,000)</t>
  </si>
  <si>
    <t>HC 2/2</t>
  </si>
  <si>
    <t>HC 1/9</t>
  </si>
  <si>
    <t>HC 2/5</t>
  </si>
  <si>
    <t>HC 4/6</t>
  </si>
  <si>
    <t>HC 2/4</t>
  </si>
  <si>
    <t>Full Payment (จ่ายครบยอดหนี้คงเหลือ)</t>
  </si>
  <si>
    <t>HC  2/9</t>
  </si>
  <si>
    <t>HC 5/6 (บางส่วน เนื่องจากนัดไว้13,000 จ่ายวันที่25แล้ว4,000 ค้างอีก9,000นัดไว้สิ้นเดือนนี้)</t>
  </si>
  <si>
    <t>RS 2/12</t>
  </si>
  <si>
    <t>HC 1/2 (บางส่วน นัดไว้200,000ค้างอีก160,000 จะจ่ายที่เหลือภายในวันที่30 เมษา)</t>
  </si>
  <si>
    <t>HD93201808000003</t>
  </si>
  <si>
    <t>น.ส. จุฑาทิพย์ เทศรักษ์</t>
  </si>
  <si>
    <t>สันติชัย นรสิงห์</t>
  </si>
  <si>
    <t>GREENPINE CO.,LTD.</t>
  </si>
  <si>
    <t>อนุชา เรือนงาม</t>
  </si>
  <si>
    <t>อนุชา สิงห์มักหม้อ</t>
  </si>
  <si>
    <t>ชวลิต เพ็ชรรัตน์</t>
  </si>
  <si>
    <t>ปภาวิน รักษ์ฐิติพันธ์</t>
  </si>
  <si>
    <t>นาย พงศ์พันธุ์ วิชชุไตรภพ</t>
  </si>
  <si>
    <t>hold</t>
  </si>
  <si>
    <t>sue_closed</t>
  </si>
  <si>
    <t>HC 5/5 (ครบ13,000 ทำHCไว้6งวด งวดละ5,000 แต่ลูกค้าปิดจบก่อนงวดสุดท้าย)</t>
  </si>
  <si>
    <t>HC 6/6</t>
  </si>
  <si>
    <t>HC 1/3</t>
  </si>
  <si>
    <t>HC 5/8</t>
  </si>
  <si>
    <t>JM</t>
  </si>
  <si>
    <t>HC 3/9</t>
  </si>
  <si>
    <t>NPL</t>
  </si>
  <si>
    <t>Counter</t>
  </si>
  <si>
    <t>cm_loss_after_closed</t>
  </si>
  <si>
    <t>npl_loss_closed</t>
  </si>
  <si>
    <t>mail_content</t>
  </si>
  <si>
    <t>เรียนทีม QMC, Legal</t>
  </si>
  <si>
    <t>ขอบคุณครับ</t>
  </si>
  <si>
    <t>Payment_date</t>
  </si>
  <si>
    <t>Responsibility</t>
  </si>
  <si>
    <t>OA</t>
  </si>
  <si>
    <t>channel</t>
  </si>
  <si>
    <t>QMC</t>
  </si>
  <si>
    <t>RSS</t>
  </si>
  <si>
    <t>22Q4-MTC</t>
  </si>
  <si>
    <t>23Q2-TCRB</t>
  </si>
  <si>
    <t>23Q2-KL</t>
  </si>
  <si>
    <t>VI</t>
  </si>
  <si>
    <t>NSR</t>
  </si>
  <si>
    <t>KRB</t>
  </si>
  <si>
    <t>23Q4-TLT</t>
  </si>
  <si>
    <t>23Q1-OALT</t>
  </si>
  <si>
    <t>23Q4-OALT</t>
  </si>
  <si>
    <t>22Q4-AMAN</t>
  </si>
  <si>
    <t>22Q2-MTC</t>
  </si>
  <si>
    <t>-</t>
  </si>
  <si>
    <t>22Q3-MTC</t>
  </si>
  <si>
    <t>22Q4-HENG</t>
  </si>
  <si>
    <t>สังเวียน พันธ์ศรี</t>
  </si>
  <si>
    <t>ดวงใจ กาฮา</t>
  </si>
  <si>
    <t>ติ๋ม เวียงลอ</t>
  </si>
  <si>
    <t>อดินันท์ สุวรรณรัตน์</t>
  </si>
  <si>
    <t>น.ส. รัชดา กันศร</t>
  </si>
  <si>
    <t>23Q4-BMW</t>
  </si>
  <si>
    <t>น.ส. ปารณีย์ จิระประเสริฐสุข</t>
  </si>
  <si>
    <t>23Q2-BMW</t>
  </si>
  <si>
    <t>HY</t>
  </si>
  <si>
    <t>นาย จักรี หมายดี</t>
  </si>
  <si>
    <t>ประพิมพร สิงห์ขรณ์</t>
  </si>
  <si>
    <t>ภาณุวัฒน์ แปงจิตย์</t>
  </si>
  <si>
    <t>22Q4-TCRB</t>
  </si>
  <si>
    <t>นางปณิตา เทพกร</t>
  </si>
  <si>
    <t>23Q4-TMHC</t>
  </si>
  <si>
    <t>24Q3-TMHC</t>
  </si>
  <si>
    <t>HD48201807000006</t>
  </si>
  <si>
    <t>S.PHIPHAT 9959 COMPANY LIMITED</t>
  </si>
  <si>
    <t>ธรรมนูญ จันทร์สุวรรณ</t>
  </si>
  <si>
    <t>HD47201812000001</t>
  </si>
  <si>
    <t>HD39201802000004</t>
  </si>
  <si>
    <t>HD57201907000001</t>
  </si>
  <si>
    <t>HD72201807000001-R1</t>
  </si>
  <si>
    <t>HD91201806000001</t>
  </si>
  <si>
    <t>HD27201810000001</t>
  </si>
  <si>
    <t>P.J PRECISION TOOLS LIMITED PARTNERSHIP</t>
  </si>
  <si>
    <t>PPS MOULD &amp; PART CO.,LTD</t>
  </si>
  <si>
    <t>ศิริพงษ์ แสงดี</t>
  </si>
  <si>
    <t>ธีระพงษ์ คงสมนึก</t>
  </si>
  <si>
    <t>พิมพา เริงสมุทร</t>
  </si>
  <si>
    <t>SMP EVOLUTION CO.,LTD.</t>
  </si>
  <si>
    <t>TRIPLE B ENGINEERING LIMITED PARTNERSHIP</t>
  </si>
  <si>
    <t>P.N. INNOVATION CO.,LTD.</t>
  </si>
  <si>
    <t>พิมพ์ใจ ใจสมัคร</t>
  </si>
  <si>
    <t>BBL-8488</t>
  </si>
  <si>
    <t>Kbank</t>
  </si>
  <si>
    <t>BBL</t>
  </si>
  <si>
    <t>RS 4/23</t>
  </si>
  <si>
    <t>RS 8/24</t>
  </si>
  <si>
    <t>RS 1/17 Z (บางส่วน นัดชำระ40,000 ค้างอีก30,000 จะจ่าย11/11/2024)</t>
  </si>
  <si>
    <t>HC 1/2 (ครบงวดแรก200,000บาท จ่ายมาแล้วตอนต้นเดือน1แสน)</t>
  </si>
  <si>
    <t>delete</t>
  </si>
  <si>
    <t>edit</t>
  </si>
  <si>
    <t>C:\Pam_card\_Data_CutOff_v19.xlsx</t>
  </si>
  <si>
    <t>C:\Pam_card\summary\done-add-date\_Cut Off_Template_v28.xlsx</t>
  </si>
  <si>
    <t>C:\Pam_card\payment\Payment_report_14-07-2025.xlsx</t>
  </si>
  <si>
    <t>N-6741418</t>
  </si>
  <si>
    <t>อรพิน สวัสดิ์วอ</t>
  </si>
  <si>
    <t>เสน่ห์ ปั้นปล้อง</t>
  </si>
  <si>
    <t>สิริมนญ์ สุขกุล</t>
  </si>
  <si>
    <t>ศิรประภา เห็นแก้ว</t>
  </si>
  <si>
    <t>รัตนา จูฑามาตย์</t>
  </si>
  <si>
    <t>วิมล โมจุ้ย</t>
  </si>
  <si>
    <t>SPP</t>
  </si>
  <si>
    <t>EPS</t>
  </si>
  <si>
    <t>Z:\CutOff\4.Daily Report\DailyReport_14-07-2025.xlsx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</si>
</sst>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_-* #,##0.00_-;\-* #,##0.00_-;_-* &quot;-&quot;??_-;_-@_-"/>
    <numFmt numFmtId="165" formatCode="[$-409]d/mmm/yyyy;@"/>
    <numFmt numFmtId="166" formatCode="[$-409]d\-mmm\-yyyy;@"/>
    <numFmt numFmtId="167" formatCode="[$-409]d\-mmm;@"/>
    <numFmt numFmtId="168" formatCode="#"/>
    <numFmt numFmtId="169" formatCode="dd\-mm\-yy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2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Aptos Narrow"/>
      <family val="2"/>
      <charset val="222"/>
      <scheme val="minor"/>
    </font>
    <font>
      <b/>
      <sz val="12"/>
      <color rgb="FFFF000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6C8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65">
    <xf numFmtId="0" fontId="0" fillId="0" borderId="0" xfId="0"/>
    <xf numFmtId="164" fontId="3" fillId="4" borderId="3" xfId="1" applyFont="1" applyFill="1" applyBorder="1" applyAlignment="1">
      <alignment horizontal="center" vertical="center" wrapText="1"/>
    </xf>
    <xf numFmtId="164" fontId="3" fillId="5" borderId="3" xfId="1" applyFont="1" applyFill="1" applyBorder="1" applyAlignment="1">
      <alignment horizontal="center" vertical="center" wrapText="1"/>
    </xf>
    <xf numFmtId="164" fontId="3" fillId="6" borderId="3" xfId="1" applyFont="1" applyFill="1" applyBorder="1" applyAlignment="1">
      <alignment horizontal="center" vertical="center" wrapText="1"/>
    </xf>
    <xf numFmtId="164" fontId="3" fillId="7" borderId="3" xfId="1" applyFont="1" applyFill="1" applyBorder="1" applyAlignment="1">
      <alignment horizontal="center" vertical="center" wrapText="1"/>
    </xf>
    <xf numFmtId="164" fontId="3" fillId="8" borderId="3" xfId="1" applyFont="1" applyFill="1" applyBorder="1" applyAlignment="1">
      <alignment horizontal="center" vertical="center" wrapText="1"/>
    </xf>
    <xf numFmtId="164" fontId="3" fillId="8" borderId="4" xfId="1" applyFont="1" applyFill="1" applyBorder="1" applyAlignment="1">
      <alignment horizontal="center" vertical="center" wrapText="1"/>
    </xf>
    <xf numFmtId="164" fontId="3" fillId="9" borderId="5" xfId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164" fontId="0" fillId="0" borderId="0" xfId="1" applyFont="1"/>
    <xf numFmtId="164" fontId="2" fillId="3" borderId="2" xfId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164" fontId="0" fillId="0" borderId="0" xfId="1" applyFont="1" applyProtection="1">
      <protection locked="0"/>
    </xf>
    <xf numFmtId="0" fontId="2" fillId="3" borderId="6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64" fontId="2" fillId="3" borderId="6" xfId="1" applyFont="1" applyFill="1" applyBorder="1" applyAlignment="1" applyProtection="1">
      <alignment horizontal="center" vertical="center" wrapText="1"/>
      <protection locked="0"/>
    </xf>
    <xf numFmtId="0" fontId="6" fillId="11" borderId="0" xfId="1" applyNumberFormat="1" applyFont="1" applyFill="1" applyAlignment="1" applyProtection="1">
      <protection locked="0"/>
    </xf>
    <xf numFmtId="0" fontId="0" fillId="10" borderId="0" xfId="0" applyFill="1" applyAlignment="1" applyProtection="1">
      <alignment horizontal="center" vertical="center" wrapText="1"/>
      <protection locked="0"/>
    </xf>
    <xf numFmtId="0" fontId="0" fillId="5" borderId="3" xfId="0" applyFill="1" applyBorder="1"/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164" fontId="3" fillId="4" borderId="8" xfId="1" applyFont="1" applyFill="1" applyBorder="1" applyAlignment="1" applyProtection="1">
      <alignment horizontal="center" vertical="center" wrapText="1"/>
      <protection locked="0"/>
    </xf>
    <xf numFmtId="164" fontId="3" fillId="5" borderId="8" xfId="1" applyFont="1" applyFill="1" applyBorder="1" applyAlignment="1" applyProtection="1">
      <alignment horizontal="center" vertical="center" wrapText="1"/>
      <protection locked="0"/>
    </xf>
    <xf numFmtId="164" fontId="3" fillId="6" borderId="8" xfId="1" applyFont="1" applyFill="1" applyBorder="1" applyAlignment="1" applyProtection="1">
      <alignment horizontal="center" vertical="center" wrapText="1"/>
      <protection locked="0"/>
    </xf>
    <xf numFmtId="164" fontId="3" fillId="7" borderId="8" xfId="1" applyFont="1" applyFill="1" applyBorder="1" applyAlignment="1" applyProtection="1">
      <alignment horizontal="center" vertical="center" wrapText="1"/>
      <protection locked="0"/>
    </xf>
    <xf numFmtId="164" fontId="3" fillId="8" borderId="8" xfId="1" applyFont="1" applyFill="1" applyBorder="1" applyAlignment="1" applyProtection="1">
      <alignment horizontal="center" vertical="center" wrapText="1"/>
      <protection locked="0"/>
    </xf>
    <xf numFmtId="164" fontId="3" fillId="8" borderId="7" xfId="1" applyFont="1" applyFill="1" applyBorder="1" applyAlignment="1" applyProtection="1">
      <alignment horizontal="center" vertical="center" wrapText="1"/>
      <protection locked="0"/>
    </xf>
    <xf numFmtId="164" fontId="3" fillId="9" borderId="10" xfId="1" applyFont="1" applyFill="1" applyBorder="1" applyAlignment="1" applyProtection="1">
      <alignment horizontal="center" vertical="center" wrapText="1"/>
      <protection locked="0"/>
    </xf>
    <xf numFmtId="0" fontId="7" fillId="12" borderId="8" xfId="1" applyNumberFormat="1" applyFont="1" applyFill="1" applyBorder="1" applyAlignment="1" applyProtection="1">
      <protection locked="0"/>
    </xf>
    <xf numFmtId="164" fontId="4" fillId="2" borderId="6" xfId="1" applyFont="1" applyFill="1" applyBorder="1" applyAlignment="1" applyProtection="1">
      <alignment horizontal="center" vertical="center"/>
      <protection locked="0"/>
    </xf>
    <xf numFmtId="164" fontId="4" fillId="2" borderId="0" xfId="1" applyFont="1" applyFill="1" applyBorder="1" applyAlignment="1" applyProtection="1">
      <alignment horizontal="center" vertical="center"/>
      <protection locked="0"/>
    </xf>
    <xf numFmtId="0" fontId="8" fillId="13" borderId="0" xfId="1" applyNumberFormat="1" applyFont="1" applyFill="1" applyAlignment="1" applyProtection="1">
      <protection locked="0"/>
    </xf>
    <xf numFmtId="0" fontId="0" fillId="14" borderId="0" xfId="0" applyFill="1"/>
    <xf numFmtId="0" fontId="0" fillId="15" borderId="0" xfId="0" applyFill="1"/>
    <xf numFmtId="165" fontId="2" fillId="3" borderId="0" xfId="0" applyNumberFormat="1" applyFont="1" applyFill="1" applyAlignment="1" applyProtection="1">
      <alignment horizontal="center" vertical="center" wrapText="1"/>
      <protection locked="0"/>
    </xf>
    <xf numFmtId="165" fontId="0" fillId="0" borderId="0" xfId="0" applyNumberFormat="1" applyProtection="1">
      <protection locked="0"/>
    </xf>
    <xf numFmtId="164" fontId="2" fillId="3" borderId="0" xfId="1" applyFont="1" applyFill="1" applyBorder="1" applyAlignment="1" applyProtection="1">
      <alignment horizontal="center" vertical="center" wrapText="1"/>
      <protection locked="0"/>
    </xf>
    <xf numFmtId="164" fontId="2" fillId="3" borderId="0" xfId="1" applyFont="1" applyFill="1" applyAlignment="1">
      <alignment horizontal="center" vertical="center" wrapText="1"/>
    </xf>
    <xf numFmtId="0" fontId="0" fillId="5" borderId="0" xfId="0" applyFill="1"/>
    <xf numFmtId="0" fontId="0" fillId="16" borderId="0" xfId="0" applyFill="1"/>
    <xf numFmtId="0" fontId="0" fillId="6" borderId="0" xfId="0" applyFill="1"/>
    <xf numFmtId="0" fontId="0" fillId="17" borderId="0" xfId="0" applyFill="1"/>
    <xf numFmtId="0" fontId="0" fillId="5" borderId="0" xfId="0" applyFill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164" fontId="6" fillId="11" borderId="0" xfId="1" applyFont="1" applyFill="1" applyAlignment="1" applyProtection="1">
      <protection locked="0"/>
    </xf>
    <xf numFmtId="164" fontId="7" fillId="12" borderId="8" xfId="1" applyFont="1" applyFill="1" applyBorder="1" applyAlignment="1" applyProtection="1">
      <protection locked="0"/>
    </xf>
    <xf numFmtId="164" fontId="8" fillId="13" borderId="0" xfId="1" applyFont="1" applyFill="1" applyAlignment="1" applyProtection="1"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166" fontId="0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166" fontId="2" fillId="3" borderId="0" xfId="1" applyNumberFormat="1" applyFont="1" applyFill="1" applyBorder="1" applyAlignment="1" applyProtection="1">
      <alignment horizontal="center" vertical="center" wrapText="1"/>
      <protection locked="0"/>
    </xf>
    <xf numFmtId="166" fontId="2" fillId="3" borderId="0" xfId="0" applyNumberFormat="1" applyFont="1" applyFill="1" applyAlignment="1" applyProtection="1">
      <alignment horizontal="center" vertical="center" wrapText="1"/>
      <protection locked="0"/>
    </xf>
    <xf numFmtId="166" fontId="0" fillId="18" borderId="0" xfId="0" applyNumberFormat="1" applyFill="1"/>
    <xf numFmtId="167" fontId="0" fillId="0" borderId="0" xfId="0" applyNumberFormat="1"/>
    <xf numFmtId="168" fontId="0" fillId="0" borderId="0" xfId="0" applyNumberFormat="1" applyAlignment="1" applyProtection="1">
      <alignment horizontal="right"/>
      <protection locked="0"/>
    </xf>
    <xf numFmtId="168" fontId="2" fillId="2" borderId="6" xfId="0" applyNumberFormat="1" applyFont="1" applyFill="1" applyBorder="1" applyAlignment="1" applyProtection="1">
      <alignment horizontal="right" vertical="center" wrapText="1"/>
      <protection locked="0"/>
    </xf>
    <xf numFmtId="0" fontId="0" fillId="0" borderId="0" xfId="0" applyAlignment="1" applyProtection="1">
      <alignment horizontal="right"/>
      <protection locked="0"/>
    </xf>
    <xf numFmtId="0" fontId="2" fillId="3" borderId="6" xfId="0" applyFont="1" applyFill="1" applyBorder="1" applyAlignment="1" applyProtection="1">
      <alignment horizontal="right" vertical="center" wrapText="1"/>
      <protection locked="0"/>
    </xf>
    <xf numFmtId="169" fontId="0" fillId="0" borderId="0" xfId="0" applyNumberFormat="1"/>
    <xf numFmtId="0" fontId="0" fillId="0" borderId="0" xfId="0" applyAlignment="1">
      <alignment horizontal="center"/>
    </xf>
  </cellXfs>
  <cellStyles count="7">
    <cellStyle name="Comma" xfId="1" builtinId="3"/>
    <cellStyle name="Comma 2" xfId="2" xr:uid="{A8A02A9A-00C1-49DC-832A-4EE925613E45}"/>
    <cellStyle name="Comma 2 2" xfId="6" xr:uid="{42D877A8-A7DB-47AB-8CBA-C755FFADFE90}"/>
    <cellStyle name="Comma 3" xfId="3" xr:uid="{B32A2885-BCD7-4743-A900-50D9AA8617D9}"/>
    <cellStyle name="Comma 4" xfId="4" xr:uid="{14E65B17-6771-4558-82A5-CA7784218F22}"/>
    <cellStyle name="Normal" xfId="0" builtinId="0"/>
    <cellStyle name="Normal 2" xfId="5" xr:uid="{8F3C0D1B-816F-40E1-A1BE-E80C667BD184}"/>
  </cellStyles>
  <dxfs count="5">
    <dxf>
      <numFmt numFmtId="19" formatCode="m/d/yyyy"/>
    </dxf>
    <dxf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39423A97-A124-4D14-B438-89CE65AF341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57150</xdr:colOff>
      <xdr:row>5</xdr:row>
      <xdr:rowOff>47625</xdr:rowOff>
    </xdr:from>
    <xdr:to>
      <xdr:col>42</xdr:col>
      <xdr:colOff>561975</xdr:colOff>
      <xdr:row>7</xdr:row>
      <xdr:rowOff>142875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6CFFA23-F5FB-D310-F93B-DE58F2C88695}"/>
            </a:ext>
          </a:extLst>
        </xdr:cNvPr>
        <xdr:cNvSpPr/>
      </xdr:nvSpPr>
      <xdr:spPr>
        <a:xfrm>
          <a:off x="14687550" y="1114425"/>
          <a:ext cx="2943225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Run</a:t>
          </a:r>
          <a:r>
            <a:rPr lang="en-US" sz="2400" baseline="0"/>
            <a:t> Cut Off</a:t>
          </a:r>
        </a:p>
        <a:p>
          <a:pPr algn="ctr"/>
          <a:endParaRPr 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62392A-C6E2-4FC9-8348-2ED9EC139C11}" name="Payment_list" displayName="Payment_list" ref="A5:AL39" totalsRowShown="0" headerRowDxfId="1">
  <autoFilter ref="A5:AL39" xr:uid="{1D62392A-C6E2-4FC9-8348-2ED9EC139C11}"/>
  <tableColumns count="38">
    <tableColumn id="1" xr3:uid="{2E630B8C-0C0A-4A91-8B09-FEDC5CAD90BB}" name="Remark"/>
    <tableColumn id="2" xr3:uid="{A74D9E26-E736-40FE-A245-1D45738C6F35}" name="Code"/>
    <tableColumn id="3" xr3:uid="{996C67CF-1E04-49C0-B797-E7D14A3BF218}" name="ContractID"/>
    <tableColumn id="4" xr3:uid="{326AD7EA-F6B2-4A1B-9ACB-DC211AE0797E}" name="Cname"/>
    <tableColumn id="5" xr3:uid="{DC2C7942-66A1-48CF-93A0-3468EF588DE5}" name="Port"/>
    <tableColumn id="6" xr3:uid="{96CC1DDD-95E3-424F-A144-985F50A99796}" name="Product"/>
    <tableColumn id="7" xr3:uid="{9690ED91-7C6D-41EC-9DE2-52BEFD2B2203}" name="Curr_status"/>
    <tableColumn id="8" xr3:uid="{EA599727-73DF-4169-B7F2-65273E4ECA60}" name="Mode"/>
    <tableColumn id="37" xr3:uid="{4ECB9231-D146-4EC3-8215-B319D1157DB4}" name="Responsibility"/>
    <tableColumn id="36" xr3:uid="{6D3F7E73-78F0-43B4-97CD-F7C61C1580E8}" name="OA"/>
    <tableColumn id="9" xr3:uid="{B5A8ADA5-8316-4091-A732-FAC78B011AA0}" name="DocID"/>
    <tableColumn id="10" xr3:uid="{5F5BB17D-96ED-4F50-B86C-DD446E132F67}" name="PM_code"/>
    <tableColumn id="38" xr3:uid="{7658D79F-7FA0-4375-8264-113FC07756D0}" name="channel"/>
    <tableColumn id="11" xr3:uid="{94992748-0B5C-40FD-9197-E1E624C6F58A}" name="Amount"/>
    <tableColumn id="35" xr3:uid="{C4D53CD0-1D2E-4E6B-A732-602D217A9EE6}" name="Expense"/>
    <tableColumn id="34" xr3:uid="{8356B407-956A-463D-B001-4AA989B535E4}" name="Payment_date"/>
    <tableColumn id="27" xr3:uid="{DD5D46AB-B077-4ABB-A076-0C8D7F683EF1}" name="Eff_Date"/>
    <tableColumn id="25" xr3:uid="{0A035B38-9FFF-41B7-ADC7-F3A1DE924046}" name="Note"/>
    <tableColumn id="12" xr3:uid="{E696E7EB-241F-4EC7-A0B6-4350877E0DA7}" name="exp_balance"/>
    <tableColumn id="13" xr3:uid="{1D12B858-2AA7-4D98-93B8-F00DFCFF2825}" name="otl_balance"/>
    <tableColumn id="14" xr3:uid="{9CAE4AF1-6EBD-48D6-B15E-CEC687D26D1C}" name="lss_balance"/>
    <tableColumn id="15" xr3:uid="{6235F094-7E77-4B70-9BF7-F74EC394A953}" name="pnt_balance"/>
    <tableColumn id="16" xr3:uid="{C12F7AE5-42D4-484D-A1D1-C2C4A058A788}" name="int_balance"/>
    <tableColumn id="17" xr3:uid="{5CF892B9-818E-4EA9-A176-E36E1989D343}" name="opc_balance"/>
    <tableColumn id="18" xr3:uid="{75AF8E4C-BCD5-4D92-888E-4B7B593563E3}" name="chg_balance"/>
    <tableColumn id="19" xr3:uid="{FFAAB8C9-7B3D-4BC4-89FC-092C123D2380}" name="prn_balance"/>
    <tableColumn id="20" xr3:uid="{FE3FE72E-D1D3-47D4-AB05-D1B16043A119}" name="rpm_balance"/>
    <tableColumn id="21" xr3:uid="{D58064C3-4120-4472-B7E2-E6754CE7A6B5}" name="all_balance"/>
    <tableColumn id="28" xr3:uid="{5EB70CD1-BCA2-492D-B17D-8567546BD234}" name="outstanding_balance_excluding_vat"/>
    <tableColumn id="26" xr3:uid="{4FEB0FE5-1685-4913-9F4C-C8BAB4746EE6}" name="vat_remain"/>
    <tableColumn id="29" xr3:uid="{40F7069C-B442-498A-BE8B-530452CBE731}" name="outstanding_balance_including_vat"/>
    <tableColumn id="31" xr3:uid="{83F9D133-4FBF-4F6B-B953-0EE031AA68CE}" name="loss_status"/>
    <tableColumn id="22" xr3:uid="{718019AA-DAC4-45AF-966F-FA1A8EDD5D98}" name="Count_payment"/>
    <tableColumn id="23" xr3:uid="{B88AB769-1929-449E-8965-D2AB51E76434}" name="Total_pay"/>
    <tableColumn id="32" xr3:uid="{F3D7049C-3FB5-4523-A25C-0E03CF449965}" name="Total_sus"/>
    <tableColumn id="33" xr3:uid="{87404570-94E2-4ACE-969D-3473D6DA15BE}" name="Total_ass"/>
    <tableColumn id="30" xr3:uid="{64BFA3C8-4590-4FB8-B4FF-CB412EB0E39F}" name="Total_vat"/>
    <tableColumn id="24" xr3:uid="{0130C164-E61B-4687-BBA3-0A2FA297A112}" name="Status_Progra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572EA0-B463-4EEE-ABA7-850D1E836B7F}" name="Payment_list34567" displayName="Payment_list34567" ref="A5:AH1857" totalsRowShown="0">
  <autoFilter ref="A5:AH1857" xr:uid="{1D62392A-C6E2-4FC9-8348-2ED9EC139C11}"/>
  <sortState xmlns:xlrd2="http://schemas.microsoft.com/office/spreadsheetml/2017/richdata2" ref="A6:AH1857">
    <sortCondition ref="M5:M1857"/>
  </sortState>
  <tableColumns count="34">
    <tableColumn id="1" xr3:uid="{E3D24F53-9156-4C57-9440-6D076BE98548}" name="Remark"/>
    <tableColumn id="2" xr3:uid="{BD15EB66-E713-476A-AB95-876AE7AA50E2}" name="Code"/>
    <tableColumn id="3" xr3:uid="{37C93999-30E9-4207-A73F-831297ACDCCE}" name="ContractID"/>
    <tableColumn id="4" xr3:uid="{C7254F04-F7A5-476C-AE26-268A994C665C}" name="Cname"/>
    <tableColumn id="5" xr3:uid="{EC0638CB-3042-4983-8383-3672B9341994}" name="Port"/>
    <tableColumn id="6" xr3:uid="{FB11AD31-3900-42CC-AC70-1B7A95438915}" name="Product"/>
    <tableColumn id="7" xr3:uid="{34F62EA2-3F54-4D4F-A5CC-8CC87486F49B}" name="Curr_status"/>
    <tableColumn id="8" xr3:uid="{836D8151-B4A8-4698-9748-BA95659037DD}" name="Mode"/>
    <tableColumn id="9" xr3:uid="{EE28F6BA-DD2E-4DF4-820E-A40639AF794B}" name="DocID"/>
    <tableColumn id="10" xr3:uid="{D889873B-95F6-4727-AA58-E86F91C89256}" name="PM_code"/>
    <tableColumn id="11" xr3:uid="{D8E5D4C2-60B0-4984-9DAA-3EE94A61E8DF}" name="Amount"/>
    <tableColumn id="27" xr3:uid="{D4CFD78B-781E-48C4-96D1-364C1D4B0CC0}" name="Expense" dataCellStyle="Comma"/>
    <tableColumn id="25" xr3:uid="{3E0443C2-F705-4D54-A1D9-2DE6A2D21D61}" name="Eff_Date" dataDxfId="0"/>
    <tableColumn id="12" xr3:uid="{CC1F5C4C-8624-490F-80CC-41FF9F70BEA7}" name="Note"/>
    <tableColumn id="13" xr3:uid="{E044C2CB-FD6C-4937-B6AC-26039CDBC2FA}" name="exp_balance"/>
    <tableColumn id="14" xr3:uid="{E39BB4CB-52A1-4D95-AAA6-808F011DDE84}" name="otl_balance"/>
    <tableColumn id="15" xr3:uid="{11740C06-2FEC-4194-B678-3EF6C91C20F9}" name="lss_balance"/>
    <tableColumn id="16" xr3:uid="{FD3418B8-7CCC-4076-AFAB-45A84A5F96CB}" name="pnt_balance"/>
    <tableColumn id="17" xr3:uid="{783C05E7-3C08-49B7-BFC9-18ADBDB7B350}" name="int_balance"/>
    <tableColumn id="18" xr3:uid="{1EC3C0AD-EB4F-45C4-A89C-68623C1BF290}" name="opc_balance"/>
    <tableColumn id="19" xr3:uid="{BAB8B4F7-3C8E-4E99-A6B8-50F644F52DDE}" name="chg_balance"/>
    <tableColumn id="20" xr3:uid="{F901FDB4-341F-4859-B9B2-D0D31353A165}" name="prn_balance"/>
    <tableColumn id="21" xr3:uid="{055C4315-D6E3-4F7F-9326-E6A5FC80282A}" name="rpm_balance"/>
    <tableColumn id="26" xr3:uid="{7BBAB0CD-D035-46AA-A7D5-5E72B87E9A09}" name="all_balance"/>
    <tableColumn id="22" xr3:uid="{395A76A5-FE5E-4FCB-A979-C6EDDD094C30}" name="outstanding_balance_excluding_vat"/>
    <tableColumn id="23" xr3:uid="{99C263F0-0546-435B-808E-6AD330486D78}" name="vat_remain"/>
    <tableColumn id="24" xr3:uid="{D91AE4A8-8E3A-450E-A665-4BB46660DD66}" name="outstanding_balance_including_vat"/>
    <tableColumn id="28" xr3:uid="{D9D04864-E63E-433C-AF2E-77ACEFC96707}" name="loss_status"/>
    <tableColumn id="29" xr3:uid="{D4928981-49B4-4368-8AF5-EEBBA2238C89}" name="Count_payment"/>
    <tableColumn id="30" xr3:uid="{34E6D23F-5D58-4F5A-81FF-D4F66EF9200D}" name="Total_pay"/>
    <tableColumn id="31" xr3:uid="{531B0821-1A41-4EF5-896C-0A0E0AC90063}" name="Total_sus"/>
    <tableColumn id="32" xr3:uid="{D2CBCF38-BC37-43CD-AB97-580B90CAAFE5}" name="Total_ass"/>
    <tableColumn id="33" xr3:uid="{6C69E607-CD7C-44EE-9FD4-F1C017A81563}" name="Total_vat"/>
    <tableColumn id="34" xr3:uid="{713E460D-5E18-40C1-88B4-DDA8C28E56CE}" name="Status_Progra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EA3AA-3CB1-44FD-A145-6C63FCF4F097}">
  <sheetPr codeName="Sheet1"/>
  <dimension ref="A1:AR39"/>
  <sheetViews>
    <sheetView tabSelected="1" topLeftCell="M1" zoomScale="55" zoomScaleNormal="55" workbookViewId="0">
      <selection activeCell="W29" sqref="W29"/>
    </sheetView>
  </sheetViews>
  <sheetFormatPr defaultColWidth="14.77734375" defaultRowHeight="14.4" x14ac:dyDescent="0.3"/>
  <cols>
    <col min="1" max="1" width="9.44140625" style="17" customWidth="1"/>
    <col min="2" max="2" width="14.77734375" style="61"/>
    <col min="3" max="3" width="23.5546875" style="59" bestFit="1" customWidth="1"/>
    <col min="4" max="6" width="14.77734375" style="17"/>
    <col min="7" max="7" width="24.109375" style="17" bestFit="1" customWidth="1"/>
    <col min="8" max="13" width="14.77734375" style="17"/>
    <col min="14" max="14" width="14.77734375" style="18"/>
    <col min="15" max="15" width="18.21875" style="18" customWidth="1"/>
    <col min="16" max="16" width="18.21875" style="53" customWidth="1"/>
    <col min="17" max="17" width="14.77734375" style="54"/>
    <col min="18" max="18" width="14.77734375" style="40"/>
    <col min="19" max="31" width="16.21875" style="18" customWidth="1"/>
    <col min="32" max="33" width="14.77734375" style="18"/>
    <col min="34" max="34" width="21.6640625" style="18" customWidth="1"/>
    <col min="35" max="35" width="14.77734375" style="18"/>
    <col min="36" max="36" width="23.109375" style="18" bestFit="1" customWidth="1"/>
    <col min="37" max="37" width="14.77734375" style="18"/>
    <col min="38" max="38" width="14.77734375" style="17"/>
    <col min="44" max="44" width="32" bestFit="1" customWidth="1"/>
  </cols>
  <sheetData>
    <row r="1" spans="1:44" x14ac:dyDescent="0.3">
      <c r="A1" s="17">
        <f>COLUMN(Payment_list[[#Headers],[Remark]])</f>
        <v>1</v>
      </c>
      <c r="B1" s="61">
        <f>COLUMN(Payment_list[[#Headers],[Code]])</f>
        <v>2</v>
      </c>
      <c r="C1" s="59">
        <f>COLUMN(Payment_list[[#Headers],[ContractID]])</f>
        <v>3</v>
      </c>
      <c r="D1" s="17">
        <f>COLUMN(Payment_list[[#Headers],[Cname]])</f>
        <v>4</v>
      </c>
      <c r="E1" s="17">
        <f>COLUMN(Payment_list[[#Headers],[Port]])</f>
        <v>5</v>
      </c>
      <c r="F1" s="17">
        <f>COLUMN(Payment_list[[#Headers],[Product]])</f>
        <v>6</v>
      </c>
      <c r="G1" s="17">
        <f>COLUMN(Payment_list[[#Headers],[Curr_status]])</f>
        <v>7</v>
      </c>
      <c r="H1" s="17">
        <f>COLUMN(Payment_list[[#Headers],[Mode]])</f>
        <v>8</v>
      </c>
      <c r="I1" s="17">
        <f>COLUMN(Payment_list[[#Headers],[Responsibility]])</f>
        <v>9</v>
      </c>
      <c r="J1" s="17">
        <f>COLUMN(Payment_list[[#Headers],[OA]])</f>
        <v>10</v>
      </c>
      <c r="K1" s="17">
        <f>COLUMN(Payment_list[[#Headers],[DocID]])</f>
        <v>11</v>
      </c>
      <c r="L1" s="17">
        <f>COLUMN(Payment_list[[#Headers],[PM_code]])</f>
        <v>12</v>
      </c>
      <c r="N1" s="18">
        <f>COLUMN(Payment_list[[#Headers],[Amount]])</f>
        <v>14</v>
      </c>
      <c r="O1" s="18">
        <f>COLUMN(Payment_list[[#Headers],[Expense]])</f>
        <v>15</v>
      </c>
      <c r="P1" s="53">
        <f>COLUMN(Payment_list[[#Headers],[Payment_date]])</f>
        <v>16</v>
      </c>
      <c r="Q1" s="53">
        <f>COLUMN(Payment_list[[#Headers],[Eff_Date]])</f>
        <v>17</v>
      </c>
      <c r="R1" s="18">
        <f>COLUMN(Payment_list[[#Headers],[Note]])</f>
        <v>18</v>
      </c>
      <c r="S1" s="18">
        <f>COLUMN(Payment_list[[#Headers],[exp_balance]])</f>
        <v>19</v>
      </c>
      <c r="T1" s="18">
        <f>COLUMN(Payment_list[[#Headers],[otl_balance]])</f>
        <v>20</v>
      </c>
      <c r="U1" s="18">
        <f>COLUMN(Payment_list[[#Headers],[lss_balance]])</f>
        <v>21</v>
      </c>
      <c r="V1" s="18">
        <f>COLUMN(Payment_list[[#Headers],[pnt_balance]])</f>
        <v>22</v>
      </c>
      <c r="W1" s="18">
        <f>COLUMN(Payment_list[[#Headers],[int_balance]])</f>
        <v>23</v>
      </c>
      <c r="X1" s="18">
        <f>COLUMN(Payment_list[[#Headers],[opc_balance]])</f>
        <v>24</v>
      </c>
      <c r="Y1" s="18">
        <f>COLUMN(Payment_list[[#Headers],[chg_balance]])</f>
        <v>25</v>
      </c>
      <c r="Z1" s="18">
        <f>COLUMN(Payment_list[[#Headers],[prn_balance]])</f>
        <v>26</v>
      </c>
      <c r="AA1" s="18">
        <f>COLUMN(Payment_list[[#Headers],[rpm_balance]])</f>
        <v>27</v>
      </c>
      <c r="AB1" s="18">
        <f>COLUMN(Payment_list[[#Headers],[all_balance]])</f>
        <v>28</v>
      </c>
      <c r="AC1" s="18">
        <f>COLUMN(Payment_list[[#Headers],[outstanding_balance_excluding_vat]])</f>
        <v>29</v>
      </c>
      <c r="AD1" s="18">
        <f>COLUMN(Payment_list[[#Headers],[vat_remain]])</f>
        <v>30</v>
      </c>
      <c r="AE1" s="18">
        <f>COLUMN(Payment_list[[#Headers],[outstanding_balance_including_vat]])</f>
        <v>31</v>
      </c>
      <c r="AF1" s="18">
        <f>COLUMN(Payment_list[[#Headers],[loss_status]])</f>
        <v>32</v>
      </c>
      <c r="AG1" s="18">
        <f>COLUMN(Payment_list[[#Headers],[Count_payment]])</f>
        <v>33</v>
      </c>
      <c r="AH1" s="18">
        <f>COLUMN(Payment_list[[#Headers],[Total_pay]])</f>
        <v>34</v>
      </c>
      <c r="AI1" s="15">
        <f>COLUMN(AI5)</f>
        <v>35</v>
      </c>
      <c r="AJ1" s="15">
        <f>COLUMN(AJ5)</f>
        <v>36</v>
      </c>
      <c r="AK1" s="15">
        <f>COLUMN(AK5)</f>
        <v>37</v>
      </c>
      <c r="AL1">
        <f>COLUMN(AL5)</f>
        <v>38</v>
      </c>
      <c r="AM1">
        <f>COLUMN(AM5)</f>
        <v>39</v>
      </c>
      <c r="AN1">
        <f t="shared" ref="AN1:AP1" si="0">COLUMN(AN5)</f>
        <v>40</v>
      </c>
      <c r="AO1">
        <f t="shared" si="0"/>
        <v>41</v>
      </c>
      <c r="AP1">
        <f t="shared" si="0"/>
        <v>42</v>
      </c>
    </row>
    <row r="2" spans="1:44" x14ac:dyDescent="0.3">
      <c r="A2" s="17" t="s">
        <v>20</v>
      </c>
      <c r="B2" s="61" t="s">
        <v>54</v>
      </c>
      <c r="H2" s="17" t="s">
        <v>35</v>
      </c>
      <c r="R2" s="40" t="s">
        <v>1143</v>
      </c>
      <c r="AL2" s="17" t="s">
        <v>26</v>
      </c>
    </row>
    <row r="3" spans="1:44" x14ac:dyDescent="0.3">
      <c r="A3" s="17" t="s">
        <v>22</v>
      </c>
      <c r="R3" s="40" t="s">
        <v>1144</v>
      </c>
      <c r="S3" s="18" t="s">
        <v>36</v>
      </c>
      <c r="T3" s="18" t="s">
        <v>37</v>
      </c>
      <c r="U3" s="18" t="s">
        <v>38</v>
      </c>
      <c r="V3" s="18" t="s">
        <v>39</v>
      </c>
      <c r="W3" s="18" t="s">
        <v>40</v>
      </c>
      <c r="X3" s="18" t="s">
        <v>41</v>
      </c>
      <c r="Y3" s="18" t="s">
        <v>42</v>
      </c>
      <c r="Z3" s="18" t="s">
        <v>43</v>
      </c>
      <c r="AA3" s="18" t="s">
        <v>44</v>
      </c>
      <c r="AB3" s="18" t="s">
        <v>45</v>
      </c>
    </row>
    <row r="4" spans="1:44" x14ac:dyDescent="0.3">
      <c r="A4" s="17" t="s">
        <v>21</v>
      </c>
      <c r="S4" s="18" t="s">
        <v>25</v>
      </c>
      <c r="T4" s="18" t="s">
        <v>26</v>
      </c>
      <c r="U4" s="18" t="s">
        <v>27</v>
      </c>
      <c r="V4" s="18" t="s">
        <v>28</v>
      </c>
      <c r="W4" s="18" t="s">
        <v>29</v>
      </c>
      <c r="X4" s="18" t="s">
        <v>30</v>
      </c>
      <c r="Y4" s="18" t="s">
        <v>31</v>
      </c>
      <c r="Z4" s="18" t="s">
        <v>32</v>
      </c>
      <c r="AA4" s="18" t="s">
        <v>33</v>
      </c>
      <c r="AB4" s="18" t="s">
        <v>34</v>
      </c>
      <c r="AG4" s="18" t="s">
        <v>23</v>
      </c>
      <c r="AH4" s="18" t="s">
        <v>24</v>
      </c>
    </row>
    <row r="5" spans="1:44" s="11" customFormat="1" x14ac:dyDescent="0.3">
      <c r="A5" s="25" t="s">
        <v>57</v>
      </c>
      <c r="B5" s="62" t="s">
        <v>0</v>
      </c>
      <c r="C5" s="60" t="s">
        <v>1</v>
      </c>
      <c r="D5" s="19" t="s">
        <v>2</v>
      </c>
      <c r="E5" s="19" t="s">
        <v>3</v>
      </c>
      <c r="F5" s="19" t="s">
        <v>4</v>
      </c>
      <c r="G5" s="19" t="s">
        <v>5</v>
      </c>
      <c r="H5" s="20" t="s">
        <v>6</v>
      </c>
      <c r="I5" s="52" t="s">
        <v>1083</v>
      </c>
      <c r="J5" s="52" t="s">
        <v>1084</v>
      </c>
      <c r="K5" s="19" t="s">
        <v>53</v>
      </c>
      <c r="L5" s="19" t="s">
        <v>7</v>
      </c>
      <c r="M5" s="19" t="s">
        <v>1085</v>
      </c>
      <c r="N5" s="21" t="s">
        <v>8</v>
      </c>
      <c r="O5" s="41" t="s">
        <v>424</v>
      </c>
      <c r="P5" s="55" t="s">
        <v>1082</v>
      </c>
      <c r="Q5" s="56" t="s">
        <v>55</v>
      </c>
      <c r="R5" s="39" t="s">
        <v>51</v>
      </c>
      <c r="S5" s="26" t="s">
        <v>9</v>
      </c>
      <c r="T5" s="27" t="s">
        <v>10</v>
      </c>
      <c r="U5" s="28" t="s">
        <v>11</v>
      </c>
      <c r="V5" s="29" t="s">
        <v>12</v>
      </c>
      <c r="W5" s="30" t="s">
        <v>13</v>
      </c>
      <c r="X5" s="26" t="s">
        <v>14</v>
      </c>
      <c r="Y5" s="30" t="s">
        <v>15</v>
      </c>
      <c r="Z5" s="26" t="s">
        <v>16</v>
      </c>
      <c r="AA5" s="31" t="s">
        <v>17</v>
      </c>
      <c r="AB5" s="32" t="s">
        <v>18</v>
      </c>
      <c r="AC5" s="49" t="s">
        <v>73</v>
      </c>
      <c r="AD5" s="50" t="s">
        <v>74</v>
      </c>
      <c r="AE5" s="49" t="s">
        <v>75</v>
      </c>
      <c r="AF5" s="51" t="s">
        <v>241</v>
      </c>
      <c r="AG5" s="34" t="s">
        <v>19</v>
      </c>
      <c r="AH5" s="34" t="s">
        <v>240</v>
      </c>
      <c r="AI5" s="35" t="s">
        <v>333</v>
      </c>
      <c r="AJ5" s="35" t="s">
        <v>334</v>
      </c>
      <c r="AK5" s="35" t="s">
        <v>239</v>
      </c>
      <c r="AL5" s="23" t="s">
        <v>56</v>
      </c>
    </row>
    <row r="6" spans="1:44" x14ac:dyDescent="0.3">
      <c r="A6" s="43" t="s">
        <v>798</v>
      </c>
      <c r="B6">
        <v>4142300948</v>
      </c>
      <c r="C6">
        <v>10459292</v>
      </c>
      <c r="D6" s="38" t="s">
        <v>1065</v>
      </c>
      <c r="E6" t="s">
        <v>1095</v>
      </c>
      <c r="F6" t="s">
        <v>430</v>
      </c>
      <c r="G6" t="s">
        <v>230</v>
      </c>
      <c r="H6" t="s">
        <v>234</v>
      </c>
      <c r="I6" t="s">
        <v>1086</v>
      </c>
      <c r="J6" t="s">
        <v>1086</v>
      </c>
      <c r="K6"/>
      <c r="L6" s="37" t="s">
        <v>52</v>
      </c>
      <c r="M6" t="s">
        <v>1138</v>
      </c>
      <c r="N6">
        <v>200</v>
      </c>
      <c r="O6"/>
      <c r="P6" s="63">
        <v>45847</v>
      </c>
      <c r="Q6" s="63">
        <v>45848</v>
      </c>
      <c r="R6" t="s">
        <v>1013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231828.85046728977</v>
      </c>
      <c r="AC6">
        <v>231828.85046728977</v>
      </c>
      <c r="AD6">
        <v>16228.019532710285</v>
      </c>
      <c r="AE6">
        <v>248056.87000000005</v>
      </c>
      <c r="AF6" t="s">
        <v>242</v>
      </c>
      <c r="AG6">
        <v>17</v>
      </c>
      <c r="AH6">
        <v>4750</v>
      </c>
      <c r="AI6">
        <v>0</v>
      </c>
      <c r="AJ6">
        <v>0</v>
      </c>
      <c r="AK6">
        <v>310.74766355140184</v>
      </c>
      <c r="AL6" t="s">
        <v>58</v>
      </c>
      <c r="AM6" s="64"/>
      <c r="AN6" s="64"/>
      <c r="AO6" s="64"/>
      <c r="AP6" s="64"/>
      <c r="AQ6" s="64"/>
    </row>
    <row r="7" spans="1:44" x14ac:dyDescent="0.3">
      <c r="A7" s="43" t="s">
        <v>798</v>
      </c>
      <c r="B7">
        <v>52201414</v>
      </c>
      <c r="C7">
        <v>25335417</v>
      </c>
      <c r="D7" s="38" t="s">
        <v>1149</v>
      </c>
      <c r="E7" t="s">
        <v>1088</v>
      </c>
      <c r="F7" t="s">
        <v>431</v>
      </c>
      <c r="G7" t="s">
        <v>82</v>
      </c>
      <c r="H7" t="s">
        <v>83</v>
      </c>
      <c r="I7" t="s">
        <v>1086</v>
      </c>
      <c r="J7" t="s">
        <v>1155</v>
      </c>
      <c r="K7"/>
      <c r="L7" s="37" t="s">
        <v>52</v>
      </c>
      <c r="M7" t="s">
        <v>1138</v>
      </c>
      <c r="N7">
        <v>500</v>
      </c>
      <c r="O7"/>
      <c r="P7" s="63">
        <v>45848</v>
      </c>
      <c r="Q7" s="63">
        <v>45849</v>
      </c>
      <c r="R7" t="s">
        <v>1013</v>
      </c>
      <c r="S7">
        <v>0</v>
      </c>
      <c r="T7">
        <v>0</v>
      </c>
      <c r="U7">
        <v>0</v>
      </c>
      <c r="V7">
        <v>821.79727907554002</v>
      </c>
      <c r="W7">
        <v>6905.4459455148417</v>
      </c>
      <c r="X7">
        <v>0</v>
      </c>
      <c r="Y7">
        <v>0</v>
      </c>
      <c r="Z7">
        <v>39922.780651907771</v>
      </c>
      <c r="AA7">
        <v>0</v>
      </c>
      <c r="AB7">
        <v>0</v>
      </c>
      <c r="AC7">
        <v>47650.023876498155</v>
      </c>
      <c r="AD7">
        <v>3277.9758618195829</v>
      </c>
      <c r="AE7">
        <v>50927.99973831774</v>
      </c>
      <c r="AF7" t="s">
        <v>242</v>
      </c>
      <c r="AG7">
        <v>6</v>
      </c>
      <c r="AH7">
        <v>4000</v>
      </c>
      <c r="AI7">
        <v>0</v>
      </c>
      <c r="AJ7">
        <v>0</v>
      </c>
      <c r="AK7">
        <v>257.15496218251207</v>
      </c>
      <c r="AL7" t="s">
        <v>58</v>
      </c>
      <c r="AM7" s="64"/>
      <c r="AN7" s="64"/>
      <c r="AO7" s="64"/>
      <c r="AP7" s="64"/>
      <c r="AQ7" s="64"/>
    </row>
    <row r="8" spans="1:44" x14ac:dyDescent="0.3">
      <c r="A8" s="43" t="s">
        <v>798</v>
      </c>
      <c r="B8">
        <v>52201478</v>
      </c>
      <c r="C8">
        <v>27554409</v>
      </c>
      <c r="D8" s="38" t="s">
        <v>158</v>
      </c>
      <c r="E8" t="s">
        <v>1088</v>
      </c>
      <c r="F8" t="s">
        <v>431</v>
      </c>
      <c r="G8" t="s">
        <v>82</v>
      </c>
      <c r="H8" t="s">
        <v>83</v>
      </c>
      <c r="I8" t="s">
        <v>1086</v>
      </c>
      <c r="J8" t="s">
        <v>1155</v>
      </c>
      <c r="K8"/>
      <c r="L8" s="37" t="s">
        <v>52</v>
      </c>
      <c r="M8" t="s">
        <v>1138</v>
      </c>
      <c r="N8">
        <v>1000</v>
      </c>
      <c r="O8"/>
      <c r="P8" s="63">
        <v>45848</v>
      </c>
      <c r="Q8" s="63">
        <v>45848</v>
      </c>
      <c r="R8" t="s">
        <v>1013</v>
      </c>
      <c r="S8">
        <v>0</v>
      </c>
      <c r="T8">
        <v>0</v>
      </c>
      <c r="U8">
        <v>0</v>
      </c>
      <c r="V8">
        <v>686.7746537502187</v>
      </c>
      <c r="W8">
        <v>0</v>
      </c>
      <c r="X8">
        <v>0</v>
      </c>
      <c r="Y8">
        <v>0</v>
      </c>
      <c r="Z8">
        <v>31570.303976318697</v>
      </c>
      <c r="AA8">
        <v>0</v>
      </c>
      <c r="AB8">
        <v>0</v>
      </c>
      <c r="AC8">
        <v>32257.078630068914</v>
      </c>
      <c r="AD8">
        <v>2209.9212783423091</v>
      </c>
      <c r="AE8">
        <v>34466.999908411221</v>
      </c>
      <c r="AF8" t="s">
        <v>242</v>
      </c>
      <c r="AG8">
        <v>10</v>
      </c>
      <c r="AH8">
        <v>9500</v>
      </c>
      <c r="AI8">
        <v>0</v>
      </c>
      <c r="AJ8">
        <v>0</v>
      </c>
      <c r="AK8">
        <v>608.13479043225755</v>
      </c>
      <c r="AL8" t="s">
        <v>58</v>
      </c>
      <c r="AM8" s="64"/>
      <c r="AN8" s="64"/>
      <c r="AO8" s="64"/>
      <c r="AP8" s="64"/>
      <c r="AQ8" s="64"/>
    </row>
    <row r="9" spans="1:44" x14ac:dyDescent="0.3">
      <c r="A9" s="43" t="s">
        <v>798</v>
      </c>
      <c r="B9">
        <v>4132301843</v>
      </c>
      <c r="C9" t="s">
        <v>1148</v>
      </c>
      <c r="D9" s="38" t="s">
        <v>1150</v>
      </c>
      <c r="E9" t="s">
        <v>1094</v>
      </c>
      <c r="F9" t="s">
        <v>430</v>
      </c>
      <c r="G9" t="s">
        <v>230</v>
      </c>
      <c r="H9" t="s">
        <v>231</v>
      </c>
      <c r="I9" t="s">
        <v>1086</v>
      </c>
      <c r="J9" t="s">
        <v>1156</v>
      </c>
      <c r="K9"/>
      <c r="L9" s="37" t="s">
        <v>52</v>
      </c>
      <c r="M9" t="s">
        <v>1138</v>
      </c>
      <c r="N9">
        <v>1000</v>
      </c>
      <c r="O9"/>
      <c r="P9" s="63">
        <v>45848</v>
      </c>
      <c r="Q9" s="63">
        <v>45848</v>
      </c>
      <c r="R9" t="s">
        <v>1013</v>
      </c>
      <c r="S9">
        <v>0</v>
      </c>
      <c r="T9">
        <v>16231.263590920213</v>
      </c>
      <c r="U9">
        <v>0</v>
      </c>
      <c r="V9">
        <v>0</v>
      </c>
      <c r="W9">
        <v>0</v>
      </c>
      <c r="X9">
        <v>30905.361129981109</v>
      </c>
      <c r="Y9">
        <v>56074.766355140186</v>
      </c>
      <c r="Z9">
        <v>0</v>
      </c>
      <c r="AA9">
        <v>369158.8785046729</v>
      </c>
      <c r="AB9">
        <v>0</v>
      </c>
      <c r="AC9">
        <v>472370.2695807144</v>
      </c>
      <c r="AD9">
        <v>31929.730419285599</v>
      </c>
      <c r="AE9">
        <v>504300</v>
      </c>
      <c r="AF9" t="s">
        <v>242</v>
      </c>
      <c r="AG9">
        <v>2</v>
      </c>
      <c r="AH9">
        <v>2000</v>
      </c>
      <c r="AI9">
        <v>0</v>
      </c>
      <c r="AJ9">
        <v>0</v>
      </c>
      <c r="AK9">
        <v>126.34434706954676</v>
      </c>
      <c r="AL9" t="s">
        <v>58</v>
      </c>
    </row>
    <row r="10" spans="1:44" x14ac:dyDescent="0.3">
      <c r="A10" s="43" t="s">
        <v>798</v>
      </c>
      <c r="B10">
        <v>52200492</v>
      </c>
      <c r="C10">
        <v>6102300029</v>
      </c>
      <c r="D10" s="38" t="s">
        <v>1151</v>
      </c>
      <c r="E10" t="s">
        <v>1101</v>
      </c>
      <c r="F10" t="s">
        <v>431</v>
      </c>
      <c r="G10" t="s">
        <v>235</v>
      </c>
      <c r="H10" t="s">
        <v>236</v>
      </c>
      <c r="I10" t="s">
        <v>1086</v>
      </c>
      <c r="J10" t="s">
        <v>1156</v>
      </c>
      <c r="K10"/>
      <c r="L10" s="37" t="s">
        <v>52</v>
      </c>
      <c r="M10" t="s">
        <v>1138</v>
      </c>
      <c r="N10">
        <v>800</v>
      </c>
      <c r="O10"/>
      <c r="P10" s="63">
        <v>45848</v>
      </c>
      <c r="Q10" s="63">
        <v>45848</v>
      </c>
      <c r="R10" t="s">
        <v>1013</v>
      </c>
      <c r="S10">
        <v>0</v>
      </c>
      <c r="T10">
        <v>593.10993805419548</v>
      </c>
      <c r="U10">
        <v>0</v>
      </c>
      <c r="V10">
        <v>0</v>
      </c>
      <c r="W10">
        <v>12763.972602739726</v>
      </c>
      <c r="X10">
        <v>0</v>
      </c>
      <c r="Y10">
        <v>0</v>
      </c>
      <c r="Z10">
        <v>26462.514076584863</v>
      </c>
      <c r="AA10">
        <v>0</v>
      </c>
      <c r="AB10">
        <v>0</v>
      </c>
      <c r="AC10">
        <v>39819.596617378789</v>
      </c>
      <c r="AD10">
        <v>1852.3759853609406</v>
      </c>
      <c r="AE10">
        <v>41671.972602739726</v>
      </c>
      <c r="AF10" t="s">
        <v>242</v>
      </c>
      <c r="AG10">
        <v>6</v>
      </c>
      <c r="AH10">
        <v>4800</v>
      </c>
      <c r="AI10">
        <v>0</v>
      </c>
      <c r="AJ10">
        <v>0</v>
      </c>
      <c r="AK10">
        <v>208.37167819046141</v>
      </c>
      <c r="AL10" t="s">
        <v>58</v>
      </c>
      <c r="AM10" s="64" t="s">
        <v>46</v>
      </c>
      <c r="AN10" s="64"/>
      <c r="AO10" s="64"/>
      <c r="AP10" s="64"/>
      <c r="AQ10" s="64"/>
    </row>
    <row r="11" spans="1:44" x14ac:dyDescent="0.3">
      <c r="A11" s="43" t="s">
        <v>798</v>
      </c>
      <c r="B11">
        <v>42200950</v>
      </c>
      <c r="C11">
        <v>2756013443</v>
      </c>
      <c r="D11" s="38" t="s">
        <v>1152</v>
      </c>
      <c r="E11" t="s">
        <v>1097</v>
      </c>
      <c r="F11" t="s">
        <v>430</v>
      </c>
      <c r="G11" t="s">
        <v>233</v>
      </c>
      <c r="H11" t="s">
        <v>234</v>
      </c>
      <c r="I11" t="s">
        <v>1086</v>
      </c>
      <c r="J11" t="s">
        <v>1156</v>
      </c>
      <c r="K11"/>
      <c r="L11" s="37" t="s">
        <v>52</v>
      </c>
      <c r="M11" t="s">
        <v>1138</v>
      </c>
      <c r="N11">
        <v>300</v>
      </c>
      <c r="O11"/>
      <c r="P11" s="63">
        <v>45848</v>
      </c>
      <c r="Q11" s="63">
        <v>45848</v>
      </c>
      <c r="R11" t="s">
        <v>1013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225735.50467289719</v>
      </c>
      <c r="AC11">
        <v>225735.50467289719</v>
      </c>
      <c r="AD11">
        <v>15801.485327102806</v>
      </c>
      <c r="AE11">
        <v>241536.99</v>
      </c>
      <c r="AF11" t="s">
        <v>242</v>
      </c>
      <c r="AG11">
        <v>5</v>
      </c>
      <c r="AH11">
        <v>2100</v>
      </c>
      <c r="AI11">
        <v>0</v>
      </c>
      <c r="AJ11">
        <v>0</v>
      </c>
      <c r="AK11">
        <v>137.38317757009349</v>
      </c>
      <c r="AL11" t="s">
        <v>58</v>
      </c>
      <c r="AO11" s="57" t="str">
        <f ca="1">TEXT(TODAY(),"dd-mm-yyyy")</f>
        <v>14-07-2025</v>
      </c>
      <c r="AP11" s="58"/>
    </row>
    <row r="12" spans="1:44" x14ac:dyDescent="0.3">
      <c r="A12" s="43" t="s">
        <v>798</v>
      </c>
      <c r="B12">
        <v>4132301575</v>
      </c>
      <c r="C12" t="s">
        <v>681</v>
      </c>
      <c r="D12" s="38" t="s">
        <v>1153</v>
      </c>
      <c r="E12" t="s">
        <v>1094</v>
      </c>
      <c r="F12" t="s">
        <v>430</v>
      </c>
      <c r="G12" t="s">
        <v>230</v>
      </c>
      <c r="H12" t="s">
        <v>231</v>
      </c>
      <c r="I12" t="s">
        <v>1086</v>
      </c>
      <c r="J12" t="s">
        <v>1156</v>
      </c>
      <c r="K12"/>
      <c r="L12" s="37" t="s">
        <v>52</v>
      </c>
      <c r="M12" t="s">
        <v>1138</v>
      </c>
      <c r="N12">
        <v>1000</v>
      </c>
      <c r="O12"/>
      <c r="P12" s="63">
        <v>45848</v>
      </c>
      <c r="Q12" s="63">
        <v>45848</v>
      </c>
      <c r="R12" t="s">
        <v>1013</v>
      </c>
      <c r="S12">
        <v>0</v>
      </c>
      <c r="T12">
        <v>14411.969924399167</v>
      </c>
      <c r="U12">
        <v>0</v>
      </c>
      <c r="V12">
        <v>0</v>
      </c>
      <c r="W12">
        <v>0</v>
      </c>
      <c r="X12">
        <v>0</v>
      </c>
      <c r="Y12">
        <v>24892.551472524145</v>
      </c>
      <c r="Z12">
        <v>0</v>
      </c>
      <c r="AA12">
        <v>392523.36448598129</v>
      </c>
      <c r="AB12">
        <v>0</v>
      </c>
      <c r="AC12">
        <v>431827.88588290464</v>
      </c>
      <c r="AD12">
        <v>29219.114117095382</v>
      </c>
      <c r="AE12">
        <v>461047</v>
      </c>
      <c r="AF12" t="s">
        <v>242</v>
      </c>
      <c r="AG12">
        <v>19</v>
      </c>
      <c r="AH12">
        <v>19000</v>
      </c>
      <c r="AI12">
        <v>0</v>
      </c>
      <c r="AJ12">
        <v>0</v>
      </c>
      <c r="AK12">
        <v>1201.4466305681703</v>
      </c>
      <c r="AL12" t="s">
        <v>58</v>
      </c>
      <c r="AM12" s="64" t="s">
        <v>47</v>
      </c>
      <c r="AN12" s="64"/>
      <c r="AO12" s="64"/>
      <c r="AP12" s="64"/>
      <c r="AQ12" s="64"/>
      <c r="AR12" s="43" t="s">
        <v>928</v>
      </c>
    </row>
    <row r="13" spans="1:44" x14ac:dyDescent="0.3">
      <c r="A13" s="43" t="s">
        <v>798</v>
      </c>
      <c r="B13">
        <v>52200925</v>
      </c>
      <c r="C13">
        <v>26945932</v>
      </c>
      <c r="D13" s="38" t="s">
        <v>866</v>
      </c>
      <c r="E13" t="s">
        <v>1088</v>
      </c>
      <c r="F13" t="s">
        <v>431</v>
      </c>
      <c r="G13" t="s">
        <v>82</v>
      </c>
      <c r="H13" t="s">
        <v>83</v>
      </c>
      <c r="I13" t="s">
        <v>1086</v>
      </c>
      <c r="J13" t="s">
        <v>1087</v>
      </c>
      <c r="K13"/>
      <c r="L13" s="37" t="s">
        <v>52</v>
      </c>
      <c r="M13" t="s">
        <v>1138</v>
      </c>
      <c r="N13">
        <v>3000</v>
      </c>
      <c r="O13"/>
      <c r="P13" s="63">
        <v>45848</v>
      </c>
      <c r="Q13" s="63">
        <v>45849</v>
      </c>
      <c r="R13" t="s">
        <v>1013</v>
      </c>
      <c r="S13">
        <v>0</v>
      </c>
      <c r="T13">
        <v>0</v>
      </c>
      <c r="U13">
        <v>0</v>
      </c>
      <c r="V13">
        <v>653.85761845917182</v>
      </c>
      <c r="W13">
        <v>1039.5755706062337</v>
      </c>
      <c r="X13">
        <v>0</v>
      </c>
      <c r="Y13">
        <v>0</v>
      </c>
      <c r="Z13">
        <v>45808.220686926034</v>
      </c>
      <c r="AA13">
        <v>0</v>
      </c>
      <c r="AB13">
        <v>0</v>
      </c>
      <c r="AC13">
        <v>47501.65387599144</v>
      </c>
      <c r="AD13">
        <v>3279.3457380272589</v>
      </c>
      <c r="AE13">
        <v>50780.9996140187</v>
      </c>
      <c r="AF13" t="s">
        <v>242</v>
      </c>
      <c r="AG13">
        <v>5</v>
      </c>
      <c r="AH13">
        <v>17000</v>
      </c>
      <c r="AI13">
        <v>0</v>
      </c>
      <c r="AJ13">
        <v>0</v>
      </c>
      <c r="AK13">
        <v>1096.6355451328434</v>
      </c>
      <c r="AL13" t="s">
        <v>58</v>
      </c>
      <c r="AN13" s="12" t="s">
        <v>1147</v>
      </c>
      <c r="AO13" t="s">
        <v>1145</v>
      </c>
      <c r="AP13" t="s">
        <v>1157</v>
      </c>
      <c r="AQ13" t="s">
        <v>1146</v>
      </c>
      <c r="AR13" s="44" t="s">
        <v>927</v>
      </c>
    </row>
    <row r="14" spans="1:44" x14ac:dyDescent="0.3">
      <c r="A14" s="43" t="s">
        <v>798</v>
      </c>
      <c r="B14">
        <v>52200044</v>
      </c>
      <c r="C14">
        <v>24843920</v>
      </c>
      <c r="D14" s="38" t="s">
        <v>383</v>
      </c>
      <c r="E14" t="s">
        <v>1098</v>
      </c>
      <c r="F14" t="s">
        <v>431</v>
      </c>
      <c r="G14" t="s">
        <v>235</v>
      </c>
      <c r="H14" t="s">
        <v>236</v>
      </c>
      <c r="I14" t="s">
        <v>1086</v>
      </c>
      <c r="J14" t="s">
        <v>1086</v>
      </c>
      <c r="K14"/>
      <c r="L14" s="37" t="s">
        <v>52</v>
      </c>
      <c r="M14" t="s">
        <v>1138</v>
      </c>
      <c r="N14">
        <v>5000</v>
      </c>
      <c r="O14"/>
      <c r="P14" s="63">
        <v>45848</v>
      </c>
      <c r="Q14" s="63">
        <v>45849</v>
      </c>
      <c r="R14" t="s">
        <v>1013</v>
      </c>
      <c r="S14">
        <v>1974.6894022382771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61664.776259590421</v>
      </c>
      <c r="AA14">
        <v>0</v>
      </c>
      <c r="AB14">
        <v>0</v>
      </c>
      <c r="AC14">
        <v>63639.465661828697</v>
      </c>
      <c r="AD14">
        <v>4316.5343381713301</v>
      </c>
      <c r="AE14">
        <v>67956.000000000029</v>
      </c>
      <c r="AF14" t="s">
        <v>242</v>
      </c>
      <c r="AG14">
        <v>22</v>
      </c>
      <c r="AH14">
        <v>96000</v>
      </c>
      <c r="AI14">
        <v>0</v>
      </c>
      <c r="AJ14">
        <v>0</v>
      </c>
      <c r="AK14">
        <v>6085.0568097069017</v>
      </c>
      <c r="AL14" t="s">
        <v>58</v>
      </c>
      <c r="AM14" s="64" t="s">
        <v>48</v>
      </c>
      <c r="AN14" s="64"/>
      <c r="AO14" s="64"/>
      <c r="AP14" s="64"/>
      <c r="AQ14" s="64"/>
    </row>
    <row r="15" spans="1:44" x14ac:dyDescent="0.3">
      <c r="A15" s="43" t="s">
        <v>798</v>
      </c>
      <c r="B15">
        <v>52200456</v>
      </c>
      <c r="C15">
        <v>6101460003</v>
      </c>
      <c r="D15" s="38" t="s">
        <v>1154</v>
      </c>
      <c r="E15" t="s">
        <v>1101</v>
      </c>
      <c r="F15" t="s">
        <v>431</v>
      </c>
      <c r="G15" t="s">
        <v>230</v>
      </c>
      <c r="H15" t="s">
        <v>231</v>
      </c>
      <c r="I15" t="s">
        <v>1086</v>
      </c>
      <c r="J15" t="s">
        <v>1093</v>
      </c>
      <c r="K15"/>
      <c r="L15" s="37" t="s">
        <v>52</v>
      </c>
      <c r="M15" t="s">
        <v>1138</v>
      </c>
      <c r="N15">
        <v>1500</v>
      </c>
      <c r="O15"/>
      <c r="P15" s="63">
        <v>45849</v>
      </c>
      <c r="Q15" s="63">
        <v>45850</v>
      </c>
      <c r="R15" t="s">
        <v>1013</v>
      </c>
      <c r="S15">
        <v>0</v>
      </c>
      <c r="T15">
        <v>590.9773208100421</v>
      </c>
      <c r="U15">
        <v>0</v>
      </c>
      <c r="V15">
        <v>0</v>
      </c>
      <c r="W15">
        <v>1995.4109589041095</v>
      </c>
      <c r="X15">
        <v>0</v>
      </c>
      <c r="Y15">
        <v>2280.3950272803349</v>
      </c>
      <c r="Z15">
        <v>0</v>
      </c>
      <c r="AA15">
        <v>32710.280373831774</v>
      </c>
      <c r="AB15">
        <v>0</v>
      </c>
      <c r="AC15">
        <v>37577.063680826264</v>
      </c>
      <c r="AD15">
        <v>2449.3472780778479</v>
      </c>
      <c r="AE15">
        <v>40026.410958904111</v>
      </c>
      <c r="AF15" t="s">
        <v>242</v>
      </c>
      <c r="AG15">
        <v>7</v>
      </c>
      <c r="AH15">
        <v>13500</v>
      </c>
      <c r="AI15">
        <v>0</v>
      </c>
      <c r="AJ15">
        <v>0</v>
      </c>
      <c r="AK15">
        <v>821.68075930533007</v>
      </c>
      <c r="AL15" t="s">
        <v>58</v>
      </c>
      <c r="AO15" s="45" t="str">
        <f ca="1">"pam"&amp;RIGHT(AO11,4)</f>
        <v>pam2025</v>
      </c>
    </row>
    <row r="16" spans="1:44" x14ac:dyDescent="0.3">
      <c r="A16" s="43" t="s">
        <v>798</v>
      </c>
      <c r="B16">
        <v>4142300192</v>
      </c>
      <c r="C16">
        <v>10067571</v>
      </c>
      <c r="D16" s="38" t="s">
        <v>192</v>
      </c>
      <c r="E16" t="s">
        <v>1095</v>
      </c>
      <c r="F16" t="s">
        <v>430</v>
      </c>
      <c r="G16" t="s">
        <v>233</v>
      </c>
      <c r="H16" t="s">
        <v>234</v>
      </c>
      <c r="I16" t="s">
        <v>1086</v>
      </c>
      <c r="J16" t="s">
        <v>1093</v>
      </c>
      <c r="K16"/>
      <c r="L16" s="37" t="s">
        <v>52</v>
      </c>
      <c r="M16" t="s">
        <v>1138</v>
      </c>
      <c r="N16">
        <v>2500</v>
      </c>
      <c r="O16"/>
      <c r="P16" s="63">
        <v>45849</v>
      </c>
      <c r="Q16" s="63">
        <v>45850</v>
      </c>
      <c r="R16" t="s">
        <v>1013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242543.85981308413</v>
      </c>
      <c r="AC16">
        <v>242543.85981308413</v>
      </c>
      <c r="AD16">
        <v>16978.070186915891</v>
      </c>
      <c r="AE16">
        <v>259521.93000000002</v>
      </c>
      <c r="AF16" t="s">
        <v>242</v>
      </c>
      <c r="AG16">
        <v>14</v>
      </c>
      <c r="AH16">
        <v>55000</v>
      </c>
      <c r="AI16">
        <v>0</v>
      </c>
      <c r="AJ16">
        <v>0</v>
      </c>
      <c r="AK16">
        <v>3598.1308411214932</v>
      </c>
      <c r="AL16" t="s">
        <v>58</v>
      </c>
      <c r="AO16" t="s">
        <v>49</v>
      </c>
    </row>
    <row r="17" spans="1:41" x14ac:dyDescent="0.3">
      <c r="A17" s="43" t="s">
        <v>798</v>
      </c>
      <c r="B17">
        <v>4142301290</v>
      </c>
      <c r="C17">
        <v>10276970</v>
      </c>
      <c r="D17" s="38" t="s">
        <v>751</v>
      </c>
      <c r="E17" t="s">
        <v>1096</v>
      </c>
      <c r="F17" t="s">
        <v>430</v>
      </c>
      <c r="G17" t="s">
        <v>230</v>
      </c>
      <c r="H17" t="s">
        <v>234</v>
      </c>
      <c r="I17" t="s">
        <v>1086</v>
      </c>
      <c r="J17" t="s">
        <v>1093</v>
      </c>
      <c r="K17"/>
      <c r="L17" s="37" t="s">
        <v>52</v>
      </c>
      <c r="M17" t="s">
        <v>1138</v>
      </c>
      <c r="N17">
        <v>1500</v>
      </c>
      <c r="O17"/>
      <c r="P17" s="63">
        <v>45849</v>
      </c>
      <c r="Q17" s="63">
        <v>45849</v>
      </c>
      <c r="R17" t="s">
        <v>1013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520172.42728971964</v>
      </c>
      <c r="AC17">
        <v>520172.42728971964</v>
      </c>
      <c r="AD17">
        <v>36412.069910280377</v>
      </c>
      <c r="AE17">
        <v>556584.49719999998</v>
      </c>
      <c r="AF17" t="s">
        <v>242</v>
      </c>
      <c r="AG17">
        <v>13</v>
      </c>
      <c r="AH17">
        <v>49000</v>
      </c>
      <c r="AI17">
        <v>0</v>
      </c>
      <c r="AJ17">
        <v>0</v>
      </c>
      <c r="AK17">
        <v>3205.607476635515</v>
      </c>
      <c r="AL17" t="s">
        <v>58</v>
      </c>
      <c r="AO17" s="46" t="s">
        <v>50</v>
      </c>
    </row>
    <row r="18" spans="1:41" x14ac:dyDescent="0.3">
      <c r="A18" s="43" t="s">
        <v>798</v>
      </c>
      <c r="B18">
        <v>4142301021</v>
      </c>
      <c r="C18">
        <v>10498847</v>
      </c>
      <c r="D18" s="38" t="s">
        <v>745</v>
      </c>
      <c r="E18" t="s">
        <v>1095</v>
      </c>
      <c r="F18" t="s">
        <v>430</v>
      </c>
      <c r="G18" t="s">
        <v>230</v>
      </c>
      <c r="H18" t="s">
        <v>234</v>
      </c>
      <c r="I18" t="s">
        <v>1086</v>
      </c>
      <c r="J18" t="s">
        <v>1093</v>
      </c>
      <c r="K18"/>
      <c r="L18" s="37" t="s">
        <v>52</v>
      </c>
      <c r="M18" t="s">
        <v>1138</v>
      </c>
      <c r="N18">
        <v>1000</v>
      </c>
      <c r="O18"/>
      <c r="P18" s="63">
        <v>45849</v>
      </c>
      <c r="Q18" s="63">
        <v>45850</v>
      </c>
      <c r="R18" t="s">
        <v>1013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249359.61682243002</v>
      </c>
      <c r="AC18">
        <v>249359.61682243002</v>
      </c>
      <c r="AD18">
        <v>17455.173177570105</v>
      </c>
      <c r="AE18">
        <v>266814.79000000015</v>
      </c>
      <c r="AF18" t="s">
        <v>242</v>
      </c>
      <c r="AG18">
        <v>16</v>
      </c>
      <c r="AH18">
        <v>24000</v>
      </c>
      <c r="AI18">
        <v>0</v>
      </c>
      <c r="AJ18">
        <v>0</v>
      </c>
      <c r="AK18">
        <v>1570.0934579439256</v>
      </c>
      <c r="AL18" t="s">
        <v>58</v>
      </c>
      <c r="AN18" s="24" t="s">
        <v>89</v>
      </c>
      <c r="AO18" s="24">
        <f>COUNTIF(E:E,"**")-1</f>
        <v>13</v>
      </c>
    </row>
    <row r="19" spans="1:4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63"/>
      <c r="Q19" s="63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4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63"/>
      <c r="Q20" s="63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4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N21" s="24" t="s">
        <v>332</v>
      </c>
      <c r="AO21" s="24" cm="1">
        <f t="array" ref="AO21">COUNTA(_xlfn._xlws.FILTER(_xlfn.UNIQUE(Payment_list[Code]),NOT(ISBLANK(_xlfn.UNIQUE(Payment_list[Code])))))</f>
        <v>13</v>
      </c>
    </row>
    <row r="22" spans="1:4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4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4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N24" s="24" t="s">
        <v>1079</v>
      </c>
    </row>
    <row r="25" spans="1:4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N25" t="s">
        <v>1080</v>
      </c>
    </row>
    <row r="26" spans="1:4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N26" t="str">
        <f ca="1">"Update Data Daily "&amp;AO11 &amp;" เรียบร้อยครับ"</f>
        <v>Update Data Daily 14-07-2025 เรียบร้อยครับ</v>
      </c>
    </row>
    <row r="27" spans="1:4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N27" t="s">
        <v>1081</v>
      </c>
    </row>
    <row r="28" spans="1:4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4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4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4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4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</sheetData>
  <mergeCells count="4">
    <mergeCell ref="AM6:AQ8"/>
    <mergeCell ref="AM10:AQ10"/>
    <mergeCell ref="AM12:AQ12"/>
    <mergeCell ref="AM14:AQ14"/>
  </mergeCells>
  <phoneticPr fontId="5" type="noConversion"/>
  <conditionalFormatting sqref="B1:B5">
    <cfRule type="duplicateValues" dxfId="4" priority="4"/>
  </conditionalFormatting>
  <conditionalFormatting sqref="B1:B5">
    <cfRule type="duplicateValues" dxfId="3" priority="8"/>
  </conditionalFormatting>
  <conditionalFormatting sqref="B1:B5">
    <cfRule type="duplicateValues" dxfId="2" priority="9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FD03A-8DCE-4D06-8366-CE05CD140256}">
  <sheetPr codeName="Sheet6"/>
  <dimension ref="A1:BR2821"/>
  <sheetViews>
    <sheetView topLeftCell="W1" zoomScale="55" zoomScaleNormal="55" workbookViewId="0">
      <selection activeCell="AQ5" sqref="AQ5"/>
    </sheetView>
  </sheetViews>
  <sheetFormatPr defaultRowHeight="14.4" x14ac:dyDescent="0.3"/>
  <cols>
    <col min="1" max="1" width="12.21875" bestFit="1" customWidth="1"/>
    <col min="2" max="2" width="12.5546875" customWidth="1"/>
    <col min="3" max="3" width="12.21875" bestFit="1" customWidth="1"/>
    <col min="4" max="10" width="6.109375" customWidth="1"/>
    <col min="11" max="11" width="13.44140625" style="15" bestFit="1" customWidth="1"/>
    <col min="12" max="12" width="17.6640625" style="15" bestFit="1" customWidth="1"/>
    <col min="13" max="13" width="11.77734375" bestFit="1" customWidth="1"/>
    <col min="14" max="14" width="12.88671875" customWidth="1"/>
    <col min="15" max="15" width="12.21875" customWidth="1"/>
    <col min="16" max="16" width="12.33203125" customWidth="1"/>
    <col min="17" max="17" width="12.6640625" customWidth="1"/>
    <col min="18" max="18" width="12.109375" customWidth="1"/>
    <col min="19" max="19" width="12.88671875" customWidth="1"/>
    <col min="20" max="20" width="12.77734375" customWidth="1"/>
    <col min="21" max="21" width="12.6640625" customWidth="1"/>
    <col min="22" max="22" width="13.109375" customWidth="1"/>
    <col min="23" max="23" width="17.109375" customWidth="1"/>
    <col min="24" max="24" width="12.109375" customWidth="1"/>
    <col min="25" max="25" width="12.5546875" customWidth="1"/>
    <col min="26" max="26" width="14.109375" customWidth="1"/>
    <col min="27" max="27" width="17.21875" bestFit="1" customWidth="1"/>
    <col min="31" max="31" width="17.21875" bestFit="1" customWidth="1"/>
  </cols>
  <sheetData>
    <row r="1" spans="1:38" x14ac:dyDescent="0.3">
      <c r="A1">
        <f>COLUMN(Payment_list34567[[#Headers],[Remark]])</f>
        <v>1</v>
      </c>
      <c r="B1">
        <f>COLUMN(Payment_list34567[[#Headers],[Code]])</f>
        <v>2</v>
      </c>
      <c r="C1">
        <f>COLUMN(Payment_list34567[[#Headers],[ContractID]])</f>
        <v>3</v>
      </c>
      <c r="D1">
        <f>COLUMN(Payment_list34567[[#Headers],[Cname]])</f>
        <v>4</v>
      </c>
      <c r="E1">
        <f>COLUMN(Payment_list34567[[#Headers],[Port]])</f>
        <v>5</v>
      </c>
      <c r="F1">
        <f>COLUMN(Payment_list34567[[#Headers],[Product]])</f>
        <v>6</v>
      </c>
      <c r="G1">
        <f>COLUMN(Payment_list34567[[#Headers],[Curr_status]])</f>
        <v>7</v>
      </c>
      <c r="H1">
        <f>COLUMN(Payment_list34567[[#Headers],[Mode]])</f>
        <v>8</v>
      </c>
      <c r="I1">
        <f>COLUMN(Payment_list34567[[#Headers],[DocID]])</f>
        <v>9</v>
      </c>
      <c r="J1">
        <f>COLUMN(Payment_list34567[[#Headers],[PM_code]])</f>
        <v>10</v>
      </c>
      <c r="K1" s="15">
        <f>COLUMN(Payment_list34567[[#Headers],[Amount]])</f>
        <v>11</v>
      </c>
      <c r="M1">
        <f>COLUMN(Payment_list34567[[#Headers],[Eff_Date]])</f>
        <v>13</v>
      </c>
      <c r="N1">
        <f>COLUMN(Payment_list34567[[#Headers],[Note]])</f>
        <v>14</v>
      </c>
      <c r="O1">
        <f>COLUMN(Payment_list34567[[#Headers],[exp_balance]])</f>
        <v>15</v>
      </c>
      <c r="P1">
        <f>COLUMN(Payment_list34567[[#Headers],[otl_balance]])</f>
        <v>16</v>
      </c>
      <c r="Q1">
        <f>COLUMN(Payment_list34567[[#Headers],[lss_balance]])</f>
        <v>17</v>
      </c>
      <c r="R1">
        <f>COLUMN(Payment_list34567[[#Headers],[pnt_balance]])</f>
        <v>18</v>
      </c>
      <c r="S1">
        <f>COLUMN(Payment_list34567[[#Headers],[int_balance]])</f>
        <v>19</v>
      </c>
      <c r="T1">
        <f>COLUMN(Payment_list34567[[#Headers],[opc_balance]])</f>
        <v>20</v>
      </c>
      <c r="U1">
        <f>COLUMN(Payment_list34567[[#Headers],[chg_balance]])</f>
        <v>21</v>
      </c>
      <c r="V1">
        <f>COLUMN(Payment_list34567[[#Headers],[prn_balance]])</f>
        <v>22</v>
      </c>
      <c r="W1">
        <f>COLUMN(Payment_list34567[[#Headers],[rpm_balance]])</f>
        <v>23</v>
      </c>
      <c r="Y1">
        <f>COLUMN(Payment_list34567[[#Headers],[outstanding_balance_excluding_vat]])</f>
        <v>25</v>
      </c>
      <c r="Z1">
        <f>COLUMN(Payment_list34567[[#Headers],[vat_remain]])</f>
        <v>26</v>
      </c>
      <c r="AA1">
        <f>COLUMN(Payment_list34567[[#Headers],[outstanding_balance_including_vat]])</f>
        <v>27</v>
      </c>
    </row>
    <row r="2" spans="1:38" x14ac:dyDescent="0.3">
      <c r="A2" t="s">
        <v>20</v>
      </c>
      <c r="B2" t="s">
        <v>54</v>
      </c>
      <c r="H2" t="s">
        <v>35</v>
      </c>
      <c r="AA2" t="s">
        <v>26</v>
      </c>
    </row>
    <row r="3" spans="1:38" x14ac:dyDescent="0.3">
      <c r="A3" t="s">
        <v>22</v>
      </c>
      <c r="N3" t="s">
        <v>36</v>
      </c>
      <c r="O3" t="s">
        <v>37</v>
      </c>
      <c r="P3" t="s">
        <v>38</v>
      </c>
      <c r="Q3" t="s">
        <v>39</v>
      </c>
      <c r="R3" t="s">
        <v>40</v>
      </c>
      <c r="S3" t="s">
        <v>41</v>
      </c>
      <c r="T3" t="s">
        <v>42</v>
      </c>
      <c r="U3" t="s">
        <v>43</v>
      </c>
      <c r="V3" t="s">
        <v>44</v>
      </c>
      <c r="W3" t="s">
        <v>45</v>
      </c>
    </row>
    <row r="4" spans="1:38" x14ac:dyDescent="0.3">
      <c r="A4" t="s">
        <v>21</v>
      </c>
      <c r="N4" t="s">
        <v>25</v>
      </c>
      <c r="O4" t="s">
        <v>26</v>
      </c>
      <c r="P4" t="s">
        <v>27</v>
      </c>
      <c r="Q4" t="s">
        <v>28</v>
      </c>
      <c r="R4" t="s">
        <v>29</v>
      </c>
      <c r="S4" t="s">
        <v>30</v>
      </c>
      <c r="T4" t="s">
        <v>31</v>
      </c>
      <c r="U4" t="s">
        <v>32</v>
      </c>
      <c r="V4" t="s">
        <v>33</v>
      </c>
      <c r="W4" t="s">
        <v>34</v>
      </c>
      <c r="Y4" t="s">
        <v>23</v>
      </c>
      <c r="Z4" t="s">
        <v>24</v>
      </c>
    </row>
    <row r="5" spans="1:38" s="11" customFormat="1" ht="28.8" x14ac:dyDescent="0.3">
      <c r="A5" s="8" t="s">
        <v>57</v>
      </c>
      <c r="B5" s="9" t="s">
        <v>0</v>
      </c>
      <c r="C5" s="10" t="s">
        <v>1</v>
      </c>
      <c r="D5" s="9" t="s">
        <v>2</v>
      </c>
      <c r="E5" s="9" t="s">
        <v>3</v>
      </c>
      <c r="F5" s="9" t="s">
        <v>4</v>
      </c>
      <c r="G5" s="9" t="s">
        <v>5</v>
      </c>
      <c r="H5" s="11" t="s">
        <v>6</v>
      </c>
      <c r="I5" s="9" t="s">
        <v>53</v>
      </c>
      <c r="J5" s="9" t="s">
        <v>7</v>
      </c>
      <c r="K5" s="16" t="s">
        <v>8</v>
      </c>
      <c r="L5" s="42" t="s">
        <v>424</v>
      </c>
      <c r="M5" s="14" t="s">
        <v>55</v>
      </c>
      <c r="N5" s="1" t="s">
        <v>51</v>
      </c>
      <c r="O5" s="2" t="s">
        <v>9</v>
      </c>
      <c r="P5" s="3" t="s">
        <v>10</v>
      </c>
      <c r="Q5" s="4" t="s">
        <v>11</v>
      </c>
      <c r="R5" s="5" t="s">
        <v>12</v>
      </c>
      <c r="S5" s="1" t="s">
        <v>13</v>
      </c>
      <c r="T5" s="5" t="s">
        <v>14</v>
      </c>
      <c r="U5" s="1" t="s">
        <v>15</v>
      </c>
      <c r="V5" s="6" t="s">
        <v>16</v>
      </c>
      <c r="W5" s="7" t="s">
        <v>17</v>
      </c>
      <c r="X5" s="22" t="s">
        <v>18</v>
      </c>
      <c r="Y5" s="33" t="s">
        <v>73</v>
      </c>
      <c r="Z5" s="22" t="s">
        <v>74</v>
      </c>
      <c r="AA5" s="36" t="s">
        <v>75</v>
      </c>
      <c r="AB5" s="34" t="s">
        <v>241</v>
      </c>
      <c r="AC5" s="34" t="s">
        <v>19</v>
      </c>
      <c r="AD5" s="35" t="s">
        <v>240</v>
      </c>
      <c r="AE5" s="23" t="s">
        <v>333</v>
      </c>
      <c r="AF5" s="11" t="s">
        <v>334</v>
      </c>
      <c r="AG5" s="11" t="s">
        <v>239</v>
      </c>
      <c r="AH5" s="11" t="s">
        <v>56</v>
      </c>
      <c r="AK5" s="47" t="s">
        <v>1076</v>
      </c>
      <c r="AL5" s="48" cm="1">
        <f t="array" ref="AL5">COUNTA(_xlfn._xlws.FILTER(_xlfn.UNIQUE(Payment_list34567[Code]),NOT(ISBLANK(_xlfn.UNIQUE(Payment_list34567[Code])))))</f>
        <v>541</v>
      </c>
    </row>
    <row r="6" spans="1:38" x14ac:dyDescent="0.3">
      <c r="A6" t="s">
        <v>798</v>
      </c>
      <c r="B6">
        <v>2200015</v>
      </c>
      <c r="C6">
        <v>20972229</v>
      </c>
      <c r="D6" t="s">
        <v>76</v>
      </c>
      <c r="E6" t="s">
        <v>435</v>
      </c>
      <c r="F6" t="s">
        <v>426</v>
      </c>
      <c r="G6" t="s">
        <v>82</v>
      </c>
      <c r="H6" t="s">
        <v>82</v>
      </c>
      <c r="J6" t="s">
        <v>52</v>
      </c>
      <c r="K6" s="15">
        <v>1000</v>
      </c>
      <c r="L6" s="15">
        <v>0</v>
      </c>
      <c r="M6" s="13">
        <v>44771</v>
      </c>
      <c r="O6">
        <v>0</v>
      </c>
      <c r="P6">
        <v>0</v>
      </c>
      <c r="Q6">
        <v>0</v>
      </c>
      <c r="R6">
        <v>461</v>
      </c>
      <c r="S6">
        <v>18348.597532223273</v>
      </c>
      <c r="T6">
        <v>0</v>
      </c>
      <c r="U6">
        <v>0</v>
      </c>
      <c r="V6">
        <v>122323.98354815517</v>
      </c>
      <c r="W6">
        <v>0</v>
      </c>
      <c r="X6">
        <v>0</v>
      </c>
      <c r="Y6">
        <v>141133.58108037844</v>
      </c>
      <c r="Z6">
        <v>0</v>
      </c>
      <c r="AA6">
        <v>141133.58108037844</v>
      </c>
      <c r="AB6" t="s">
        <v>242</v>
      </c>
      <c r="AC6">
        <v>1</v>
      </c>
      <c r="AD6">
        <v>1000</v>
      </c>
      <c r="AE6">
        <v>0</v>
      </c>
      <c r="AF6">
        <v>0</v>
      </c>
      <c r="AG6">
        <v>0</v>
      </c>
      <c r="AH6" t="s">
        <v>72</v>
      </c>
    </row>
    <row r="7" spans="1:38" x14ac:dyDescent="0.3">
      <c r="A7" t="s">
        <v>798</v>
      </c>
      <c r="B7">
        <v>62200013</v>
      </c>
      <c r="C7">
        <v>20972385</v>
      </c>
      <c r="D7" t="s">
        <v>76</v>
      </c>
      <c r="E7" t="s">
        <v>435</v>
      </c>
      <c r="F7" t="s">
        <v>432</v>
      </c>
      <c r="G7" t="s">
        <v>82</v>
      </c>
      <c r="H7" t="s">
        <v>82</v>
      </c>
      <c r="J7" t="s">
        <v>52</v>
      </c>
      <c r="K7" s="15">
        <v>4000</v>
      </c>
      <c r="L7" s="15">
        <v>0</v>
      </c>
      <c r="M7" s="13">
        <v>44771</v>
      </c>
      <c r="O7">
        <v>0</v>
      </c>
      <c r="P7">
        <v>0</v>
      </c>
      <c r="Q7">
        <v>0</v>
      </c>
      <c r="R7">
        <v>0</v>
      </c>
      <c r="S7">
        <v>15176.760609872705</v>
      </c>
      <c r="T7">
        <v>0</v>
      </c>
      <c r="U7">
        <v>0</v>
      </c>
      <c r="V7">
        <v>68488.430749545369</v>
      </c>
      <c r="W7">
        <v>0</v>
      </c>
      <c r="X7">
        <v>0</v>
      </c>
      <c r="Y7">
        <v>83665.191359418066</v>
      </c>
      <c r="Z7">
        <v>0</v>
      </c>
      <c r="AA7">
        <v>83665.191359418066</v>
      </c>
      <c r="AB7" t="s">
        <v>242</v>
      </c>
      <c r="AC7">
        <v>1</v>
      </c>
      <c r="AD7">
        <v>4000</v>
      </c>
      <c r="AE7">
        <v>0</v>
      </c>
      <c r="AF7">
        <v>0</v>
      </c>
      <c r="AG7">
        <v>0</v>
      </c>
      <c r="AH7" t="s">
        <v>72</v>
      </c>
    </row>
    <row r="8" spans="1:38" x14ac:dyDescent="0.3">
      <c r="A8" t="s">
        <v>798</v>
      </c>
      <c r="B8">
        <v>2200009</v>
      </c>
      <c r="C8">
        <v>19887094</v>
      </c>
      <c r="D8" t="s">
        <v>77</v>
      </c>
      <c r="E8" t="s">
        <v>435</v>
      </c>
      <c r="F8" t="s">
        <v>426</v>
      </c>
      <c r="G8" t="s">
        <v>82</v>
      </c>
      <c r="H8" t="s">
        <v>82</v>
      </c>
      <c r="J8" t="s">
        <v>52</v>
      </c>
      <c r="K8" s="15">
        <v>900</v>
      </c>
      <c r="L8" s="15">
        <v>0</v>
      </c>
      <c r="M8" s="13">
        <v>44774</v>
      </c>
      <c r="O8">
        <v>0</v>
      </c>
      <c r="P8">
        <v>0</v>
      </c>
      <c r="Q8">
        <v>0</v>
      </c>
      <c r="R8">
        <v>561</v>
      </c>
      <c r="S8">
        <v>25440.616180538298</v>
      </c>
      <c r="T8">
        <v>0</v>
      </c>
      <c r="U8">
        <v>0</v>
      </c>
      <c r="V8">
        <v>107102.9400910782</v>
      </c>
      <c r="W8">
        <v>0</v>
      </c>
      <c r="X8">
        <v>0</v>
      </c>
      <c r="Y8">
        <v>133104.55627161649</v>
      </c>
      <c r="Z8">
        <v>0</v>
      </c>
      <c r="AA8">
        <v>133104.55627161649</v>
      </c>
      <c r="AB8" t="s">
        <v>242</v>
      </c>
      <c r="AC8">
        <v>1</v>
      </c>
      <c r="AD8">
        <v>900</v>
      </c>
      <c r="AE8">
        <v>0</v>
      </c>
      <c r="AF8">
        <v>0</v>
      </c>
      <c r="AG8">
        <v>0</v>
      </c>
      <c r="AH8" t="s">
        <v>72</v>
      </c>
    </row>
    <row r="9" spans="1:38" x14ac:dyDescent="0.3">
      <c r="A9" t="s">
        <v>798</v>
      </c>
      <c r="B9">
        <v>62200005</v>
      </c>
      <c r="C9">
        <v>19887124</v>
      </c>
      <c r="D9" t="s">
        <v>77</v>
      </c>
      <c r="E9" t="s">
        <v>435</v>
      </c>
      <c r="F9" t="s">
        <v>432</v>
      </c>
      <c r="G9" t="s">
        <v>82</v>
      </c>
      <c r="H9" t="s">
        <v>82</v>
      </c>
      <c r="J9" t="s">
        <v>52</v>
      </c>
      <c r="K9" s="15">
        <v>1800</v>
      </c>
      <c r="L9" s="15">
        <v>0</v>
      </c>
      <c r="M9" s="13">
        <v>44774</v>
      </c>
      <c r="O9">
        <v>0</v>
      </c>
      <c r="P9">
        <v>0</v>
      </c>
      <c r="Q9">
        <v>0</v>
      </c>
      <c r="R9">
        <v>0</v>
      </c>
      <c r="S9">
        <v>24625.601058092285</v>
      </c>
      <c r="T9">
        <v>0</v>
      </c>
      <c r="U9">
        <v>0</v>
      </c>
      <c r="V9">
        <v>59598.02512483739</v>
      </c>
      <c r="W9">
        <v>0</v>
      </c>
      <c r="X9">
        <v>0</v>
      </c>
      <c r="Y9">
        <v>84223.626182929671</v>
      </c>
      <c r="Z9">
        <v>0</v>
      </c>
      <c r="AA9">
        <v>84223.626182929671</v>
      </c>
      <c r="AB9" t="s">
        <v>242</v>
      </c>
      <c r="AC9">
        <v>1</v>
      </c>
      <c r="AD9">
        <v>1800</v>
      </c>
      <c r="AE9">
        <v>0</v>
      </c>
      <c r="AF9">
        <v>0</v>
      </c>
      <c r="AG9">
        <v>0</v>
      </c>
      <c r="AH9" t="s">
        <v>72</v>
      </c>
    </row>
    <row r="10" spans="1:38" x14ac:dyDescent="0.3">
      <c r="A10" t="s">
        <v>798</v>
      </c>
      <c r="B10">
        <v>62200006</v>
      </c>
      <c r="C10">
        <v>19887213</v>
      </c>
      <c r="D10" t="s">
        <v>77</v>
      </c>
      <c r="E10" t="s">
        <v>435</v>
      </c>
      <c r="F10" t="s">
        <v>432</v>
      </c>
      <c r="G10" t="s">
        <v>82</v>
      </c>
      <c r="H10" t="s">
        <v>82</v>
      </c>
      <c r="J10" t="s">
        <v>52</v>
      </c>
      <c r="K10" s="15">
        <v>1800</v>
      </c>
      <c r="L10" s="15">
        <v>0</v>
      </c>
      <c r="M10" s="13">
        <v>44774</v>
      </c>
      <c r="O10">
        <v>0</v>
      </c>
      <c r="P10">
        <v>0</v>
      </c>
      <c r="Q10">
        <v>0</v>
      </c>
      <c r="R10">
        <v>51</v>
      </c>
      <c r="S10">
        <v>14553.995421279793</v>
      </c>
      <c r="T10">
        <v>0</v>
      </c>
      <c r="U10">
        <v>0</v>
      </c>
      <c r="V10">
        <v>29690.410958904111</v>
      </c>
      <c r="W10">
        <v>0</v>
      </c>
      <c r="X10">
        <v>0</v>
      </c>
      <c r="Y10">
        <v>44295.406380183907</v>
      </c>
      <c r="Z10">
        <v>0</v>
      </c>
      <c r="AA10">
        <v>44295.406380183907</v>
      </c>
      <c r="AB10" t="s">
        <v>242</v>
      </c>
      <c r="AC10">
        <v>1</v>
      </c>
      <c r="AD10">
        <v>1800</v>
      </c>
      <c r="AE10">
        <v>0</v>
      </c>
      <c r="AF10">
        <v>0</v>
      </c>
      <c r="AG10">
        <v>0</v>
      </c>
      <c r="AH10" t="s">
        <v>72</v>
      </c>
    </row>
    <row r="11" spans="1:38" x14ac:dyDescent="0.3">
      <c r="A11" t="s">
        <v>798</v>
      </c>
      <c r="B11">
        <v>32200011</v>
      </c>
      <c r="C11" t="s">
        <v>243</v>
      </c>
      <c r="D11" t="s">
        <v>315</v>
      </c>
      <c r="E11" t="s">
        <v>435</v>
      </c>
      <c r="F11" t="s">
        <v>429</v>
      </c>
      <c r="G11" t="s">
        <v>82</v>
      </c>
      <c r="H11" t="s">
        <v>82</v>
      </c>
      <c r="J11" t="s">
        <v>52</v>
      </c>
      <c r="K11" s="15">
        <v>2500</v>
      </c>
      <c r="L11" s="15">
        <v>0</v>
      </c>
      <c r="M11" s="13">
        <v>44775</v>
      </c>
      <c r="O11">
        <v>0</v>
      </c>
      <c r="P11">
        <v>0</v>
      </c>
      <c r="Q11">
        <v>0</v>
      </c>
      <c r="R11">
        <v>0</v>
      </c>
      <c r="S11">
        <v>3013.6636757041101</v>
      </c>
      <c r="T11">
        <v>0</v>
      </c>
      <c r="U11">
        <v>0</v>
      </c>
      <c r="V11">
        <v>7753.04</v>
      </c>
      <c r="W11">
        <v>0</v>
      </c>
      <c r="X11">
        <v>0</v>
      </c>
      <c r="Y11">
        <v>10766.70367570411</v>
      </c>
      <c r="Z11">
        <v>0</v>
      </c>
      <c r="AA11">
        <v>10766.70367570411</v>
      </c>
      <c r="AB11" t="s">
        <v>242</v>
      </c>
      <c r="AC11">
        <v>1</v>
      </c>
      <c r="AD11">
        <v>2500</v>
      </c>
      <c r="AE11">
        <v>0</v>
      </c>
      <c r="AF11">
        <v>0</v>
      </c>
      <c r="AG11">
        <v>0</v>
      </c>
      <c r="AH11" t="s">
        <v>72</v>
      </c>
    </row>
    <row r="12" spans="1:38" x14ac:dyDescent="0.3">
      <c r="A12" t="s">
        <v>798</v>
      </c>
      <c r="B12">
        <v>12200041</v>
      </c>
      <c r="C12">
        <v>23113175</v>
      </c>
      <c r="D12" t="s">
        <v>78</v>
      </c>
      <c r="E12" t="s">
        <v>435</v>
      </c>
      <c r="F12" t="s">
        <v>427</v>
      </c>
      <c r="G12" t="s">
        <v>82</v>
      </c>
      <c r="H12" t="s">
        <v>82</v>
      </c>
      <c r="J12" t="s">
        <v>52</v>
      </c>
      <c r="K12" s="15">
        <v>4000</v>
      </c>
      <c r="L12" s="15">
        <v>0</v>
      </c>
      <c r="M12" s="13">
        <v>44781</v>
      </c>
      <c r="O12">
        <v>0</v>
      </c>
      <c r="P12">
        <v>0</v>
      </c>
      <c r="Q12">
        <v>0</v>
      </c>
      <c r="R12">
        <v>0</v>
      </c>
      <c r="S12">
        <v>25812.621425720554</v>
      </c>
      <c r="T12">
        <v>0</v>
      </c>
      <c r="U12">
        <v>0</v>
      </c>
      <c r="V12">
        <v>192752.41</v>
      </c>
      <c r="W12">
        <v>0</v>
      </c>
      <c r="X12">
        <v>0</v>
      </c>
      <c r="Y12">
        <v>218565.03142572055</v>
      </c>
      <c r="Z12">
        <v>0</v>
      </c>
      <c r="AA12">
        <v>218565.03142572055</v>
      </c>
      <c r="AB12" t="s">
        <v>242</v>
      </c>
      <c r="AC12">
        <v>1</v>
      </c>
      <c r="AD12">
        <v>4000</v>
      </c>
      <c r="AE12">
        <v>0</v>
      </c>
      <c r="AF12">
        <v>0</v>
      </c>
      <c r="AG12">
        <v>0</v>
      </c>
      <c r="AH12" t="s">
        <v>72</v>
      </c>
    </row>
    <row r="13" spans="1:38" x14ac:dyDescent="0.3">
      <c r="A13" t="s">
        <v>798</v>
      </c>
      <c r="B13">
        <v>22200103</v>
      </c>
      <c r="C13" t="s">
        <v>244</v>
      </c>
      <c r="D13" t="s">
        <v>316</v>
      </c>
      <c r="E13" t="s">
        <v>435</v>
      </c>
      <c r="F13" t="s">
        <v>428</v>
      </c>
      <c r="G13" t="s">
        <v>82</v>
      </c>
      <c r="H13" t="s">
        <v>82</v>
      </c>
      <c r="J13" t="s">
        <v>52</v>
      </c>
      <c r="K13" s="15">
        <v>2000</v>
      </c>
      <c r="L13" s="15">
        <v>0</v>
      </c>
      <c r="M13" s="13">
        <v>44791</v>
      </c>
      <c r="O13">
        <v>0</v>
      </c>
      <c r="P13">
        <v>0</v>
      </c>
      <c r="Q13">
        <v>0</v>
      </c>
      <c r="R13">
        <v>151</v>
      </c>
      <c r="S13">
        <v>1925.2505876327521</v>
      </c>
      <c r="T13">
        <v>0</v>
      </c>
      <c r="U13">
        <v>0</v>
      </c>
      <c r="V13">
        <v>4605.7418989208809</v>
      </c>
      <c r="W13">
        <v>0</v>
      </c>
      <c r="X13">
        <v>0</v>
      </c>
      <c r="Y13">
        <v>6681.9924865536332</v>
      </c>
      <c r="Z13">
        <v>0</v>
      </c>
      <c r="AA13">
        <v>6681.9924865536332</v>
      </c>
      <c r="AB13" t="s">
        <v>242</v>
      </c>
      <c r="AC13">
        <v>1</v>
      </c>
      <c r="AD13">
        <v>2000</v>
      </c>
      <c r="AE13">
        <v>0</v>
      </c>
      <c r="AF13">
        <v>0</v>
      </c>
      <c r="AG13">
        <v>0</v>
      </c>
      <c r="AH13" t="s">
        <v>72</v>
      </c>
    </row>
    <row r="14" spans="1:38" x14ac:dyDescent="0.3">
      <c r="A14" t="s">
        <v>798</v>
      </c>
      <c r="B14">
        <v>62200104</v>
      </c>
      <c r="C14" t="s">
        <v>245</v>
      </c>
      <c r="D14" t="s">
        <v>316</v>
      </c>
      <c r="E14" t="s">
        <v>435</v>
      </c>
      <c r="F14" t="s">
        <v>432</v>
      </c>
      <c r="G14" t="s">
        <v>82</v>
      </c>
      <c r="H14" t="s">
        <v>82</v>
      </c>
      <c r="J14" t="s">
        <v>52</v>
      </c>
      <c r="K14" s="15">
        <v>2000</v>
      </c>
      <c r="L14" s="15">
        <v>0</v>
      </c>
      <c r="M14" s="13">
        <v>44791</v>
      </c>
      <c r="O14">
        <v>0</v>
      </c>
      <c r="P14">
        <v>0</v>
      </c>
      <c r="Q14">
        <v>0</v>
      </c>
      <c r="R14">
        <v>0</v>
      </c>
      <c r="S14">
        <v>13295.873711465205</v>
      </c>
      <c r="T14">
        <v>0</v>
      </c>
      <c r="U14">
        <v>0</v>
      </c>
      <c r="V14">
        <v>22299.012967342856</v>
      </c>
      <c r="W14">
        <v>0</v>
      </c>
      <c r="X14">
        <v>0</v>
      </c>
      <c r="Y14">
        <v>35594.886678808063</v>
      </c>
      <c r="Z14">
        <v>0</v>
      </c>
      <c r="AA14">
        <v>35594.886678808063</v>
      </c>
      <c r="AB14" t="s">
        <v>242</v>
      </c>
      <c r="AC14">
        <v>1</v>
      </c>
      <c r="AD14">
        <v>2000</v>
      </c>
      <c r="AE14">
        <v>0</v>
      </c>
      <c r="AF14">
        <v>0</v>
      </c>
      <c r="AG14">
        <v>0</v>
      </c>
      <c r="AH14" t="s">
        <v>72</v>
      </c>
    </row>
    <row r="15" spans="1:38" x14ac:dyDescent="0.3">
      <c r="A15" t="s">
        <v>798</v>
      </c>
      <c r="B15">
        <v>82200022</v>
      </c>
      <c r="C15">
        <v>901020021502</v>
      </c>
      <c r="D15" t="s">
        <v>87</v>
      </c>
      <c r="E15" t="s">
        <v>440</v>
      </c>
      <c r="F15" t="s">
        <v>433</v>
      </c>
      <c r="G15" t="s">
        <v>82</v>
      </c>
      <c r="H15" t="s">
        <v>83</v>
      </c>
      <c r="J15" t="s">
        <v>52</v>
      </c>
      <c r="K15" s="15">
        <v>21000</v>
      </c>
      <c r="L15" s="15">
        <v>0</v>
      </c>
      <c r="M15" s="13">
        <v>44793</v>
      </c>
      <c r="O15">
        <v>0</v>
      </c>
      <c r="P15">
        <v>0</v>
      </c>
      <c r="Q15">
        <v>131214.11986425621</v>
      </c>
      <c r="R15">
        <v>2328.7600000000002</v>
      </c>
      <c r="S15">
        <v>160160.33358480726</v>
      </c>
      <c r="T15">
        <v>0</v>
      </c>
      <c r="U15">
        <v>0</v>
      </c>
      <c r="V15">
        <v>1848413.79</v>
      </c>
      <c r="W15">
        <v>0</v>
      </c>
      <c r="X15">
        <v>0</v>
      </c>
      <c r="Y15">
        <v>2142117.0034490637</v>
      </c>
      <c r="Z15">
        <v>140600.18865093653</v>
      </c>
      <c r="AA15">
        <v>2282717.1921000001</v>
      </c>
      <c r="AB15" t="s">
        <v>242</v>
      </c>
      <c r="AC15">
        <v>1</v>
      </c>
      <c r="AD15">
        <v>21000</v>
      </c>
      <c r="AE15">
        <v>0</v>
      </c>
      <c r="AF15">
        <v>0</v>
      </c>
      <c r="AG15">
        <v>1288.1334490634908</v>
      </c>
      <c r="AH15" t="s">
        <v>72</v>
      </c>
    </row>
    <row r="16" spans="1:38" x14ac:dyDescent="0.3">
      <c r="A16" t="s">
        <v>798</v>
      </c>
      <c r="B16">
        <v>82200021</v>
      </c>
      <c r="C16" t="s">
        <v>106</v>
      </c>
      <c r="D16" t="s">
        <v>87</v>
      </c>
      <c r="E16" t="s">
        <v>440</v>
      </c>
      <c r="F16" t="s">
        <v>433</v>
      </c>
      <c r="G16" t="s">
        <v>82</v>
      </c>
      <c r="H16" t="s">
        <v>83</v>
      </c>
      <c r="J16" t="s">
        <v>52</v>
      </c>
      <c r="K16" s="15">
        <v>14000</v>
      </c>
      <c r="L16" s="15">
        <v>0</v>
      </c>
      <c r="M16" s="13">
        <v>44793</v>
      </c>
      <c r="O16">
        <v>0</v>
      </c>
      <c r="P16">
        <v>0</v>
      </c>
      <c r="Q16">
        <v>91568.425666816751</v>
      </c>
      <c r="R16">
        <v>82.05</v>
      </c>
      <c r="S16">
        <v>109675.05386278809</v>
      </c>
      <c r="T16">
        <v>0</v>
      </c>
      <c r="U16">
        <v>0</v>
      </c>
      <c r="V16">
        <v>1289224.49</v>
      </c>
      <c r="W16">
        <v>0</v>
      </c>
      <c r="X16">
        <v>0</v>
      </c>
      <c r="Y16">
        <v>1490550.0195296048</v>
      </c>
      <c r="Z16">
        <v>97922.968070395174</v>
      </c>
      <c r="AA16">
        <v>1588472.9876000001</v>
      </c>
      <c r="AB16" t="s">
        <v>242</v>
      </c>
      <c r="AC16">
        <v>1</v>
      </c>
      <c r="AD16">
        <v>14000</v>
      </c>
      <c r="AE16">
        <v>0</v>
      </c>
      <c r="AF16">
        <v>0</v>
      </c>
      <c r="AG16">
        <v>859.53952960483366</v>
      </c>
      <c r="AH16" t="s">
        <v>72</v>
      </c>
    </row>
    <row r="17" spans="1:34" x14ac:dyDescent="0.3">
      <c r="A17" t="s">
        <v>798</v>
      </c>
      <c r="B17">
        <v>82200027</v>
      </c>
      <c r="C17" t="s">
        <v>110</v>
      </c>
      <c r="D17" t="s">
        <v>535</v>
      </c>
      <c r="E17" t="s">
        <v>440</v>
      </c>
      <c r="F17" t="s">
        <v>433</v>
      </c>
      <c r="G17" t="s">
        <v>82</v>
      </c>
      <c r="H17" t="s">
        <v>83</v>
      </c>
      <c r="J17" t="s">
        <v>52</v>
      </c>
      <c r="K17" s="15">
        <v>46000</v>
      </c>
      <c r="L17" s="15">
        <v>0</v>
      </c>
      <c r="M17" s="13">
        <v>44793</v>
      </c>
      <c r="O17">
        <v>0</v>
      </c>
      <c r="P17">
        <v>0</v>
      </c>
      <c r="Q17">
        <v>87111.653327315929</v>
      </c>
      <c r="R17">
        <v>45329.380000000005</v>
      </c>
      <c r="S17">
        <v>274164.22231091972</v>
      </c>
      <c r="T17">
        <v>0</v>
      </c>
      <c r="U17">
        <v>0</v>
      </c>
      <c r="V17">
        <v>1284340.32</v>
      </c>
      <c r="W17">
        <v>0</v>
      </c>
      <c r="X17">
        <v>0</v>
      </c>
      <c r="Y17">
        <v>1690945.5756382358</v>
      </c>
      <c r="Z17">
        <v>109095.31796176441</v>
      </c>
      <c r="AA17">
        <v>1800040.8936000001</v>
      </c>
      <c r="AB17" t="s">
        <v>242</v>
      </c>
      <c r="AC17">
        <v>1</v>
      </c>
      <c r="AD17">
        <v>46000</v>
      </c>
      <c r="AE17">
        <v>0</v>
      </c>
      <c r="AF17">
        <v>0</v>
      </c>
      <c r="AG17">
        <v>2773.2556382356197</v>
      </c>
      <c r="AH17" t="s">
        <v>72</v>
      </c>
    </row>
    <row r="18" spans="1:34" x14ac:dyDescent="0.3">
      <c r="A18" t="s">
        <v>798</v>
      </c>
      <c r="B18">
        <v>62200092</v>
      </c>
      <c r="C18" t="s">
        <v>659</v>
      </c>
      <c r="D18" t="s">
        <v>658</v>
      </c>
      <c r="E18" t="s">
        <v>435</v>
      </c>
      <c r="F18" t="s">
        <v>432</v>
      </c>
      <c r="G18" t="s">
        <v>235</v>
      </c>
      <c r="H18" t="s">
        <v>235</v>
      </c>
      <c r="J18" t="s">
        <v>672</v>
      </c>
      <c r="M18" s="13">
        <v>44795</v>
      </c>
      <c r="O18">
        <v>3000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60618.739999999991</v>
      </c>
      <c r="W18">
        <v>0</v>
      </c>
      <c r="X18">
        <v>0</v>
      </c>
      <c r="Y18">
        <v>63618.739999999991</v>
      </c>
      <c r="Z18">
        <v>0</v>
      </c>
      <c r="AA18">
        <v>63618.739999999991</v>
      </c>
      <c r="AB18" t="s">
        <v>242</v>
      </c>
      <c r="AC18">
        <v>0</v>
      </c>
      <c r="AD18">
        <v>0</v>
      </c>
      <c r="AE18">
        <v>0</v>
      </c>
      <c r="AF18">
        <v>0</v>
      </c>
      <c r="AG18">
        <v>0</v>
      </c>
      <c r="AH18" t="s">
        <v>72</v>
      </c>
    </row>
    <row r="19" spans="1:34" x14ac:dyDescent="0.3">
      <c r="A19" t="s">
        <v>798</v>
      </c>
      <c r="B19">
        <v>82200001</v>
      </c>
      <c r="C19" t="s">
        <v>246</v>
      </c>
      <c r="D19" t="s">
        <v>595</v>
      </c>
      <c r="E19" t="s">
        <v>440</v>
      </c>
      <c r="F19" t="s">
        <v>433</v>
      </c>
      <c r="G19" t="s">
        <v>82</v>
      </c>
      <c r="H19" t="s">
        <v>83</v>
      </c>
      <c r="J19" t="s">
        <v>52</v>
      </c>
      <c r="K19" s="15">
        <v>20000</v>
      </c>
      <c r="M19" s="13">
        <v>44798</v>
      </c>
      <c r="O19">
        <v>0</v>
      </c>
      <c r="P19">
        <v>0</v>
      </c>
      <c r="Q19">
        <v>122746.07197874237</v>
      </c>
      <c r="R19">
        <v>13743.86</v>
      </c>
      <c r="S19">
        <v>134648.94544042769</v>
      </c>
      <c r="T19">
        <v>0</v>
      </c>
      <c r="U19">
        <v>0</v>
      </c>
      <c r="V19">
        <v>1715376.1</v>
      </c>
      <c r="W19">
        <v>0</v>
      </c>
      <c r="X19">
        <v>0</v>
      </c>
      <c r="Y19">
        <v>1986514.9774191701</v>
      </c>
      <c r="Z19">
        <v>129501.75318082995</v>
      </c>
      <c r="AA19">
        <v>2116016.7305999999</v>
      </c>
      <c r="AB19" t="s">
        <v>242</v>
      </c>
      <c r="AC19">
        <v>1</v>
      </c>
      <c r="AD19">
        <v>20000</v>
      </c>
      <c r="AE19">
        <v>0</v>
      </c>
      <c r="AF19">
        <v>0</v>
      </c>
      <c r="AG19">
        <v>1218.4574191700631</v>
      </c>
      <c r="AH19" t="s">
        <v>72</v>
      </c>
    </row>
    <row r="20" spans="1:34" x14ac:dyDescent="0.3">
      <c r="A20" t="s">
        <v>798</v>
      </c>
      <c r="B20">
        <v>2200015</v>
      </c>
      <c r="C20">
        <v>20972229</v>
      </c>
      <c r="D20" t="s">
        <v>76</v>
      </c>
      <c r="E20" t="s">
        <v>435</v>
      </c>
      <c r="F20" t="s">
        <v>426</v>
      </c>
      <c r="G20" t="s">
        <v>82</v>
      </c>
      <c r="H20" t="s">
        <v>82</v>
      </c>
      <c r="J20" t="s">
        <v>52</v>
      </c>
      <c r="K20" s="15">
        <v>1000</v>
      </c>
      <c r="L20" s="15">
        <v>0</v>
      </c>
      <c r="M20" s="13">
        <v>44802</v>
      </c>
      <c r="O20">
        <v>0</v>
      </c>
      <c r="P20">
        <v>0</v>
      </c>
      <c r="Q20">
        <v>0</v>
      </c>
      <c r="R20">
        <v>0</v>
      </c>
      <c r="S20">
        <v>17809.597532223273</v>
      </c>
      <c r="T20">
        <v>0</v>
      </c>
      <c r="U20">
        <v>0</v>
      </c>
      <c r="V20">
        <v>122323.98354815517</v>
      </c>
      <c r="W20">
        <v>0</v>
      </c>
      <c r="X20">
        <v>0</v>
      </c>
      <c r="Y20">
        <v>140133.58108037844</v>
      </c>
      <c r="Z20">
        <v>0</v>
      </c>
      <c r="AA20">
        <v>140133.58108037844</v>
      </c>
      <c r="AB20" t="s">
        <v>242</v>
      </c>
      <c r="AC20">
        <v>2</v>
      </c>
      <c r="AD20">
        <v>2000</v>
      </c>
      <c r="AE20">
        <v>0</v>
      </c>
      <c r="AF20">
        <v>0</v>
      </c>
      <c r="AG20">
        <v>0</v>
      </c>
      <c r="AH20" t="s">
        <v>58</v>
      </c>
    </row>
    <row r="21" spans="1:34" x14ac:dyDescent="0.3">
      <c r="A21" t="s">
        <v>798</v>
      </c>
      <c r="B21">
        <v>62200013</v>
      </c>
      <c r="C21">
        <v>20972385</v>
      </c>
      <c r="D21" t="s">
        <v>76</v>
      </c>
      <c r="E21" t="s">
        <v>435</v>
      </c>
      <c r="F21" t="s">
        <v>432</v>
      </c>
      <c r="G21" t="s">
        <v>82</v>
      </c>
      <c r="H21" t="s">
        <v>82</v>
      </c>
      <c r="J21" t="s">
        <v>52</v>
      </c>
      <c r="K21" s="15">
        <v>4000</v>
      </c>
      <c r="L21" s="15">
        <v>0</v>
      </c>
      <c r="M21" s="13">
        <v>44802</v>
      </c>
      <c r="O21">
        <v>0</v>
      </c>
      <c r="P21">
        <v>0</v>
      </c>
      <c r="Q21">
        <v>0</v>
      </c>
      <c r="R21">
        <v>0</v>
      </c>
      <c r="S21">
        <v>11176.760609872705</v>
      </c>
      <c r="T21">
        <v>0</v>
      </c>
      <c r="U21">
        <v>0</v>
      </c>
      <c r="V21">
        <v>68488.430749545369</v>
      </c>
      <c r="W21">
        <v>0</v>
      </c>
      <c r="X21">
        <v>0</v>
      </c>
      <c r="Y21">
        <v>79665.191359418066</v>
      </c>
      <c r="Z21">
        <v>0</v>
      </c>
      <c r="AA21">
        <v>79665.191359418066</v>
      </c>
      <c r="AB21" t="s">
        <v>242</v>
      </c>
      <c r="AC21">
        <v>2</v>
      </c>
      <c r="AD21">
        <v>8000</v>
      </c>
      <c r="AE21">
        <v>0</v>
      </c>
      <c r="AF21">
        <v>0</v>
      </c>
      <c r="AG21">
        <v>0</v>
      </c>
      <c r="AH21" t="s">
        <v>58</v>
      </c>
    </row>
    <row r="22" spans="1:34" x14ac:dyDescent="0.3">
      <c r="A22" t="s">
        <v>798</v>
      </c>
      <c r="B22">
        <v>12200038</v>
      </c>
      <c r="C22">
        <v>19668536</v>
      </c>
      <c r="D22" t="s">
        <v>808</v>
      </c>
      <c r="E22" t="s">
        <v>435</v>
      </c>
      <c r="F22" t="s">
        <v>427</v>
      </c>
      <c r="G22" t="s">
        <v>82</v>
      </c>
      <c r="H22" t="s">
        <v>82</v>
      </c>
      <c r="J22" t="s">
        <v>52</v>
      </c>
      <c r="K22" s="15">
        <v>1500</v>
      </c>
      <c r="L22" s="15">
        <v>0</v>
      </c>
      <c r="M22" s="13">
        <v>44804</v>
      </c>
      <c r="O22">
        <v>0</v>
      </c>
      <c r="P22">
        <v>0</v>
      </c>
      <c r="Q22">
        <v>0</v>
      </c>
      <c r="R22">
        <v>0</v>
      </c>
      <c r="S22">
        <v>35080.96446684932</v>
      </c>
      <c r="T22">
        <v>0</v>
      </c>
      <c r="U22">
        <v>0</v>
      </c>
      <c r="V22">
        <v>213784.64</v>
      </c>
      <c r="W22">
        <v>0</v>
      </c>
      <c r="X22">
        <v>0</v>
      </c>
      <c r="Y22">
        <v>248865.60446684933</v>
      </c>
      <c r="Z22">
        <v>0</v>
      </c>
      <c r="AA22">
        <v>248865.60446684933</v>
      </c>
      <c r="AB22" t="s">
        <v>242</v>
      </c>
      <c r="AC22">
        <v>1</v>
      </c>
      <c r="AD22">
        <v>1500</v>
      </c>
      <c r="AE22">
        <v>0</v>
      </c>
      <c r="AF22">
        <v>0</v>
      </c>
      <c r="AG22">
        <v>0</v>
      </c>
      <c r="AH22" t="s">
        <v>72</v>
      </c>
    </row>
    <row r="23" spans="1:34" x14ac:dyDescent="0.3">
      <c r="A23" t="s">
        <v>798</v>
      </c>
      <c r="B23">
        <v>2200009</v>
      </c>
      <c r="C23">
        <v>19887094</v>
      </c>
      <c r="D23" t="s">
        <v>77</v>
      </c>
      <c r="E23" t="s">
        <v>435</v>
      </c>
      <c r="F23" t="s">
        <v>426</v>
      </c>
      <c r="G23" t="s">
        <v>82</v>
      </c>
      <c r="H23" t="s">
        <v>82</v>
      </c>
      <c r="J23" t="s">
        <v>52</v>
      </c>
      <c r="K23" s="15">
        <v>900</v>
      </c>
      <c r="L23" s="15">
        <v>0</v>
      </c>
      <c r="M23" s="13">
        <v>44805</v>
      </c>
      <c r="O23">
        <v>0</v>
      </c>
      <c r="P23">
        <v>0</v>
      </c>
      <c r="Q23">
        <v>0</v>
      </c>
      <c r="R23">
        <v>0</v>
      </c>
      <c r="S23">
        <v>25101.616180538298</v>
      </c>
      <c r="T23">
        <v>0</v>
      </c>
      <c r="U23">
        <v>0</v>
      </c>
      <c r="V23">
        <v>107102.9400910782</v>
      </c>
      <c r="W23">
        <v>0</v>
      </c>
      <c r="X23">
        <v>0</v>
      </c>
      <c r="Y23">
        <v>132204.55627161649</v>
      </c>
      <c r="Z23">
        <v>0</v>
      </c>
      <c r="AA23">
        <v>132204.55627161649</v>
      </c>
      <c r="AB23" t="s">
        <v>242</v>
      </c>
      <c r="AC23">
        <v>2</v>
      </c>
      <c r="AD23">
        <v>1800</v>
      </c>
      <c r="AE23">
        <v>0</v>
      </c>
      <c r="AF23">
        <v>0</v>
      </c>
      <c r="AG23">
        <v>0</v>
      </c>
      <c r="AH23" t="s">
        <v>58</v>
      </c>
    </row>
    <row r="24" spans="1:34" x14ac:dyDescent="0.3">
      <c r="A24" t="s">
        <v>798</v>
      </c>
      <c r="B24">
        <v>62200005</v>
      </c>
      <c r="C24">
        <v>19887124</v>
      </c>
      <c r="D24" t="s">
        <v>77</v>
      </c>
      <c r="E24" t="s">
        <v>435</v>
      </c>
      <c r="F24" t="s">
        <v>432</v>
      </c>
      <c r="G24" t="s">
        <v>82</v>
      </c>
      <c r="H24" t="s">
        <v>82</v>
      </c>
      <c r="J24" t="s">
        <v>52</v>
      </c>
      <c r="K24" s="15">
        <v>1800</v>
      </c>
      <c r="L24" s="15">
        <v>0</v>
      </c>
      <c r="M24" s="13">
        <v>44805</v>
      </c>
      <c r="O24">
        <v>0</v>
      </c>
      <c r="P24">
        <v>0</v>
      </c>
      <c r="Q24">
        <v>0</v>
      </c>
      <c r="R24">
        <v>0</v>
      </c>
      <c r="S24">
        <v>22825.601058092285</v>
      </c>
      <c r="T24">
        <v>0</v>
      </c>
      <c r="U24">
        <v>0</v>
      </c>
      <c r="V24">
        <v>59598.02512483739</v>
      </c>
      <c r="W24">
        <v>0</v>
      </c>
      <c r="X24">
        <v>0</v>
      </c>
      <c r="Y24">
        <v>82423.626182929671</v>
      </c>
      <c r="Z24">
        <v>0</v>
      </c>
      <c r="AA24">
        <v>82423.626182929671</v>
      </c>
      <c r="AB24" t="s">
        <v>242</v>
      </c>
      <c r="AC24">
        <v>2</v>
      </c>
      <c r="AD24">
        <v>3600</v>
      </c>
      <c r="AE24">
        <v>0</v>
      </c>
      <c r="AF24">
        <v>0</v>
      </c>
      <c r="AG24">
        <v>0</v>
      </c>
      <c r="AH24" t="s">
        <v>58</v>
      </c>
    </row>
    <row r="25" spans="1:34" x14ac:dyDescent="0.3">
      <c r="A25" t="s">
        <v>798</v>
      </c>
      <c r="B25">
        <v>62200006</v>
      </c>
      <c r="C25">
        <v>19887213</v>
      </c>
      <c r="D25" t="s">
        <v>77</v>
      </c>
      <c r="E25" t="s">
        <v>435</v>
      </c>
      <c r="F25" t="s">
        <v>432</v>
      </c>
      <c r="G25" t="s">
        <v>82</v>
      </c>
      <c r="H25" t="s">
        <v>82</v>
      </c>
      <c r="J25" t="s">
        <v>52</v>
      </c>
      <c r="K25" s="15">
        <v>1800</v>
      </c>
      <c r="L25" s="15">
        <v>0</v>
      </c>
      <c r="M25" s="13">
        <v>44805</v>
      </c>
      <c r="O25">
        <v>0</v>
      </c>
      <c r="P25">
        <v>0</v>
      </c>
      <c r="Q25">
        <v>0</v>
      </c>
      <c r="R25">
        <v>0</v>
      </c>
      <c r="S25">
        <v>12804.995421279793</v>
      </c>
      <c r="T25">
        <v>0</v>
      </c>
      <c r="U25">
        <v>0</v>
      </c>
      <c r="V25">
        <v>29690.410958904111</v>
      </c>
      <c r="W25">
        <v>0</v>
      </c>
      <c r="X25">
        <v>0</v>
      </c>
      <c r="Y25">
        <v>42495.406380183907</v>
      </c>
      <c r="Z25">
        <v>0</v>
      </c>
      <c r="AA25">
        <v>42495.406380183907</v>
      </c>
      <c r="AB25" t="s">
        <v>242</v>
      </c>
      <c r="AC25">
        <v>2</v>
      </c>
      <c r="AD25">
        <v>3600</v>
      </c>
      <c r="AE25">
        <v>0</v>
      </c>
      <c r="AF25">
        <v>0</v>
      </c>
      <c r="AG25">
        <v>0</v>
      </c>
      <c r="AH25" t="s">
        <v>58</v>
      </c>
    </row>
    <row r="26" spans="1:34" x14ac:dyDescent="0.3">
      <c r="A26" t="s">
        <v>798</v>
      </c>
      <c r="B26">
        <v>62200025</v>
      </c>
      <c r="C26">
        <v>9001302</v>
      </c>
      <c r="D26" t="s">
        <v>79</v>
      </c>
      <c r="E26" t="s">
        <v>435</v>
      </c>
      <c r="F26" t="s">
        <v>432</v>
      </c>
      <c r="G26" t="s">
        <v>82</v>
      </c>
      <c r="H26" t="s">
        <v>82</v>
      </c>
      <c r="J26" t="s">
        <v>52</v>
      </c>
      <c r="K26" s="15">
        <v>1000</v>
      </c>
      <c r="L26" s="15">
        <v>0</v>
      </c>
      <c r="M26" s="13">
        <v>44824</v>
      </c>
      <c r="O26">
        <v>0</v>
      </c>
      <c r="P26">
        <v>0</v>
      </c>
      <c r="Q26">
        <v>0</v>
      </c>
      <c r="R26">
        <v>0</v>
      </c>
      <c r="S26">
        <v>12355.233263835617</v>
      </c>
      <c r="T26">
        <v>0</v>
      </c>
      <c r="U26">
        <v>0</v>
      </c>
      <c r="V26">
        <v>16839.61</v>
      </c>
      <c r="W26">
        <v>0</v>
      </c>
      <c r="X26">
        <v>0</v>
      </c>
      <c r="Y26">
        <v>29194.843263835617</v>
      </c>
      <c r="Z26">
        <v>0</v>
      </c>
      <c r="AA26">
        <v>29194.843263835617</v>
      </c>
      <c r="AB26" t="s">
        <v>242</v>
      </c>
      <c r="AC26">
        <v>1</v>
      </c>
      <c r="AD26">
        <v>1000</v>
      </c>
      <c r="AE26">
        <v>0</v>
      </c>
      <c r="AF26">
        <v>0</v>
      </c>
      <c r="AG26">
        <v>0</v>
      </c>
      <c r="AH26" t="s">
        <v>72</v>
      </c>
    </row>
    <row r="27" spans="1:34" x14ac:dyDescent="0.3">
      <c r="A27" t="s">
        <v>798</v>
      </c>
      <c r="B27">
        <v>12200005</v>
      </c>
      <c r="C27" t="s">
        <v>597</v>
      </c>
      <c r="D27" t="s">
        <v>596</v>
      </c>
      <c r="E27" t="s">
        <v>435</v>
      </c>
      <c r="F27" t="s">
        <v>427</v>
      </c>
      <c r="G27" t="s">
        <v>82</v>
      </c>
      <c r="H27" t="s">
        <v>82</v>
      </c>
      <c r="J27" t="s">
        <v>52</v>
      </c>
      <c r="K27" s="15">
        <v>4000</v>
      </c>
      <c r="M27" s="13">
        <v>44825</v>
      </c>
      <c r="O27">
        <v>0</v>
      </c>
      <c r="P27">
        <v>0</v>
      </c>
      <c r="Q27">
        <v>0</v>
      </c>
      <c r="R27">
        <v>0</v>
      </c>
      <c r="S27">
        <v>157347.16208473616</v>
      </c>
      <c r="T27">
        <v>0</v>
      </c>
      <c r="U27">
        <v>0</v>
      </c>
      <c r="V27">
        <v>351250.77431518107</v>
      </c>
      <c r="W27">
        <v>0</v>
      </c>
      <c r="X27">
        <v>0</v>
      </c>
      <c r="Y27">
        <v>508597.93639991723</v>
      </c>
      <c r="Z27">
        <v>0</v>
      </c>
      <c r="AA27">
        <v>508597.93639991723</v>
      </c>
      <c r="AB27" t="s">
        <v>242</v>
      </c>
      <c r="AC27">
        <v>1</v>
      </c>
      <c r="AD27">
        <v>4000</v>
      </c>
      <c r="AE27">
        <v>0</v>
      </c>
      <c r="AF27">
        <v>0</v>
      </c>
      <c r="AG27">
        <v>0</v>
      </c>
      <c r="AH27" t="s">
        <v>72</v>
      </c>
    </row>
    <row r="28" spans="1:34" x14ac:dyDescent="0.3">
      <c r="A28" t="s">
        <v>798</v>
      </c>
      <c r="B28">
        <v>22200103</v>
      </c>
      <c r="C28" t="s">
        <v>244</v>
      </c>
      <c r="D28" t="s">
        <v>316</v>
      </c>
      <c r="E28" t="s">
        <v>435</v>
      </c>
      <c r="F28" t="s">
        <v>428</v>
      </c>
      <c r="G28" t="s">
        <v>82</v>
      </c>
      <c r="H28" t="s">
        <v>82</v>
      </c>
      <c r="J28" t="s">
        <v>52</v>
      </c>
      <c r="K28" s="15">
        <v>2000</v>
      </c>
      <c r="L28" s="15">
        <v>0</v>
      </c>
      <c r="M28" s="13">
        <v>44826</v>
      </c>
      <c r="O28">
        <v>0</v>
      </c>
      <c r="P28">
        <v>0</v>
      </c>
      <c r="Q28">
        <v>0</v>
      </c>
      <c r="R28">
        <v>0</v>
      </c>
      <c r="S28">
        <v>76.250587632752058</v>
      </c>
      <c r="T28">
        <v>0</v>
      </c>
      <c r="U28">
        <v>0</v>
      </c>
      <c r="V28">
        <v>4605.7418989208809</v>
      </c>
      <c r="W28">
        <v>0</v>
      </c>
      <c r="X28">
        <v>0</v>
      </c>
      <c r="Y28">
        <v>4681.9924865536332</v>
      </c>
      <c r="Z28">
        <v>0</v>
      </c>
      <c r="AA28">
        <v>4681.9924865536332</v>
      </c>
      <c r="AB28" t="s">
        <v>242</v>
      </c>
      <c r="AC28">
        <v>2</v>
      </c>
      <c r="AD28">
        <v>4000</v>
      </c>
      <c r="AE28">
        <v>0</v>
      </c>
      <c r="AF28">
        <v>0</v>
      </c>
      <c r="AG28">
        <v>0</v>
      </c>
      <c r="AH28" t="s">
        <v>58</v>
      </c>
    </row>
    <row r="29" spans="1:34" x14ac:dyDescent="0.3">
      <c r="A29" t="s">
        <v>798</v>
      </c>
      <c r="B29">
        <v>62200104</v>
      </c>
      <c r="C29" t="s">
        <v>245</v>
      </c>
      <c r="D29" t="s">
        <v>316</v>
      </c>
      <c r="E29" t="s">
        <v>435</v>
      </c>
      <c r="F29" t="s">
        <v>432</v>
      </c>
      <c r="G29" t="s">
        <v>82</v>
      </c>
      <c r="H29" t="s">
        <v>82</v>
      </c>
      <c r="J29" t="s">
        <v>52</v>
      </c>
      <c r="K29" s="15">
        <v>2000</v>
      </c>
      <c r="L29" s="15">
        <v>0</v>
      </c>
      <c r="M29" s="13">
        <v>44826</v>
      </c>
      <c r="O29">
        <v>0</v>
      </c>
      <c r="P29">
        <v>0</v>
      </c>
      <c r="Q29">
        <v>0</v>
      </c>
      <c r="R29">
        <v>0</v>
      </c>
      <c r="S29">
        <v>11295.873711465205</v>
      </c>
      <c r="T29">
        <v>0</v>
      </c>
      <c r="U29">
        <v>0</v>
      </c>
      <c r="V29">
        <v>22299.012967342856</v>
      </c>
      <c r="W29">
        <v>0</v>
      </c>
      <c r="X29">
        <v>0</v>
      </c>
      <c r="Y29">
        <v>33594.886678808063</v>
      </c>
      <c r="Z29">
        <v>0</v>
      </c>
      <c r="AA29">
        <v>33594.886678808063</v>
      </c>
      <c r="AB29" t="s">
        <v>242</v>
      </c>
      <c r="AC29">
        <v>2</v>
      </c>
      <c r="AD29">
        <v>4000</v>
      </c>
      <c r="AE29">
        <v>0</v>
      </c>
      <c r="AF29">
        <v>0</v>
      </c>
      <c r="AG29">
        <v>0</v>
      </c>
      <c r="AH29" t="s">
        <v>58</v>
      </c>
    </row>
    <row r="30" spans="1:34" x14ac:dyDescent="0.3">
      <c r="A30" t="s">
        <v>798</v>
      </c>
      <c r="B30">
        <v>32200011</v>
      </c>
      <c r="C30" t="s">
        <v>243</v>
      </c>
      <c r="D30" t="s">
        <v>315</v>
      </c>
      <c r="E30" t="s">
        <v>435</v>
      </c>
      <c r="F30" t="s">
        <v>429</v>
      </c>
      <c r="G30" t="s">
        <v>82</v>
      </c>
      <c r="H30" t="s">
        <v>82</v>
      </c>
      <c r="J30" t="s">
        <v>52</v>
      </c>
      <c r="K30" s="15">
        <v>1000</v>
      </c>
      <c r="L30" s="15">
        <v>0</v>
      </c>
      <c r="M30" s="13">
        <v>44830</v>
      </c>
      <c r="O30">
        <v>0</v>
      </c>
      <c r="P30">
        <v>0</v>
      </c>
      <c r="Q30">
        <v>0</v>
      </c>
      <c r="R30">
        <v>0</v>
      </c>
      <c r="S30">
        <v>2013.6636757041101</v>
      </c>
      <c r="T30">
        <v>0</v>
      </c>
      <c r="U30">
        <v>0</v>
      </c>
      <c r="V30">
        <v>7753.04</v>
      </c>
      <c r="W30">
        <v>0</v>
      </c>
      <c r="X30">
        <v>0</v>
      </c>
      <c r="Y30">
        <v>9766.7036757041096</v>
      </c>
      <c r="Z30">
        <v>0</v>
      </c>
      <c r="AA30">
        <v>9766.7036757041096</v>
      </c>
      <c r="AB30" t="s">
        <v>242</v>
      </c>
      <c r="AC30">
        <v>2</v>
      </c>
      <c r="AD30">
        <v>3500</v>
      </c>
      <c r="AE30">
        <v>0</v>
      </c>
      <c r="AF30">
        <v>0</v>
      </c>
      <c r="AG30">
        <v>0</v>
      </c>
      <c r="AH30" t="s">
        <v>58</v>
      </c>
    </row>
    <row r="31" spans="1:34" x14ac:dyDescent="0.3">
      <c r="A31" t="s">
        <v>798</v>
      </c>
      <c r="B31">
        <v>12200038</v>
      </c>
      <c r="C31">
        <v>19668536</v>
      </c>
      <c r="D31" t="s">
        <v>808</v>
      </c>
      <c r="E31" t="s">
        <v>435</v>
      </c>
      <c r="F31" t="s">
        <v>427</v>
      </c>
      <c r="G31" t="s">
        <v>82</v>
      </c>
      <c r="H31" t="s">
        <v>82</v>
      </c>
      <c r="J31" t="s">
        <v>52</v>
      </c>
      <c r="K31" s="15">
        <v>3500</v>
      </c>
      <c r="L31" s="15">
        <v>0</v>
      </c>
      <c r="M31" s="13">
        <v>44831</v>
      </c>
      <c r="O31">
        <v>0</v>
      </c>
      <c r="P31">
        <v>0</v>
      </c>
      <c r="Q31">
        <v>0</v>
      </c>
      <c r="R31">
        <v>0</v>
      </c>
      <c r="S31">
        <v>31580.96446684932</v>
      </c>
      <c r="T31">
        <v>0</v>
      </c>
      <c r="U31">
        <v>0</v>
      </c>
      <c r="V31">
        <v>213784.64</v>
      </c>
      <c r="W31">
        <v>0</v>
      </c>
      <c r="X31">
        <v>0</v>
      </c>
      <c r="Y31">
        <v>245365.60446684933</v>
      </c>
      <c r="Z31">
        <v>0</v>
      </c>
      <c r="AA31">
        <v>245365.60446684933</v>
      </c>
      <c r="AB31" t="s">
        <v>242</v>
      </c>
      <c r="AC31">
        <v>2</v>
      </c>
      <c r="AD31">
        <v>5000</v>
      </c>
      <c r="AE31">
        <v>0</v>
      </c>
      <c r="AF31">
        <v>0</v>
      </c>
      <c r="AG31">
        <v>0</v>
      </c>
      <c r="AH31" t="s">
        <v>58</v>
      </c>
    </row>
    <row r="32" spans="1:34" x14ac:dyDescent="0.3">
      <c r="A32" t="s">
        <v>798</v>
      </c>
      <c r="B32">
        <v>52200247</v>
      </c>
      <c r="C32">
        <v>23477201</v>
      </c>
      <c r="D32" t="s">
        <v>135</v>
      </c>
      <c r="E32" t="s">
        <v>436</v>
      </c>
      <c r="F32" t="s">
        <v>431</v>
      </c>
      <c r="G32" t="s">
        <v>82</v>
      </c>
      <c r="H32" t="s">
        <v>83</v>
      </c>
      <c r="J32" t="s">
        <v>52</v>
      </c>
      <c r="K32" s="15">
        <v>12000</v>
      </c>
      <c r="L32" s="15">
        <v>0</v>
      </c>
      <c r="M32" s="13">
        <v>44832</v>
      </c>
      <c r="O32">
        <v>0</v>
      </c>
      <c r="P32">
        <v>0</v>
      </c>
      <c r="Q32">
        <v>0</v>
      </c>
      <c r="R32">
        <v>653.79370822605608</v>
      </c>
      <c r="S32">
        <v>10283.681926978883</v>
      </c>
      <c r="T32">
        <v>0</v>
      </c>
      <c r="U32">
        <v>0</v>
      </c>
      <c r="V32">
        <v>46605.297542143431</v>
      </c>
      <c r="W32">
        <v>0</v>
      </c>
      <c r="X32">
        <v>0</v>
      </c>
      <c r="Y32">
        <v>57542.773177348368</v>
      </c>
      <c r="Z32">
        <v>3982.2285628385625</v>
      </c>
      <c r="AA32">
        <v>61525.001740186934</v>
      </c>
      <c r="AB32" t="s">
        <v>242</v>
      </c>
      <c r="AC32">
        <v>1</v>
      </c>
      <c r="AD32">
        <v>12000</v>
      </c>
      <c r="AE32">
        <v>0</v>
      </c>
      <c r="AF32">
        <v>0</v>
      </c>
      <c r="AG32">
        <v>776.00519586525661</v>
      </c>
      <c r="AH32" t="s">
        <v>72</v>
      </c>
    </row>
    <row r="33" spans="1:34" x14ac:dyDescent="0.3">
      <c r="A33" t="s">
        <v>798</v>
      </c>
      <c r="B33">
        <v>22200039</v>
      </c>
      <c r="C33" t="s">
        <v>340</v>
      </c>
      <c r="D33" t="s">
        <v>382</v>
      </c>
      <c r="E33" t="s">
        <v>435</v>
      </c>
      <c r="F33" t="s">
        <v>428</v>
      </c>
      <c r="G33" t="s">
        <v>82</v>
      </c>
      <c r="H33" t="s">
        <v>82</v>
      </c>
      <c r="J33" t="s">
        <v>52</v>
      </c>
      <c r="K33" s="15">
        <v>1000</v>
      </c>
      <c r="L33" s="15">
        <v>0</v>
      </c>
      <c r="M33" s="13">
        <v>44832</v>
      </c>
      <c r="O33">
        <v>0</v>
      </c>
      <c r="P33">
        <v>0</v>
      </c>
      <c r="Q33">
        <v>0</v>
      </c>
      <c r="R33">
        <v>1241</v>
      </c>
      <c r="S33">
        <v>6247.6380799999997</v>
      </c>
      <c r="T33">
        <v>0</v>
      </c>
      <c r="U33">
        <v>0</v>
      </c>
      <c r="V33">
        <v>14495.68</v>
      </c>
      <c r="W33">
        <v>0</v>
      </c>
      <c r="X33">
        <v>0</v>
      </c>
      <c r="Y33">
        <v>21984.318080000001</v>
      </c>
      <c r="Z33">
        <v>0</v>
      </c>
      <c r="AA33">
        <v>21984.318080000001</v>
      </c>
      <c r="AB33" t="s">
        <v>242</v>
      </c>
      <c r="AC33">
        <v>1</v>
      </c>
      <c r="AD33">
        <v>1000</v>
      </c>
      <c r="AE33">
        <v>0</v>
      </c>
      <c r="AF33">
        <v>0</v>
      </c>
      <c r="AG33">
        <v>0</v>
      </c>
      <c r="AH33" t="s">
        <v>72</v>
      </c>
    </row>
    <row r="34" spans="1:34" x14ac:dyDescent="0.3">
      <c r="A34" t="s">
        <v>798</v>
      </c>
      <c r="B34">
        <v>2200015</v>
      </c>
      <c r="C34">
        <v>20972229</v>
      </c>
      <c r="D34" t="s">
        <v>76</v>
      </c>
      <c r="E34" t="s">
        <v>435</v>
      </c>
      <c r="F34" t="s">
        <v>426</v>
      </c>
      <c r="G34" t="s">
        <v>82</v>
      </c>
      <c r="H34" t="s">
        <v>82</v>
      </c>
      <c r="J34" t="s">
        <v>52</v>
      </c>
      <c r="K34" s="15">
        <v>1000</v>
      </c>
      <c r="L34" s="15">
        <v>0</v>
      </c>
      <c r="M34" s="13">
        <v>44833</v>
      </c>
      <c r="O34">
        <v>0</v>
      </c>
      <c r="P34">
        <v>0</v>
      </c>
      <c r="Q34">
        <v>0</v>
      </c>
      <c r="R34">
        <v>0</v>
      </c>
      <c r="S34">
        <v>16809.597532223273</v>
      </c>
      <c r="T34">
        <v>0</v>
      </c>
      <c r="U34">
        <v>0</v>
      </c>
      <c r="V34">
        <v>122323.98354815517</v>
      </c>
      <c r="W34">
        <v>0</v>
      </c>
      <c r="X34">
        <v>0</v>
      </c>
      <c r="Y34">
        <v>139133.58108037844</v>
      </c>
      <c r="Z34">
        <v>0</v>
      </c>
      <c r="AA34">
        <v>139133.58108037844</v>
      </c>
      <c r="AB34" t="s">
        <v>242</v>
      </c>
      <c r="AC34">
        <v>3</v>
      </c>
      <c r="AD34">
        <v>3000</v>
      </c>
      <c r="AE34">
        <v>0</v>
      </c>
      <c r="AF34">
        <v>0</v>
      </c>
      <c r="AG34">
        <v>0</v>
      </c>
      <c r="AH34" t="s">
        <v>58</v>
      </c>
    </row>
    <row r="35" spans="1:34" x14ac:dyDescent="0.3">
      <c r="A35" t="s">
        <v>798</v>
      </c>
      <c r="B35">
        <v>62200013</v>
      </c>
      <c r="C35">
        <v>20972385</v>
      </c>
      <c r="D35" t="s">
        <v>76</v>
      </c>
      <c r="E35" t="s">
        <v>435</v>
      </c>
      <c r="F35" t="s">
        <v>432</v>
      </c>
      <c r="G35" t="s">
        <v>82</v>
      </c>
      <c r="H35" t="s">
        <v>82</v>
      </c>
      <c r="J35" t="s">
        <v>52</v>
      </c>
      <c r="K35" s="15">
        <v>4000</v>
      </c>
      <c r="L35" s="15">
        <v>0</v>
      </c>
      <c r="M35" s="13">
        <v>44833</v>
      </c>
      <c r="O35">
        <v>0</v>
      </c>
      <c r="P35">
        <v>0</v>
      </c>
      <c r="Q35">
        <v>0</v>
      </c>
      <c r="R35">
        <v>0</v>
      </c>
      <c r="S35">
        <v>7176.7606098727047</v>
      </c>
      <c r="T35">
        <v>0</v>
      </c>
      <c r="U35">
        <v>0</v>
      </c>
      <c r="V35">
        <v>68488.430749545369</v>
      </c>
      <c r="W35">
        <v>0</v>
      </c>
      <c r="X35">
        <v>0</v>
      </c>
      <c r="Y35">
        <v>75665.191359418066</v>
      </c>
      <c r="Z35">
        <v>0</v>
      </c>
      <c r="AA35">
        <v>75665.191359418066</v>
      </c>
      <c r="AB35" t="s">
        <v>242</v>
      </c>
      <c r="AC35">
        <v>3</v>
      </c>
      <c r="AD35">
        <v>12000</v>
      </c>
      <c r="AE35">
        <v>0</v>
      </c>
      <c r="AF35">
        <v>0</v>
      </c>
      <c r="AG35">
        <v>0</v>
      </c>
      <c r="AH35" t="s">
        <v>58</v>
      </c>
    </row>
    <row r="36" spans="1:34" x14ac:dyDescent="0.3">
      <c r="A36" t="s">
        <v>798</v>
      </c>
      <c r="B36">
        <v>22200068</v>
      </c>
      <c r="C36">
        <v>20579132</v>
      </c>
      <c r="D36" t="s">
        <v>80</v>
      </c>
      <c r="E36" t="s">
        <v>435</v>
      </c>
      <c r="F36" t="s">
        <v>428</v>
      </c>
      <c r="G36" t="s">
        <v>82</v>
      </c>
      <c r="H36" t="s">
        <v>82</v>
      </c>
      <c r="J36" t="s">
        <v>52</v>
      </c>
      <c r="K36" s="15">
        <v>1000</v>
      </c>
      <c r="L36" s="15">
        <v>0</v>
      </c>
      <c r="M36" s="13">
        <v>44834</v>
      </c>
      <c r="O36">
        <v>0</v>
      </c>
      <c r="P36">
        <v>0</v>
      </c>
      <c r="Q36">
        <v>0</v>
      </c>
      <c r="R36">
        <v>581</v>
      </c>
      <c r="S36">
        <v>6976.3615921232877</v>
      </c>
      <c r="T36">
        <v>0</v>
      </c>
      <c r="U36">
        <v>0</v>
      </c>
      <c r="V36">
        <v>21133.91</v>
      </c>
      <c r="W36">
        <v>0</v>
      </c>
      <c r="X36">
        <v>0</v>
      </c>
      <c r="Y36">
        <v>28691.271592123288</v>
      </c>
      <c r="Z36">
        <v>0</v>
      </c>
      <c r="AA36">
        <v>28691.271592123288</v>
      </c>
      <c r="AB36" t="s">
        <v>242</v>
      </c>
      <c r="AC36">
        <v>1</v>
      </c>
      <c r="AD36">
        <v>1000</v>
      </c>
      <c r="AE36">
        <v>0</v>
      </c>
      <c r="AF36">
        <v>0</v>
      </c>
      <c r="AG36">
        <v>0</v>
      </c>
      <c r="AH36" t="s">
        <v>72</v>
      </c>
    </row>
    <row r="37" spans="1:34" x14ac:dyDescent="0.3">
      <c r="A37" t="s">
        <v>798</v>
      </c>
      <c r="B37">
        <v>22200119</v>
      </c>
      <c r="C37">
        <v>22425770</v>
      </c>
      <c r="D37" t="s">
        <v>81</v>
      </c>
      <c r="E37" t="s">
        <v>435</v>
      </c>
      <c r="F37" t="s">
        <v>428</v>
      </c>
      <c r="G37" t="s">
        <v>82</v>
      </c>
      <c r="H37" t="s">
        <v>82</v>
      </c>
      <c r="J37" t="s">
        <v>52</v>
      </c>
      <c r="K37" s="15">
        <v>300</v>
      </c>
      <c r="L37" s="15">
        <v>0</v>
      </c>
      <c r="M37" s="13">
        <v>44834</v>
      </c>
      <c r="O37">
        <v>0</v>
      </c>
      <c r="P37">
        <v>0</v>
      </c>
      <c r="Q37">
        <v>0</v>
      </c>
      <c r="R37">
        <v>591</v>
      </c>
      <c r="S37">
        <v>3958.9724367528624</v>
      </c>
      <c r="T37">
        <v>0</v>
      </c>
      <c r="U37">
        <v>0</v>
      </c>
      <c r="V37">
        <v>14351.967123287672</v>
      </c>
      <c r="W37">
        <v>0</v>
      </c>
      <c r="X37">
        <v>0</v>
      </c>
      <c r="Y37">
        <v>18901.939560040533</v>
      </c>
      <c r="Z37">
        <v>0</v>
      </c>
      <c r="AA37">
        <v>18901.939560040533</v>
      </c>
      <c r="AB37" t="s">
        <v>242</v>
      </c>
      <c r="AC37">
        <v>1</v>
      </c>
      <c r="AD37">
        <v>300</v>
      </c>
      <c r="AE37">
        <v>0</v>
      </c>
      <c r="AF37">
        <v>0</v>
      </c>
      <c r="AG37">
        <v>0</v>
      </c>
      <c r="AH37" t="s">
        <v>72</v>
      </c>
    </row>
    <row r="38" spans="1:34" x14ac:dyDescent="0.3">
      <c r="A38" t="s">
        <v>798</v>
      </c>
      <c r="B38">
        <v>62200051</v>
      </c>
      <c r="C38">
        <v>14460284</v>
      </c>
      <c r="D38" t="s">
        <v>893</v>
      </c>
      <c r="E38" t="s">
        <v>435</v>
      </c>
      <c r="F38" t="s">
        <v>432</v>
      </c>
      <c r="G38" t="s">
        <v>82</v>
      </c>
      <c r="H38" t="s">
        <v>82</v>
      </c>
      <c r="J38" t="s">
        <v>52</v>
      </c>
      <c r="K38" s="15">
        <v>500</v>
      </c>
      <c r="L38" s="15">
        <v>0</v>
      </c>
      <c r="M38" s="13">
        <v>44834</v>
      </c>
      <c r="O38">
        <v>0</v>
      </c>
      <c r="P38">
        <v>0</v>
      </c>
      <c r="Q38">
        <v>0</v>
      </c>
      <c r="R38">
        <v>1111</v>
      </c>
      <c r="S38">
        <v>17855.604541369863</v>
      </c>
      <c r="T38">
        <v>0</v>
      </c>
      <c r="U38">
        <v>0</v>
      </c>
      <c r="V38">
        <v>26330.38</v>
      </c>
      <c r="W38">
        <v>0</v>
      </c>
      <c r="X38">
        <v>0</v>
      </c>
      <c r="Y38">
        <v>45296.984541369864</v>
      </c>
      <c r="Z38">
        <v>0</v>
      </c>
      <c r="AA38">
        <v>45296.984541369864</v>
      </c>
      <c r="AB38" t="s">
        <v>242</v>
      </c>
      <c r="AC38">
        <v>1</v>
      </c>
      <c r="AD38">
        <v>500</v>
      </c>
      <c r="AE38">
        <v>0</v>
      </c>
      <c r="AF38">
        <v>0</v>
      </c>
      <c r="AG38">
        <v>0</v>
      </c>
      <c r="AH38" t="s">
        <v>72</v>
      </c>
    </row>
    <row r="39" spans="1:34" x14ac:dyDescent="0.3">
      <c r="A39" t="s">
        <v>798</v>
      </c>
      <c r="B39">
        <v>32200011</v>
      </c>
      <c r="C39" t="s">
        <v>243</v>
      </c>
      <c r="D39" t="s">
        <v>315</v>
      </c>
      <c r="E39" t="s">
        <v>435</v>
      </c>
      <c r="F39" t="s">
        <v>429</v>
      </c>
      <c r="G39" t="s">
        <v>82</v>
      </c>
      <c r="H39" t="s">
        <v>82</v>
      </c>
      <c r="J39" t="s">
        <v>52</v>
      </c>
      <c r="K39" s="15">
        <v>1500</v>
      </c>
      <c r="L39" s="15">
        <v>0</v>
      </c>
      <c r="M39" s="13">
        <v>44834</v>
      </c>
      <c r="O39">
        <v>0</v>
      </c>
      <c r="P39">
        <v>0</v>
      </c>
      <c r="Q39">
        <v>0</v>
      </c>
      <c r="R39">
        <v>0</v>
      </c>
      <c r="S39">
        <v>513.66367570411012</v>
      </c>
      <c r="T39">
        <v>0</v>
      </c>
      <c r="U39">
        <v>0</v>
      </c>
      <c r="V39">
        <v>7753.04</v>
      </c>
      <c r="W39">
        <v>0</v>
      </c>
      <c r="X39">
        <v>0</v>
      </c>
      <c r="Y39">
        <v>8266.7036757041096</v>
      </c>
      <c r="Z39">
        <v>0</v>
      </c>
      <c r="AA39">
        <v>8266.7036757041096</v>
      </c>
      <c r="AB39" t="s">
        <v>242</v>
      </c>
      <c r="AC39">
        <v>3</v>
      </c>
      <c r="AD39">
        <v>5000</v>
      </c>
      <c r="AE39">
        <v>0</v>
      </c>
      <c r="AF39">
        <v>0</v>
      </c>
      <c r="AG39">
        <v>0</v>
      </c>
      <c r="AH39" t="s">
        <v>58</v>
      </c>
    </row>
    <row r="40" spans="1:34" x14ac:dyDescent="0.3">
      <c r="A40" t="s">
        <v>798</v>
      </c>
      <c r="B40">
        <v>52200006</v>
      </c>
      <c r="C40" t="s">
        <v>599</v>
      </c>
      <c r="D40" t="s">
        <v>598</v>
      </c>
      <c r="E40" t="s">
        <v>435</v>
      </c>
      <c r="F40" t="s">
        <v>431</v>
      </c>
      <c r="G40" t="s">
        <v>82</v>
      </c>
      <c r="H40" t="s">
        <v>83</v>
      </c>
      <c r="J40" t="s">
        <v>52</v>
      </c>
      <c r="K40" s="15">
        <v>3000</v>
      </c>
      <c r="M40" s="13">
        <v>44834</v>
      </c>
      <c r="O40">
        <v>0</v>
      </c>
      <c r="P40">
        <v>0</v>
      </c>
      <c r="Q40">
        <v>0</v>
      </c>
      <c r="R40">
        <v>718.01726498347216</v>
      </c>
      <c r="S40">
        <v>34620.545453286475</v>
      </c>
      <c r="T40">
        <v>0</v>
      </c>
      <c r="U40">
        <v>0</v>
      </c>
      <c r="V40">
        <v>54672.9</v>
      </c>
      <c r="W40">
        <v>0</v>
      </c>
      <c r="X40">
        <v>0</v>
      </c>
      <c r="Y40">
        <v>90011.462718269948</v>
      </c>
      <c r="Z40">
        <v>6250.5411817300537</v>
      </c>
      <c r="AA40">
        <v>96262.003899999996</v>
      </c>
      <c r="AB40" t="s">
        <v>242</v>
      </c>
      <c r="AC40">
        <v>1</v>
      </c>
      <c r="AD40">
        <v>3000</v>
      </c>
      <c r="AE40">
        <v>0</v>
      </c>
      <c r="AF40">
        <v>0</v>
      </c>
      <c r="AG40">
        <v>194.69271826994691</v>
      </c>
      <c r="AH40" t="s">
        <v>72</v>
      </c>
    </row>
    <row r="41" spans="1:34" x14ac:dyDescent="0.3">
      <c r="A41" t="s">
        <v>798</v>
      </c>
      <c r="B41">
        <v>52200015</v>
      </c>
      <c r="C41" t="s">
        <v>601</v>
      </c>
      <c r="D41" t="s">
        <v>600</v>
      </c>
      <c r="E41" t="s">
        <v>435</v>
      </c>
      <c r="F41" t="s">
        <v>431</v>
      </c>
      <c r="G41" t="s">
        <v>82</v>
      </c>
      <c r="H41" t="s">
        <v>83</v>
      </c>
      <c r="J41" t="s">
        <v>52</v>
      </c>
      <c r="K41" s="15">
        <v>1000</v>
      </c>
      <c r="M41" s="13">
        <v>44834</v>
      </c>
      <c r="O41">
        <v>0</v>
      </c>
      <c r="P41">
        <v>0</v>
      </c>
      <c r="Q41">
        <v>0</v>
      </c>
      <c r="R41">
        <v>881.45640962418065</v>
      </c>
      <c r="S41">
        <v>38267.079804089546</v>
      </c>
      <c r="T41">
        <v>0</v>
      </c>
      <c r="U41">
        <v>0</v>
      </c>
      <c r="V41">
        <v>53277.35</v>
      </c>
      <c r="W41">
        <v>0</v>
      </c>
      <c r="X41">
        <v>0</v>
      </c>
      <c r="Y41">
        <v>92425.886213713733</v>
      </c>
      <c r="Z41">
        <v>6408.1100862862686</v>
      </c>
      <c r="AA41">
        <v>98833.996299999999</v>
      </c>
      <c r="AB41" t="s">
        <v>242</v>
      </c>
      <c r="AC41">
        <v>1</v>
      </c>
      <c r="AD41">
        <v>1000</v>
      </c>
      <c r="AE41">
        <v>0</v>
      </c>
      <c r="AF41">
        <v>0</v>
      </c>
      <c r="AG41">
        <v>64.796213713731504</v>
      </c>
      <c r="AH41" t="s">
        <v>72</v>
      </c>
    </row>
    <row r="42" spans="1:34" x14ac:dyDescent="0.3">
      <c r="A42" t="s">
        <v>798</v>
      </c>
      <c r="B42">
        <v>2200009</v>
      </c>
      <c r="C42">
        <v>19887094</v>
      </c>
      <c r="D42" t="s">
        <v>77</v>
      </c>
      <c r="E42" t="s">
        <v>435</v>
      </c>
      <c r="F42" t="s">
        <v>426</v>
      </c>
      <c r="G42" t="s">
        <v>82</v>
      </c>
      <c r="H42" t="s">
        <v>82</v>
      </c>
      <c r="J42" t="s">
        <v>52</v>
      </c>
      <c r="K42" s="15">
        <v>900</v>
      </c>
      <c r="L42" s="15">
        <v>0</v>
      </c>
      <c r="M42" s="13">
        <v>44835</v>
      </c>
      <c r="O42">
        <v>0</v>
      </c>
      <c r="P42">
        <v>0</v>
      </c>
      <c r="Q42">
        <v>0</v>
      </c>
      <c r="R42">
        <v>0</v>
      </c>
      <c r="S42">
        <v>24201.616180538298</v>
      </c>
      <c r="T42">
        <v>0</v>
      </c>
      <c r="U42">
        <v>0</v>
      </c>
      <c r="V42">
        <v>107102.9400910782</v>
      </c>
      <c r="W42">
        <v>0</v>
      </c>
      <c r="X42">
        <v>0</v>
      </c>
      <c r="Y42">
        <v>131304.55627161649</v>
      </c>
      <c r="Z42">
        <v>0</v>
      </c>
      <c r="AA42">
        <v>131304.55627161649</v>
      </c>
      <c r="AB42" t="s">
        <v>242</v>
      </c>
      <c r="AC42">
        <v>3</v>
      </c>
      <c r="AD42">
        <v>2700</v>
      </c>
      <c r="AE42">
        <v>0</v>
      </c>
      <c r="AF42">
        <v>0</v>
      </c>
      <c r="AG42">
        <v>0</v>
      </c>
      <c r="AH42" t="s">
        <v>58</v>
      </c>
    </row>
    <row r="43" spans="1:34" x14ac:dyDescent="0.3">
      <c r="A43" t="s">
        <v>798</v>
      </c>
      <c r="B43">
        <v>62200005</v>
      </c>
      <c r="C43">
        <v>19887124</v>
      </c>
      <c r="D43" t="s">
        <v>77</v>
      </c>
      <c r="E43" t="s">
        <v>435</v>
      </c>
      <c r="F43" t="s">
        <v>432</v>
      </c>
      <c r="G43" t="s">
        <v>82</v>
      </c>
      <c r="H43" t="s">
        <v>82</v>
      </c>
      <c r="J43" t="s">
        <v>52</v>
      </c>
      <c r="K43" s="15">
        <v>1800</v>
      </c>
      <c r="L43" s="15">
        <v>0</v>
      </c>
      <c r="M43" s="13">
        <v>44835</v>
      </c>
      <c r="O43">
        <v>0</v>
      </c>
      <c r="P43">
        <v>0</v>
      </c>
      <c r="Q43">
        <v>0</v>
      </c>
      <c r="R43">
        <v>0</v>
      </c>
      <c r="S43">
        <v>21025.601058092285</v>
      </c>
      <c r="T43">
        <v>0</v>
      </c>
      <c r="U43">
        <v>0</v>
      </c>
      <c r="V43">
        <v>59598.02512483739</v>
      </c>
      <c r="W43">
        <v>0</v>
      </c>
      <c r="X43">
        <v>0</v>
      </c>
      <c r="Y43">
        <v>80623.626182929671</v>
      </c>
      <c r="Z43">
        <v>0</v>
      </c>
      <c r="AA43">
        <v>80623.626182929671</v>
      </c>
      <c r="AB43" t="s">
        <v>242</v>
      </c>
      <c r="AC43">
        <v>3</v>
      </c>
      <c r="AD43">
        <v>5400</v>
      </c>
      <c r="AE43">
        <v>0</v>
      </c>
      <c r="AF43">
        <v>0</v>
      </c>
      <c r="AG43">
        <v>0</v>
      </c>
      <c r="AH43" t="s">
        <v>58</v>
      </c>
    </row>
    <row r="44" spans="1:34" x14ac:dyDescent="0.3">
      <c r="A44" t="s">
        <v>798</v>
      </c>
      <c r="B44">
        <v>62200006</v>
      </c>
      <c r="C44">
        <v>19887213</v>
      </c>
      <c r="D44" t="s">
        <v>77</v>
      </c>
      <c r="E44" t="s">
        <v>435</v>
      </c>
      <c r="F44" t="s">
        <v>432</v>
      </c>
      <c r="G44" t="s">
        <v>82</v>
      </c>
      <c r="H44" t="s">
        <v>82</v>
      </c>
      <c r="J44" t="s">
        <v>52</v>
      </c>
      <c r="K44" s="15">
        <v>1800</v>
      </c>
      <c r="L44" s="15">
        <v>0</v>
      </c>
      <c r="M44" s="13">
        <v>44835</v>
      </c>
      <c r="O44">
        <v>0</v>
      </c>
      <c r="P44">
        <v>0</v>
      </c>
      <c r="Q44">
        <v>0</v>
      </c>
      <c r="R44">
        <v>0</v>
      </c>
      <c r="S44">
        <v>11004.995421279793</v>
      </c>
      <c r="T44">
        <v>0</v>
      </c>
      <c r="U44">
        <v>0</v>
      </c>
      <c r="V44">
        <v>29690.410958904111</v>
      </c>
      <c r="W44">
        <v>0</v>
      </c>
      <c r="X44">
        <v>0</v>
      </c>
      <c r="Y44">
        <v>40695.406380183907</v>
      </c>
      <c r="Z44">
        <v>0</v>
      </c>
      <c r="AA44">
        <v>40695.406380183907</v>
      </c>
      <c r="AB44" t="s">
        <v>242</v>
      </c>
      <c r="AC44">
        <v>3</v>
      </c>
      <c r="AD44">
        <v>5400</v>
      </c>
      <c r="AE44">
        <v>0</v>
      </c>
      <c r="AF44">
        <v>0</v>
      </c>
      <c r="AG44">
        <v>0</v>
      </c>
      <c r="AH44" t="s">
        <v>58</v>
      </c>
    </row>
    <row r="45" spans="1:34" x14ac:dyDescent="0.3">
      <c r="A45" t="s">
        <v>798</v>
      </c>
      <c r="B45">
        <v>22200061</v>
      </c>
      <c r="C45">
        <v>19290575</v>
      </c>
      <c r="D45" t="s">
        <v>84</v>
      </c>
      <c r="E45" t="s">
        <v>435</v>
      </c>
      <c r="F45" t="s">
        <v>428</v>
      </c>
      <c r="G45" t="s">
        <v>82</v>
      </c>
      <c r="H45" t="s">
        <v>82</v>
      </c>
      <c r="J45" t="s">
        <v>52</v>
      </c>
      <c r="K45" s="15">
        <v>500</v>
      </c>
      <c r="L45" s="15">
        <v>0</v>
      </c>
      <c r="M45" s="13">
        <v>44836</v>
      </c>
      <c r="O45">
        <v>0</v>
      </c>
      <c r="P45">
        <v>0</v>
      </c>
      <c r="Q45">
        <v>0</v>
      </c>
      <c r="R45">
        <v>661</v>
      </c>
      <c r="S45">
        <v>6964.7709089598566</v>
      </c>
      <c r="T45">
        <v>0</v>
      </c>
      <c r="U45">
        <v>0</v>
      </c>
      <c r="V45">
        <v>22341.817670062115</v>
      </c>
      <c r="W45">
        <v>0</v>
      </c>
      <c r="X45">
        <v>0</v>
      </c>
      <c r="Y45">
        <v>29967.588579021973</v>
      </c>
      <c r="Z45">
        <v>0</v>
      </c>
      <c r="AA45">
        <v>29967.588579021973</v>
      </c>
      <c r="AB45" t="s">
        <v>242</v>
      </c>
      <c r="AC45">
        <v>1</v>
      </c>
      <c r="AD45">
        <v>500</v>
      </c>
      <c r="AE45">
        <v>0</v>
      </c>
      <c r="AF45">
        <v>0</v>
      </c>
      <c r="AG45">
        <v>0</v>
      </c>
      <c r="AH45" t="s">
        <v>72</v>
      </c>
    </row>
    <row r="46" spans="1:34" x14ac:dyDescent="0.3">
      <c r="A46" t="s">
        <v>798</v>
      </c>
      <c r="B46">
        <v>52200055</v>
      </c>
      <c r="C46" t="s">
        <v>603</v>
      </c>
      <c r="D46" t="s">
        <v>602</v>
      </c>
      <c r="E46" t="s">
        <v>435</v>
      </c>
      <c r="F46" t="s">
        <v>431</v>
      </c>
      <c r="G46" t="s">
        <v>82</v>
      </c>
      <c r="H46" t="s">
        <v>83</v>
      </c>
      <c r="J46" t="s">
        <v>52</v>
      </c>
      <c r="K46" s="15">
        <v>2455</v>
      </c>
      <c r="M46" s="13">
        <v>44837</v>
      </c>
      <c r="O46">
        <v>0</v>
      </c>
      <c r="P46">
        <v>0</v>
      </c>
      <c r="Q46">
        <v>0</v>
      </c>
      <c r="R46">
        <v>731.02236289569385</v>
      </c>
      <c r="S46">
        <v>70388.766950564765</v>
      </c>
      <c r="T46">
        <v>0</v>
      </c>
      <c r="U46">
        <v>0</v>
      </c>
      <c r="V46">
        <v>92523.36</v>
      </c>
      <c r="W46">
        <v>0</v>
      </c>
      <c r="X46">
        <v>0</v>
      </c>
      <c r="Y46">
        <v>163643.14931346045</v>
      </c>
      <c r="Z46">
        <v>11403.848886539534</v>
      </c>
      <c r="AA46">
        <v>175046.99819999997</v>
      </c>
      <c r="AB46" t="s">
        <v>242</v>
      </c>
      <c r="AC46">
        <v>1</v>
      </c>
      <c r="AD46">
        <v>2455</v>
      </c>
      <c r="AE46">
        <v>0</v>
      </c>
      <c r="AF46">
        <v>0</v>
      </c>
      <c r="AG46">
        <v>159.88931346046593</v>
      </c>
      <c r="AH46" t="s">
        <v>72</v>
      </c>
    </row>
    <row r="47" spans="1:34" x14ac:dyDescent="0.3">
      <c r="A47" t="s">
        <v>798</v>
      </c>
      <c r="B47">
        <v>52200258</v>
      </c>
      <c r="C47" t="s">
        <v>661</v>
      </c>
      <c r="D47" t="s">
        <v>660</v>
      </c>
      <c r="E47" t="s">
        <v>436</v>
      </c>
      <c r="F47" t="s">
        <v>431</v>
      </c>
      <c r="G47" t="s">
        <v>82</v>
      </c>
      <c r="H47" t="s">
        <v>83</v>
      </c>
      <c r="J47" t="s">
        <v>52</v>
      </c>
      <c r="K47" s="15">
        <v>3000</v>
      </c>
      <c r="M47" s="13">
        <v>44840</v>
      </c>
      <c r="O47">
        <v>0</v>
      </c>
      <c r="P47">
        <v>0</v>
      </c>
      <c r="Q47">
        <v>0</v>
      </c>
      <c r="R47">
        <v>968.47757587633407</v>
      </c>
      <c r="S47">
        <v>44128.452654216373</v>
      </c>
      <c r="T47">
        <v>0</v>
      </c>
      <c r="U47">
        <v>0</v>
      </c>
      <c r="V47">
        <v>90093.531323259682</v>
      </c>
      <c r="W47">
        <v>0</v>
      </c>
      <c r="X47">
        <v>0</v>
      </c>
      <c r="Y47">
        <v>135190.46155335239</v>
      </c>
      <c r="Z47">
        <v>9395.5388784233237</v>
      </c>
      <c r="AA47">
        <v>144586.00043177573</v>
      </c>
      <c r="AB47" t="s">
        <v>242</v>
      </c>
      <c r="AC47">
        <v>1</v>
      </c>
      <c r="AD47">
        <v>3000</v>
      </c>
      <c r="AE47">
        <v>0</v>
      </c>
      <c r="AF47">
        <v>0</v>
      </c>
      <c r="AG47">
        <v>194.85367318817134</v>
      </c>
      <c r="AH47" t="s">
        <v>72</v>
      </c>
    </row>
    <row r="48" spans="1:34" x14ac:dyDescent="0.3">
      <c r="A48" t="s">
        <v>798</v>
      </c>
      <c r="B48">
        <v>62200025</v>
      </c>
      <c r="C48">
        <v>9001302</v>
      </c>
      <c r="D48" t="s">
        <v>79</v>
      </c>
      <c r="E48" t="s">
        <v>435</v>
      </c>
      <c r="F48" t="s">
        <v>432</v>
      </c>
      <c r="G48" t="s">
        <v>82</v>
      </c>
      <c r="H48" t="s">
        <v>82</v>
      </c>
      <c r="J48" t="s">
        <v>52</v>
      </c>
      <c r="K48" s="15">
        <v>1870</v>
      </c>
      <c r="L48" s="15">
        <v>0</v>
      </c>
      <c r="M48" s="13">
        <v>44844</v>
      </c>
      <c r="O48">
        <v>0</v>
      </c>
      <c r="P48">
        <v>0</v>
      </c>
      <c r="Q48">
        <v>0</v>
      </c>
      <c r="R48">
        <v>0</v>
      </c>
      <c r="S48">
        <v>10485.233263835617</v>
      </c>
      <c r="T48">
        <v>0</v>
      </c>
      <c r="U48">
        <v>0</v>
      </c>
      <c r="V48">
        <v>16839.61</v>
      </c>
      <c r="W48">
        <v>0</v>
      </c>
      <c r="X48">
        <v>0</v>
      </c>
      <c r="Y48">
        <v>27324.843263835617</v>
      </c>
      <c r="Z48">
        <v>0</v>
      </c>
      <c r="AA48">
        <v>27324.843263835617</v>
      </c>
      <c r="AB48" t="s">
        <v>242</v>
      </c>
      <c r="AC48">
        <v>2</v>
      </c>
      <c r="AD48">
        <v>2870</v>
      </c>
      <c r="AE48">
        <v>0</v>
      </c>
      <c r="AF48">
        <v>0</v>
      </c>
      <c r="AG48">
        <v>0</v>
      </c>
      <c r="AH48" t="s">
        <v>58</v>
      </c>
    </row>
    <row r="49" spans="1:34" x14ac:dyDescent="0.3">
      <c r="A49" t="s">
        <v>798</v>
      </c>
      <c r="B49">
        <v>12200034</v>
      </c>
      <c r="C49" t="s">
        <v>335</v>
      </c>
      <c r="D49" t="s">
        <v>377</v>
      </c>
      <c r="E49" t="s">
        <v>435</v>
      </c>
      <c r="F49" t="s">
        <v>427</v>
      </c>
      <c r="G49" t="s">
        <v>82</v>
      </c>
      <c r="H49" t="s">
        <v>82</v>
      </c>
      <c r="J49" t="s">
        <v>52</v>
      </c>
      <c r="K49" s="15">
        <v>4000</v>
      </c>
      <c r="L49" s="15">
        <v>0</v>
      </c>
      <c r="M49" s="13">
        <v>44844</v>
      </c>
      <c r="O49">
        <v>0</v>
      </c>
      <c r="P49">
        <v>0</v>
      </c>
      <c r="Q49">
        <v>0</v>
      </c>
      <c r="R49">
        <v>0</v>
      </c>
      <c r="S49">
        <v>66661.198766627611</v>
      </c>
      <c r="T49">
        <v>0</v>
      </c>
      <c r="U49">
        <v>0</v>
      </c>
      <c r="V49">
        <v>217029.64307241238</v>
      </c>
      <c r="W49">
        <v>0</v>
      </c>
      <c r="X49">
        <v>0</v>
      </c>
      <c r="Y49">
        <v>283690.84183903999</v>
      </c>
      <c r="Z49">
        <v>0</v>
      </c>
      <c r="AA49">
        <v>283690.84183903999</v>
      </c>
      <c r="AB49" t="s">
        <v>242</v>
      </c>
      <c r="AC49">
        <v>1</v>
      </c>
      <c r="AD49">
        <v>4000</v>
      </c>
      <c r="AE49">
        <v>0</v>
      </c>
      <c r="AF49">
        <v>0</v>
      </c>
      <c r="AG49">
        <v>0</v>
      </c>
      <c r="AH49" t="s">
        <v>72</v>
      </c>
    </row>
    <row r="50" spans="1:34" x14ac:dyDescent="0.3">
      <c r="A50" t="s">
        <v>798</v>
      </c>
      <c r="B50">
        <v>22200103</v>
      </c>
      <c r="C50" t="s">
        <v>244</v>
      </c>
      <c r="D50" t="s">
        <v>316</v>
      </c>
      <c r="E50" t="s">
        <v>435</v>
      </c>
      <c r="F50" t="s">
        <v>428</v>
      </c>
      <c r="G50" t="s">
        <v>328</v>
      </c>
      <c r="H50" t="s">
        <v>82</v>
      </c>
      <c r="J50" t="s">
        <v>52</v>
      </c>
      <c r="K50" s="15">
        <v>4937</v>
      </c>
      <c r="L50" s="15">
        <v>0</v>
      </c>
      <c r="M50" s="13">
        <v>44848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242</v>
      </c>
      <c r="AC50">
        <v>3</v>
      </c>
      <c r="AD50">
        <v>8937</v>
      </c>
      <c r="AE50">
        <v>0</v>
      </c>
      <c r="AF50">
        <v>0</v>
      </c>
      <c r="AG50">
        <v>0</v>
      </c>
      <c r="AH50" t="s">
        <v>58</v>
      </c>
    </row>
    <row r="51" spans="1:34" x14ac:dyDescent="0.3">
      <c r="A51" t="s">
        <v>798</v>
      </c>
      <c r="B51">
        <v>12200041</v>
      </c>
      <c r="C51">
        <v>23113175</v>
      </c>
      <c r="D51" t="s">
        <v>78</v>
      </c>
      <c r="E51" t="s">
        <v>435</v>
      </c>
      <c r="F51" t="s">
        <v>427</v>
      </c>
      <c r="G51" t="s">
        <v>82</v>
      </c>
      <c r="H51" t="s">
        <v>82</v>
      </c>
      <c r="J51" t="s">
        <v>52</v>
      </c>
      <c r="K51" s="15">
        <v>6000</v>
      </c>
      <c r="L51" s="15">
        <v>0</v>
      </c>
      <c r="M51" s="13">
        <v>44849</v>
      </c>
      <c r="O51">
        <v>0</v>
      </c>
      <c r="P51">
        <v>0</v>
      </c>
      <c r="Q51">
        <v>0</v>
      </c>
      <c r="R51">
        <v>0</v>
      </c>
      <c r="S51">
        <v>19812.621425720554</v>
      </c>
      <c r="T51">
        <v>0</v>
      </c>
      <c r="U51">
        <v>0</v>
      </c>
      <c r="V51">
        <v>192752.41</v>
      </c>
      <c r="W51">
        <v>0</v>
      </c>
      <c r="X51">
        <v>0</v>
      </c>
      <c r="Y51">
        <v>212565.03142572055</v>
      </c>
      <c r="Z51">
        <v>0</v>
      </c>
      <c r="AA51">
        <v>212565.03142572055</v>
      </c>
      <c r="AB51" t="s">
        <v>242</v>
      </c>
      <c r="AC51">
        <v>2</v>
      </c>
      <c r="AD51">
        <v>10000</v>
      </c>
      <c r="AE51">
        <v>0</v>
      </c>
      <c r="AF51">
        <v>0</v>
      </c>
      <c r="AG51">
        <v>0</v>
      </c>
      <c r="AH51" t="s">
        <v>58</v>
      </c>
    </row>
    <row r="52" spans="1:34" x14ac:dyDescent="0.3">
      <c r="A52" t="s">
        <v>798</v>
      </c>
      <c r="B52">
        <v>82200027</v>
      </c>
      <c r="C52" t="s">
        <v>110</v>
      </c>
      <c r="D52" t="s">
        <v>535</v>
      </c>
      <c r="E52" t="s">
        <v>440</v>
      </c>
      <c r="F52" t="s">
        <v>433</v>
      </c>
      <c r="G52" t="s">
        <v>82</v>
      </c>
      <c r="H52" t="s">
        <v>83</v>
      </c>
      <c r="J52" t="s">
        <v>52</v>
      </c>
      <c r="K52" s="15">
        <v>46000</v>
      </c>
      <c r="L52" s="15">
        <v>0</v>
      </c>
      <c r="M52" s="13">
        <v>44850</v>
      </c>
      <c r="O52">
        <v>0</v>
      </c>
      <c r="P52">
        <v>0</v>
      </c>
      <c r="Q52">
        <v>83508.765321439671</v>
      </c>
      <c r="R52">
        <v>45329.380000000005</v>
      </c>
      <c r="S52">
        <v>234540.75315753306</v>
      </c>
      <c r="T52">
        <v>0</v>
      </c>
      <c r="U52">
        <v>0</v>
      </c>
      <c r="V52">
        <v>1284340.32</v>
      </c>
      <c r="W52">
        <v>0</v>
      </c>
      <c r="X52">
        <v>0</v>
      </c>
      <c r="Y52">
        <v>1647719.2184789728</v>
      </c>
      <c r="Z52">
        <v>106321.67512102732</v>
      </c>
      <c r="AA52">
        <v>1754040.8936000001</v>
      </c>
      <c r="AB52" t="s">
        <v>242</v>
      </c>
      <c r="AC52">
        <v>2</v>
      </c>
      <c r="AD52">
        <v>92000</v>
      </c>
      <c r="AE52">
        <v>0</v>
      </c>
      <c r="AF52">
        <v>0</v>
      </c>
      <c r="AG52">
        <v>5546.8984789726892</v>
      </c>
      <c r="AH52" t="s">
        <v>58</v>
      </c>
    </row>
    <row r="53" spans="1:34" x14ac:dyDescent="0.3">
      <c r="A53" t="s">
        <v>798</v>
      </c>
      <c r="B53">
        <v>32200008</v>
      </c>
      <c r="C53">
        <v>20284007</v>
      </c>
      <c r="D53" t="s">
        <v>819</v>
      </c>
      <c r="E53" t="s">
        <v>435</v>
      </c>
      <c r="F53" t="s">
        <v>429</v>
      </c>
      <c r="G53" t="s">
        <v>82</v>
      </c>
      <c r="H53" t="s">
        <v>82</v>
      </c>
      <c r="J53" t="s">
        <v>52</v>
      </c>
      <c r="K53" s="15">
        <v>2000</v>
      </c>
      <c r="L53" s="15">
        <v>0</v>
      </c>
      <c r="M53" s="13">
        <v>44858</v>
      </c>
      <c r="O53">
        <v>0</v>
      </c>
      <c r="P53">
        <v>0</v>
      </c>
      <c r="Q53">
        <v>0</v>
      </c>
      <c r="R53">
        <v>0</v>
      </c>
      <c r="S53">
        <v>6953.3435806575344</v>
      </c>
      <c r="T53">
        <v>0</v>
      </c>
      <c r="U53">
        <v>0</v>
      </c>
      <c r="V53">
        <v>16460.34</v>
      </c>
      <c r="W53">
        <v>0</v>
      </c>
      <c r="X53">
        <v>0</v>
      </c>
      <c r="Y53">
        <v>23413.683580657533</v>
      </c>
      <c r="Z53">
        <v>0</v>
      </c>
      <c r="AA53">
        <v>23413.683580657533</v>
      </c>
      <c r="AB53" t="s">
        <v>242</v>
      </c>
      <c r="AC53">
        <v>1</v>
      </c>
      <c r="AD53">
        <v>2000</v>
      </c>
      <c r="AE53">
        <v>0</v>
      </c>
      <c r="AF53">
        <v>0</v>
      </c>
      <c r="AG53">
        <v>0</v>
      </c>
      <c r="AH53" t="s">
        <v>72</v>
      </c>
    </row>
    <row r="54" spans="1:34" x14ac:dyDescent="0.3">
      <c r="A54" t="s">
        <v>798</v>
      </c>
      <c r="B54">
        <v>12200038</v>
      </c>
      <c r="C54">
        <v>19668536</v>
      </c>
      <c r="D54" t="s">
        <v>808</v>
      </c>
      <c r="E54" t="s">
        <v>435</v>
      </c>
      <c r="F54" t="s">
        <v>427</v>
      </c>
      <c r="G54" t="s">
        <v>82</v>
      </c>
      <c r="H54" t="s">
        <v>82</v>
      </c>
      <c r="J54" t="s">
        <v>52</v>
      </c>
      <c r="K54" s="15">
        <v>3500</v>
      </c>
      <c r="L54" s="15">
        <v>0</v>
      </c>
      <c r="M54" s="13">
        <v>44860</v>
      </c>
      <c r="O54">
        <v>0</v>
      </c>
      <c r="P54">
        <v>0</v>
      </c>
      <c r="Q54">
        <v>0</v>
      </c>
      <c r="R54">
        <v>0</v>
      </c>
      <c r="S54">
        <v>28080.96446684932</v>
      </c>
      <c r="T54">
        <v>0</v>
      </c>
      <c r="U54">
        <v>0</v>
      </c>
      <c r="V54">
        <v>213784.64</v>
      </c>
      <c r="W54">
        <v>0</v>
      </c>
      <c r="X54">
        <v>0</v>
      </c>
      <c r="Y54">
        <v>241865.60446684933</v>
      </c>
      <c r="Z54">
        <v>0</v>
      </c>
      <c r="AA54">
        <v>241865.60446684933</v>
      </c>
      <c r="AB54" t="s">
        <v>242</v>
      </c>
      <c r="AC54">
        <v>3</v>
      </c>
      <c r="AD54">
        <v>8500</v>
      </c>
      <c r="AE54">
        <v>0</v>
      </c>
      <c r="AF54">
        <v>0</v>
      </c>
      <c r="AG54">
        <v>0</v>
      </c>
      <c r="AH54" t="s">
        <v>58</v>
      </c>
    </row>
    <row r="55" spans="1:34" x14ac:dyDescent="0.3">
      <c r="A55" t="s">
        <v>798</v>
      </c>
      <c r="B55">
        <v>62200104</v>
      </c>
      <c r="C55" t="s">
        <v>245</v>
      </c>
      <c r="D55" t="s">
        <v>316</v>
      </c>
      <c r="E55" t="s">
        <v>435</v>
      </c>
      <c r="F55" t="s">
        <v>432</v>
      </c>
      <c r="G55" t="s">
        <v>82</v>
      </c>
      <c r="H55" t="s">
        <v>82</v>
      </c>
      <c r="J55" t="s">
        <v>52</v>
      </c>
      <c r="K55" s="15">
        <v>2000</v>
      </c>
      <c r="L55" s="15">
        <v>0</v>
      </c>
      <c r="M55" s="13">
        <v>44861</v>
      </c>
      <c r="O55">
        <v>0</v>
      </c>
      <c r="P55">
        <v>0</v>
      </c>
      <c r="Q55">
        <v>0</v>
      </c>
      <c r="R55">
        <v>0</v>
      </c>
      <c r="S55">
        <v>9295.8737114652049</v>
      </c>
      <c r="T55">
        <v>0</v>
      </c>
      <c r="U55">
        <v>0</v>
      </c>
      <c r="V55">
        <v>22299.012967342856</v>
      </c>
      <c r="W55">
        <v>0</v>
      </c>
      <c r="X55">
        <v>0</v>
      </c>
      <c r="Y55">
        <v>31594.886678808063</v>
      </c>
      <c r="Z55">
        <v>0</v>
      </c>
      <c r="AA55">
        <v>31594.886678808063</v>
      </c>
      <c r="AB55" t="s">
        <v>242</v>
      </c>
      <c r="AC55">
        <v>3</v>
      </c>
      <c r="AD55">
        <v>6000</v>
      </c>
      <c r="AE55">
        <v>0</v>
      </c>
      <c r="AF55">
        <v>0</v>
      </c>
      <c r="AG55">
        <v>0</v>
      </c>
      <c r="AH55" t="s">
        <v>58</v>
      </c>
    </row>
    <row r="56" spans="1:34" x14ac:dyDescent="0.3">
      <c r="A56" t="s">
        <v>798</v>
      </c>
      <c r="B56">
        <v>12200014</v>
      </c>
      <c r="C56">
        <v>20198134</v>
      </c>
      <c r="D56" t="s">
        <v>806</v>
      </c>
      <c r="E56" t="s">
        <v>435</v>
      </c>
      <c r="F56" t="s">
        <v>427</v>
      </c>
      <c r="G56" t="s">
        <v>82</v>
      </c>
      <c r="H56" t="s">
        <v>82</v>
      </c>
      <c r="J56" t="s">
        <v>52</v>
      </c>
      <c r="K56" s="15">
        <v>2000</v>
      </c>
      <c r="L56" s="15">
        <v>0</v>
      </c>
      <c r="M56" s="13">
        <v>44862</v>
      </c>
      <c r="O56">
        <v>0</v>
      </c>
      <c r="P56">
        <v>0</v>
      </c>
      <c r="Q56">
        <v>0</v>
      </c>
      <c r="R56">
        <v>1361</v>
      </c>
      <c r="S56">
        <v>52364.520547945198</v>
      </c>
      <c r="T56">
        <v>0</v>
      </c>
      <c r="U56">
        <v>0</v>
      </c>
      <c r="V56">
        <v>155000</v>
      </c>
      <c r="W56">
        <v>0</v>
      </c>
      <c r="X56">
        <v>0</v>
      </c>
      <c r="Y56">
        <v>208725.5205479452</v>
      </c>
      <c r="Z56">
        <v>0</v>
      </c>
      <c r="AA56">
        <v>208725.5205479452</v>
      </c>
      <c r="AB56" t="s">
        <v>242</v>
      </c>
      <c r="AC56">
        <v>1</v>
      </c>
      <c r="AD56">
        <v>2000</v>
      </c>
      <c r="AE56">
        <v>0</v>
      </c>
      <c r="AF56">
        <v>0</v>
      </c>
      <c r="AG56">
        <v>0</v>
      </c>
      <c r="AH56" t="s">
        <v>72</v>
      </c>
    </row>
    <row r="57" spans="1:34" x14ac:dyDescent="0.3">
      <c r="A57" t="s">
        <v>798</v>
      </c>
      <c r="B57">
        <v>12200003</v>
      </c>
      <c r="C57">
        <v>15356132</v>
      </c>
      <c r="D57" t="s">
        <v>804</v>
      </c>
      <c r="E57" t="s">
        <v>435</v>
      </c>
      <c r="F57" t="s">
        <v>427</v>
      </c>
      <c r="G57" t="s">
        <v>82</v>
      </c>
      <c r="H57" t="s">
        <v>82</v>
      </c>
      <c r="J57" t="s">
        <v>52</v>
      </c>
      <c r="K57" s="15">
        <v>200000</v>
      </c>
      <c r="L57" s="15">
        <v>0</v>
      </c>
      <c r="M57" s="13">
        <v>44865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295961.63985143439</v>
      </c>
      <c r="W57">
        <v>0</v>
      </c>
      <c r="X57">
        <v>0</v>
      </c>
      <c r="Y57">
        <v>295961.63985143439</v>
      </c>
      <c r="Z57">
        <v>0</v>
      </c>
      <c r="AA57">
        <v>295961.63985143439</v>
      </c>
      <c r="AB57" t="s">
        <v>242</v>
      </c>
      <c r="AC57">
        <v>1</v>
      </c>
      <c r="AD57">
        <v>200000</v>
      </c>
      <c r="AE57">
        <v>0</v>
      </c>
      <c r="AF57">
        <v>0</v>
      </c>
      <c r="AG57">
        <v>0</v>
      </c>
      <c r="AH57" t="s">
        <v>72</v>
      </c>
    </row>
    <row r="58" spans="1:34" x14ac:dyDescent="0.3">
      <c r="A58" t="s">
        <v>798</v>
      </c>
      <c r="B58">
        <v>22200068</v>
      </c>
      <c r="C58">
        <v>20579132</v>
      </c>
      <c r="D58" t="s">
        <v>80</v>
      </c>
      <c r="E58" t="s">
        <v>435</v>
      </c>
      <c r="F58" t="s">
        <v>428</v>
      </c>
      <c r="G58" t="s">
        <v>82</v>
      </c>
      <c r="H58" t="s">
        <v>82</v>
      </c>
      <c r="J58" t="s">
        <v>52</v>
      </c>
      <c r="K58" s="15">
        <v>1000</v>
      </c>
      <c r="L58" s="15">
        <v>0</v>
      </c>
      <c r="M58" s="13">
        <v>44865</v>
      </c>
      <c r="O58">
        <v>0</v>
      </c>
      <c r="P58">
        <v>0</v>
      </c>
      <c r="Q58">
        <v>0</v>
      </c>
      <c r="R58">
        <v>0</v>
      </c>
      <c r="S58">
        <v>6557.3615921232877</v>
      </c>
      <c r="T58">
        <v>0</v>
      </c>
      <c r="U58">
        <v>0</v>
      </c>
      <c r="V58">
        <v>21133.91</v>
      </c>
      <c r="W58">
        <v>0</v>
      </c>
      <c r="X58">
        <v>0</v>
      </c>
      <c r="Y58">
        <v>27691.271592123288</v>
      </c>
      <c r="Z58">
        <v>0</v>
      </c>
      <c r="AA58">
        <v>27691.271592123288</v>
      </c>
      <c r="AB58" t="s">
        <v>242</v>
      </c>
      <c r="AC58">
        <v>2</v>
      </c>
      <c r="AD58">
        <v>2000</v>
      </c>
      <c r="AE58">
        <v>0</v>
      </c>
      <c r="AF58">
        <v>0</v>
      </c>
      <c r="AG58">
        <v>0</v>
      </c>
      <c r="AH58" t="s">
        <v>58</v>
      </c>
    </row>
    <row r="59" spans="1:34" x14ac:dyDescent="0.3">
      <c r="A59" t="s">
        <v>798</v>
      </c>
      <c r="B59">
        <v>32200068</v>
      </c>
      <c r="C59">
        <v>14803037</v>
      </c>
      <c r="D59" t="s">
        <v>820</v>
      </c>
      <c r="E59" t="s">
        <v>435</v>
      </c>
      <c r="F59" t="s">
        <v>429</v>
      </c>
      <c r="G59" t="s">
        <v>82</v>
      </c>
      <c r="H59" t="s">
        <v>82</v>
      </c>
      <c r="J59" t="s">
        <v>52</v>
      </c>
      <c r="K59" s="15">
        <v>500</v>
      </c>
      <c r="L59" s="15">
        <v>0</v>
      </c>
      <c r="M59" s="13">
        <v>44865</v>
      </c>
      <c r="O59">
        <v>0</v>
      </c>
      <c r="P59">
        <v>0</v>
      </c>
      <c r="Q59">
        <v>0</v>
      </c>
      <c r="R59">
        <v>1431</v>
      </c>
      <c r="S59">
        <v>10597.539675172602</v>
      </c>
      <c r="T59">
        <v>0</v>
      </c>
      <c r="U59">
        <v>0</v>
      </c>
      <c r="V59">
        <v>16715.03</v>
      </c>
      <c r="W59">
        <v>0</v>
      </c>
      <c r="X59">
        <v>0</v>
      </c>
      <c r="Y59">
        <v>28743.569675172599</v>
      </c>
      <c r="Z59">
        <v>0</v>
      </c>
      <c r="AA59">
        <v>28743.569675172599</v>
      </c>
      <c r="AB59" t="s">
        <v>242</v>
      </c>
      <c r="AC59">
        <v>1</v>
      </c>
      <c r="AD59">
        <v>500</v>
      </c>
      <c r="AE59">
        <v>0</v>
      </c>
      <c r="AF59">
        <v>0</v>
      </c>
      <c r="AG59">
        <v>0</v>
      </c>
      <c r="AH59" t="s">
        <v>72</v>
      </c>
    </row>
    <row r="60" spans="1:34" x14ac:dyDescent="0.3">
      <c r="A60" t="s">
        <v>798</v>
      </c>
      <c r="B60">
        <v>62200059</v>
      </c>
      <c r="C60">
        <v>18809061</v>
      </c>
      <c r="D60" t="s">
        <v>895</v>
      </c>
      <c r="E60" t="s">
        <v>435</v>
      </c>
      <c r="F60" t="s">
        <v>432</v>
      </c>
      <c r="G60" t="s">
        <v>82</v>
      </c>
      <c r="H60" t="s">
        <v>82</v>
      </c>
      <c r="J60" t="s">
        <v>52</v>
      </c>
      <c r="K60" s="15">
        <v>500</v>
      </c>
      <c r="L60" s="15">
        <v>0</v>
      </c>
      <c r="M60" s="13">
        <v>44865</v>
      </c>
      <c r="O60">
        <v>0</v>
      </c>
      <c r="P60">
        <v>0</v>
      </c>
      <c r="Q60">
        <v>0</v>
      </c>
      <c r="R60">
        <v>1591</v>
      </c>
      <c r="S60">
        <v>17168.219178082192</v>
      </c>
      <c r="T60">
        <v>0</v>
      </c>
      <c r="U60">
        <v>0</v>
      </c>
      <c r="V60">
        <v>30000</v>
      </c>
      <c r="W60">
        <v>0</v>
      </c>
      <c r="X60">
        <v>0</v>
      </c>
      <c r="Y60">
        <v>48759.219178082189</v>
      </c>
      <c r="Z60">
        <v>0</v>
      </c>
      <c r="AA60">
        <v>48759.219178082189</v>
      </c>
      <c r="AB60" t="s">
        <v>242</v>
      </c>
      <c r="AC60">
        <v>1</v>
      </c>
      <c r="AD60">
        <v>500</v>
      </c>
      <c r="AE60">
        <v>0</v>
      </c>
      <c r="AF60">
        <v>0</v>
      </c>
      <c r="AG60">
        <v>0</v>
      </c>
      <c r="AH60" t="s">
        <v>72</v>
      </c>
    </row>
    <row r="61" spans="1:34" x14ac:dyDescent="0.3">
      <c r="A61" t="s">
        <v>798</v>
      </c>
      <c r="B61">
        <v>32200011</v>
      </c>
      <c r="C61" t="s">
        <v>243</v>
      </c>
      <c r="D61" t="s">
        <v>315</v>
      </c>
      <c r="E61" t="s">
        <v>435</v>
      </c>
      <c r="F61" t="s">
        <v>429</v>
      </c>
      <c r="G61" t="s">
        <v>82</v>
      </c>
      <c r="H61" t="s">
        <v>82</v>
      </c>
      <c r="J61" t="s">
        <v>52</v>
      </c>
      <c r="K61" s="15">
        <v>1000</v>
      </c>
      <c r="L61" s="15">
        <v>0</v>
      </c>
      <c r="M61" s="13">
        <v>44865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7266.7036757041096</v>
      </c>
      <c r="W61">
        <v>0</v>
      </c>
      <c r="X61">
        <v>0</v>
      </c>
      <c r="Y61">
        <v>7266.7036757041096</v>
      </c>
      <c r="Z61">
        <v>0</v>
      </c>
      <c r="AA61">
        <v>7266.7036757041096</v>
      </c>
      <c r="AB61" t="s">
        <v>242</v>
      </c>
      <c r="AC61">
        <v>4</v>
      </c>
      <c r="AD61">
        <v>6000</v>
      </c>
      <c r="AE61">
        <v>0</v>
      </c>
      <c r="AF61">
        <v>0</v>
      </c>
      <c r="AG61">
        <v>0</v>
      </c>
      <c r="AH61" t="s">
        <v>58</v>
      </c>
    </row>
    <row r="62" spans="1:34" x14ac:dyDescent="0.3">
      <c r="A62" t="s">
        <v>798</v>
      </c>
      <c r="B62">
        <v>22200039</v>
      </c>
      <c r="C62" t="s">
        <v>340</v>
      </c>
      <c r="D62" t="s">
        <v>382</v>
      </c>
      <c r="E62" t="s">
        <v>435</v>
      </c>
      <c r="F62" t="s">
        <v>428</v>
      </c>
      <c r="G62" t="s">
        <v>82</v>
      </c>
      <c r="H62" t="s">
        <v>82</v>
      </c>
      <c r="J62" t="s">
        <v>52</v>
      </c>
      <c r="K62" s="15">
        <v>1000</v>
      </c>
      <c r="L62" s="15">
        <v>0</v>
      </c>
      <c r="M62" s="13">
        <v>44865</v>
      </c>
      <c r="O62">
        <v>0</v>
      </c>
      <c r="P62">
        <v>0</v>
      </c>
      <c r="Q62">
        <v>0</v>
      </c>
      <c r="R62">
        <v>241</v>
      </c>
      <c r="S62">
        <v>6247.6380799999997</v>
      </c>
      <c r="T62">
        <v>0</v>
      </c>
      <c r="U62">
        <v>0</v>
      </c>
      <c r="V62">
        <v>14495.68</v>
      </c>
      <c r="W62">
        <v>0</v>
      </c>
      <c r="X62">
        <v>0</v>
      </c>
      <c r="Y62">
        <v>20984.318080000001</v>
      </c>
      <c r="Z62">
        <v>0</v>
      </c>
      <c r="AA62">
        <v>20984.318080000001</v>
      </c>
      <c r="AB62" t="s">
        <v>242</v>
      </c>
      <c r="AC62">
        <v>2</v>
      </c>
      <c r="AD62">
        <v>2000</v>
      </c>
      <c r="AE62">
        <v>0</v>
      </c>
      <c r="AF62">
        <v>0</v>
      </c>
      <c r="AG62">
        <v>0</v>
      </c>
      <c r="AH62" t="s">
        <v>58</v>
      </c>
    </row>
    <row r="63" spans="1:34" x14ac:dyDescent="0.3">
      <c r="A63" t="s">
        <v>798</v>
      </c>
      <c r="B63">
        <v>2200009</v>
      </c>
      <c r="C63">
        <v>19887094</v>
      </c>
      <c r="D63" t="s">
        <v>77</v>
      </c>
      <c r="E63" t="s">
        <v>435</v>
      </c>
      <c r="F63" t="s">
        <v>426</v>
      </c>
      <c r="G63" t="s">
        <v>82</v>
      </c>
      <c r="H63" t="s">
        <v>82</v>
      </c>
      <c r="J63" t="s">
        <v>52</v>
      </c>
      <c r="K63" s="15">
        <v>900</v>
      </c>
      <c r="L63" s="15">
        <v>0</v>
      </c>
      <c r="M63" s="13">
        <v>44866</v>
      </c>
      <c r="O63">
        <v>0</v>
      </c>
      <c r="P63">
        <v>0</v>
      </c>
      <c r="Q63">
        <v>0</v>
      </c>
      <c r="R63">
        <v>0</v>
      </c>
      <c r="S63">
        <v>23301.616180538298</v>
      </c>
      <c r="T63">
        <v>0</v>
      </c>
      <c r="U63">
        <v>0</v>
      </c>
      <c r="V63">
        <v>107102.9400910782</v>
      </c>
      <c r="W63">
        <v>0</v>
      </c>
      <c r="X63">
        <v>0</v>
      </c>
      <c r="Y63">
        <v>130404.5562716165</v>
      </c>
      <c r="Z63">
        <v>0</v>
      </c>
      <c r="AA63">
        <v>130404.5562716165</v>
      </c>
      <c r="AB63" t="s">
        <v>242</v>
      </c>
      <c r="AC63">
        <v>4</v>
      </c>
      <c r="AD63">
        <v>3600</v>
      </c>
      <c r="AE63">
        <v>0</v>
      </c>
      <c r="AF63">
        <v>0</v>
      </c>
      <c r="AG63">
        <v>0</v>
      </c>
      <c r="AH63" t="s">
        <v>58</v>
      </c>
    </row>
    <row r="64" spans="1:34" x14ac:dyDescent="0.3">
      <c r="A64" t="s">
        <v>798</v>
      </c>
      <c r="B64">
        <v>62200005</v>
      </c>
      <c r="C64">
        <v>19887124</v>
      </c>
      <c r="D64" t="s">
        <v>77</v>
      </c>
      <c r="E64" t="s">
        <v>435</v>
      </c>
      <c r="F64" t="s">
        <v>432</v>
      </c>
      <c r="G64" t="s">
        <v>82</v>
      </c>
      <c r="H64" t="s">
        <v>82</v>
      </c>
      <c r="J64" t="s">
        <v>52</v>
      </c>
      <c r="K64" s="15">
        <v>1800</v>
      </c>
      <c r="L64" s="15">
        <v>0</v>
      </c>
      <c r="M64" s="13">
        <v>44866</v>
      </c>
      <c r="O64">
        <v>0</v>
      </c>
      <c r="P64">
        <v>0</v>
      </c>
      <c r="Q64">
        <v>0</v>
      </c>
      <c r="R64">
        <v>0</v>
      </c>
      <c r="S64">
        <v>19225.601058092285</v>
      </c>
      <c r="T64">
        <v>0</v>
      </c>
      <c r="U64">
        <v>0</v>
      </c>
      <c r="V64">
        <v>59598.02512483739</v>
      </c>
      <c r="W64">
        <v>0</v>
      </c>
      <c r="X64">
        <v>0</v>
      </c>
      <c r="Y64">
        <v>78823.626182929671</v>
      </c>
      <c r="Z64">
        <v>0</v>
      </c>
      <c r="AA64">
        <v>78823.626182929671</v>
      </c>
      <c r="AB64" t="s">
        <v>242</v>
      </c>
      <c r="AC64">
        <v>4</v>
      </c>
      <c r="AD64">
        <v>7200</v>
      </c>
      <c r="AE64">
        <v>0</v>
      </c>
      <c r="AF64">
        <v>0</v>
      </c>
      <c r="AG64">
        <v>0</v>
      </c>
      <c r="AH64" t="s">
        <v>58</v>
      </c>
    </row>
    <row r="65" spans="1:34" x14ac:dyDescent="0.3">
      <c r="A65" t="s">
        <v>798</v>
      </c>
      <c r="B65">
        <v>62200006</v>
      </c>
      <c r="C65">
        <v>19887213</v>
      </c>
      <c r="D65" t="s">
        <v>77</v>
      </c>
      <c r="E65" t="s">
        <v>435</v>
      </c>
      <c r="F65" t="s">
        <v>432</v>
      </c>
      <c r="G65" t="s">
        <v>82</v>
      </c>
      <c r="H65" t="s">
        <v>82</v>
      </c>
      <c r="J65" t="s">
        <v>52</v>
      </c>
      <c r="K65" s="15">
        <v>1800</v>
      </c>
      <c r="L65" s="15">
        <v>0</v>
      </c>
      <c r="M65" s="13">
        <v>44866</v>
      </c>
      <c r="O65">
        <v>0</v>
      </c>
      <c r="P65">
        <v>0</v>
      </c>
      <c r="Q65">
        <v>0</v>
      </c>
      <c r="R65">
        <v>0</v>
      </c>
      <c r="S65">
        <v>9204.9954212797929</v>
      </c>
      <c r="T65">
        <v>0</v>
      </c>
      <c r="U65">
        <v>0</v>
      </c>
      <c r="V65">
        <v>29690.410958904111</v>
      </c>
      <c r="W65">
        <v>0</v>
      </c>
      <c r="X65">
        <v>0</v>
      </c>
      <c r="Y65">
        <v>38895.406380183907</v>
      </c>
      <c r="Z65">
        <v>0</v>
      </c>
      <c r="AA65">
        <v>38895.406380183907</v>
      </c>
      <c r="AB65" t="s">
        <v>242</v>
      </c>
      <c r="AC65">
        <v>4</v>
      </c>
      <c r="AD65">
        <v>7200</v>
      </c>
      <c r="AE65">
        <v>0</v>
      </c>
      <c r="AF65">
        <v>0</v>
      </c>
      <c r="AG65">
        <v>0</v>
      </c>
      <c r="AH65" t="s">
        <v>58</v>
      </c>
    </row>
    <row r="66" spans="1:34" x14ac:dyDescent="0.3">
      <c r="A66" t="s">
        <v>798</v>
      </c>
      <c r="B66">
        <v>12200041</v>
      </c>
      <c r="C66">
        <v>23113175</v>
      </c>
      <c r="D66" t="s">
        <v>78</v>
      </c>
      <c r="E66" t="s">
        <v>435</v>
      </c>
      <c r="F66" t="s">
        <v>427</v>
      </c>
      <c r="G66" t="s">
        <v>82</v>
      </c>
      <c r="H66" t="s">
        <v>82</v>
      </c>
      <c r="J66" t="s">
        <v>52</v>
      </c>
      <c r="K66" s="15">
        <v>3000</v>
      </c>
      <c r="L66" s="15">
        <v>0</v>
      </c>
      <c r="M66" s="13">
        <v>44868</v>
      </c>
      <c r="O66">
        <v>0</v>
      </c>
      <c r="P66">
        <v>0</v>
      </c>
      <c r="Q66">
        <v>0</v>
      </c>
      <c r="R66">
        <v>0</v>
      </c>
      <c r="S66">
        <v>16812.621425720554</v>
      </c>
      <c r="T66">
        <v>0</v>
      </c>
      <c r="U66">
        <v>0</v>
      </c>
      <c r="V66">
        <v>192752.41</v>
      </c>
      <c r="W66">
        <v>0</v>
      </c>
      <c r="X66">
        <v>0</v>
      </c>
      <c r="Y66">
        <v>209565.03142572055</v>
      </c>
      <c r="Z66">
        <v>0</v>
      </c>
      <c r="AA66">
        <v>209565.03142572055</v>
      </c>
      <c r="AB66" t="s">
        <v>242</v>
      </c>
      <c r="AC66">
        <v>3</v>
      </c>
      <c r="AD66">
        <v>13000</v>
      </c>
      <c r="AE66">
        <v>0</v>
      </c>
      <c r="AF66">
        <v>0</v>
      </c>
      <c r="AG66">
        <v>0</v>
      </c>
      <c r="AH66" t="s">
        <v>58</v>
      </c>
    </row>
    <row r="67" spans="1:34" x14ac:dyDescent="0.3">
      <c r="A67" t="s">
        <v>798</v>
      </c>
      <c r="B67">
        <v>62200025</v>
      </c>
      <c r="C67">
        <v>9001302</v>
      </c>
      <c r="D67" t="s">
        <v>79</v>
      </c>
      <c r="E67" t="s">
        <v>435</v>
      </c>
      <c r="F67" t="s">
        <v>432</v>
      </c>
      <c r="G67" t="s">
        <v>82</v>
      </c>
      <c r="H67" t="s">
        <v>82</v>
      </c>
      <c r="J67" t="s">
        <v>52</v>
      </c>
      <c r="K67" s="15">
        <v>500</v>
      </c>
      <c r="L67" s="15">
        <v>0</v>
      </c>
      <c r="M67" s="13">
        <v>44873</v>
      </c>
      <c r="O67">
        <v>0</v>
      </c>
      <c r="P67">
        <v>0</v>
      </c>
      <c r="Q67">
        <v>0</v>
      </c>
      <c r="R67">
        <v>0</v>
      </c>
      <c r="S67">
        <v>9985.2332638356165</v>
      </c>
      <c r="T67">
        <v>0</v>
      </c>
      <c r="U67">
        <v>0</v>
      </c>
      <c r="V67">
        <v>16839.61</v>
      </c>
      <c r="W67">
        <v>0</v>
      </c>
      <c r="X67">
        <v>0</v>
      </c>
      <c r="Y67">
        <v>26824.843263835617</v>
      </c>
      <c r="Z67">
        <v>0</v>
      </c>
      <c r="AA67">
        <v>26824.843263835617</v>
      </c>
      <c r="AB67" t="s">
        <v>242</v>
      </c>
      <c r="AC67">
        <v>3</v>
      </c>
      <c r="AD67">
        <v>3370</v>
      </c>
      <c r="AE67">
        <v>0</v>
      </c>
      <c r="AF67">
        <v>0</v>
      </c>
      <c r="AG67">
        <v>0</v>
      </c>
      <c r="AH67" t="s">
        <v>58</v>
      </c>
    </row>
    <row r="68" spans="1:34" x14ac:dyDescent="0.3">
      <c r="A68" t="s">
        <v>798</v>
      </c>
      <c r="B68">
        <v>2200015</v>
      </c>
      <c r="C68">
        <v>20972229</v>
      </c>
      <c r="D68" t="s">
        <v>76</v>
      </c>
      <c r="E68" t="s">
        <v>435</v>
      </c>
      <c r="F68" t="s">
        <v>426</v>
      </c>
      <c r="G68" t="s">
        <v>82</v>
      </c>
      <c r="H68" t="s">
        <v>82</v>
      </c>
      <c r="J68" t="s">
        <v>52</v>
      </c>
      <c r="K68" s="15">
        <v>1000</v>
      </c>
      <c r="L68" s="15">
        <v>0</v>
      </c>
      <c r="M68" s="13">
        <v>44874</v>
      </c>
      <c r="O68">
        <v>0</v>
      </c>
      <c r="P68">
        <v>0</v>
      </c>
      <c r="Q68">
        <v>0</v>
      </c>
      <c r="R68">
        <v>0</v>
      </c>
      <c r="S68">
        <v>15809.597532223273</v>
      </c>
      <c r="T68">
        <v>0</v>
      </c>
      <c r="U68">
        <v>0</v>
      </c>
      <c r="V68">
        <v>122323.98354815517</v>
      </c>
      <c r="W68">
        <v>0</v>
      </c>
      <c r="X68">
        <v>0</v>
      </c>
      <c r="Y68">
        <v>138133.58108037844</v>
      </c>
      <c r="Z68">
        <v>0</v>
      </c>
      <c r="AA68">
        <v>138133.58108037844</v>
      </c>
      <c r="AB68" t="s">
        <v>242</v>
      </c>
      <c r="AC68">
        <v>4</v>
      </c>
      <c r="AD68">
        <v>4000</v>
      </c>
      <c r="AE68">
        <v>0</v>
      </c>
      <c r="AF68">
        <v>0</v>
      </c>
      <c r="AG68">
        <v>0</v>
      </c>
      <c r="AH68" t="s">
        <v>58</v>
      </c>
    </row>
    <row r="69" spans="1:34" x14ac:dyDescent="0.3">
      <c r="A69" t="s">
        <v>798</v>
      </c>
      <c r="B69">
        <v>62200013</v>
      </c>
      <c r="C69">
        <v>20972385</v>
      </c>
      <c r="D69" t="s">
        <v>76</v>
      </c>
      <c r="E69" t="s">
        <v>435</v>
      </c>
      <c r="F69" t="s">
        <v>432</v>
      </c>
      <c r="G69" t="s">
        <v>82</v>
      </c>
      <c r="H69" t="s">
        <v>82</v>
      </c>
      <c r="J69" t="s">
        <v>52</v>
      </c>
      <c r="K69" s="15">
        <v>4000</v>
      </c>
      <c r="L69" s="15">
        <v>0</v>
      </c>
      <c r="M69" s="13">
        <v>44874</v>
      </c>
      <c r="O69">
        <v>0</v>
      </c>
      <c r="P69">
        <v>0</v>
      </c>
      <c r="Q69">
        <v>0</v>
      </c>
      <c r="R69">
        <v>0</v>
      </c>
      <c r="S69">
        <v>3176.7606098727047</v>
      </c>
      <c r="T69">
        <v>0</v>
      </c>
      <c r="U69">
        <v>0</v>
      </c>
      <c r="V69">
        <v>68488.430749545369</v>
      </c>
      <c r="W69">
        <v>0</v>
      </c>
      <c r="X69">
        <v>0</v>
      </c>
      <c r="Y69">
        <v>71665.191359418066</v>
      </c>
      <c r="Z69">
        <v>0</v>
      </c>
      <c r="AA69">
        <v>71665.191359418066</v>
      </c>
      <c r="AB69" t="s">
        <v>242</v>
      </c>
      <c r="AC69">
        <v>4</v>
      </c>
      <c r="AD69">
        <v>16000</v>
      </c>
      <c r="AE69">
        <v>0</v>
      </c>
      <c r="AF69">
        <v>0</v>
      </c>
      <c r="AG69">
        <v>0</v>
      </c>
      <c r="AH69" t="s">
        <v>58</v>
      </c>
    </row>
    <row r="70" spans="1:34" x14ac:dyDescent="0.3">
      <c r="A70" t="s">
        <v>798</v>
      </c>
      <c r="B70">
        <v>12200017</v>
      </c>
      <c r="C70">
        <v>22099815</v>
      </c>
      <c r="D70" t="s">
        <v>807</v>
      </c>
      <c r="E70" t="s">
        <v>435</v>
      </c>
      <c r="F70" t="s">
        <v>427</v>
      </c>
      <c r="G70" t="s">
        <v>82</v>
      </c>
      <c r="H70" t="s">
        <v>82</v>
      </c>
      <c r="J70" t="s">
        <v>52</v>
      </c>
      <c r="K70" s="15">
        <v>1000</v>
      </c>
      <c r="L70" s="15">
        <v>0</v>
      </c>
      <c r="M70" s="13">
        <v>44875</v>
      </c>
      <c r="O70">
        <v>0</v>
      </c>
      <c r="P70">
        <v>0</v>
      </c>
      <c r="Q70">
        <v>0</v>
      </c>
      <c r="R70">
        <v>1411</v>
      </c>
      <c r="S70">
        <v>39910.154535560141</v>
      </c>
      <c r="T70">
        <v>0</v>
      </c>
      <c r="U70">
        <v>0</v>
      </c>
      <c r="V70">
        <v>149162.46575342465</v>
      </c>
      <c r="W70">
        <v>0</v>
      </c>
      <c r="X70">
        <v>0</v>
      </c>
      <c r="Y70">
        <v>190483.62028898479</v>
      </c>
      <c r="Z70">
        <v>0</v>
      </c>
      <c r="AA70">
        <v>190483.62028898479</v>
      </c>
      <c r="AB70" t="s">
        <v>242</v>
      </c>
      <c r="AC70">
        <v>1</v>
      </c>
      <c r="AD70">
        <v>1000</v>
      </c>
      <c r="AE70">
        <v>0</v>
      </c>
      <c r="AF70">
        <v>0</v>
      </c>
      <c r="AG70">
        <v>0</v>
      </c>
      <c r="AH70" t="s">
        <v>72</v>
      </c>
    </row>
    <row r="71" spans="1:34" x14ac:dyDescent="0.3">
      <c r="A71" t="s">
        <v>798</v>
      </c>
      <c r="B71">
        <v>12200034</v>
      </c>
      <c r="C71" t="s">
        <v>335</v>
      </c>
      <c r="D71" t="s">
        <v>377</v>
      </c>
      <c r="E71" t="s">
        <v>435</v>
      </c>
      <c r="F71" t="s">
        <v>427</v>
      </c>
      <c r="G71" t="s">
        <v>82</v>
      </c>
      <c r="H71" t="s">
        <v>82</v>
      </c>
      <c r="J71" t="s">
        <v>52</v>
      </c>
      <c r="K71" s="15">
        <v>4000</v>
      </c>
      <c r="L71" s="15">
        <v>0</v>
      </c>
      <c r="M71" s="13">
        <v>44875</v>
      </c>
      <c r="O71">
        <v>0</v>
      </c>
      <c r="P71">
        <v>0</v>
      </c>
      <c r="Q71">
        <v>0</v>
      </c>
      <c r="R71">
        <v>0</v>
      </c>
      <c r="S71">
        <v>62661.198766627611</v>
      </c>
      <c r="T71">
        <v>0</v>
      </c>
      <c r="U71">
        <v>0</v>
      </c>
      <c r="V71">
        <v>217029.64307241238</v>
      </c>
      <c r="W71">
        <v>0</v>
      </c>
      <c r="X71">
        <v>0</v>
      </c>
      <c r="Y71">
        <v>279690.84183903999</v>
      </c>
      <c r="Z71">
        <v>0</v>
      </c>
      <c r="AA71">
        <v>279690.84183903999</v>
      </c>
      <c r="AB71" t="s">
        <v>242</v>
      </c>
      <c r="AC71">
        <v>2</v>
      </c>
      <c r="AD71">
        <v>8000</v>
      </c>
      <c r="AE71">
        <v>0</v>
      </c>
      <c r="AF71">
        <v>0</v>
      </c>
      <c r="AG71">
        <v>0</v>
      </c>
      <c r="AH71" t="s">
        <v>58</v>
      </c>
    </row>
    <row r="72" spans="1:34" x14ac:dyDescent="0.3">
      <c r="A72" t="s">
        <v>798</v>
      </c>
      <c r="B72">
        <v>22200010</v>
      </c>
      <c r="C72">
        <v>18928437</v>
      </c>
      <c r="D72" t="s">
        <v>85</v>
      </c>
      <c r="E72" t="s">
        <v>435</v>
      </c>
      <c r="F72" t="s">
        <v>428</v>
      </c>
      <c r="G72" t="s">
        <v>82</v>
      </c>
      <c r="H72" t="s">
        <v>82</v>
      </c>
      <c r="J72" t="s">
        <v>52</v>
      </c>
      <c r="K72" s="15">
        <v>500</v>
      </c>
      <c r="L72" s="15">
        <v>0</v>
      </c>
      <c r="M72" s="13">
        <v>44876</v>
      </c>
      <c r="O72">
        <v>0</v>
      </c>
      <c r="P72">
        <v>0</v>
      </c>
      <c r="Q72">
        <v>0</v>
      </c>
      <c r="R72">
        <v>1471</v>
      </c>
      <c r="S72">
        <v>7460.76186550685</v>
      </c>
      <c r="T72">
        <v>0</v>
      </c>
      <c r="U72">
        <v>0</v>
      </c>
      <c r="V72">
        <v>18637.990000000002</v>
      </c>
      <c r="W72">
        <v>0</v>
      </c>
      <c r="X72">
        <v>0</v>
      </c>
      <c r="Y72">
        <v>27569.751865506852</v>
      </c>
      <c r="Z72">
        <v>0</v>
      </c>
      <c r="AA72">
        <v>27569.751865506852</v>
      </c>
      <c r="AB72" t="s">
        <v>242</v>
      </c>
      <c r="AC72">
        <v>1</v>
      </c>
      <c r="AD72">
        <v>500</v>
      </c>
      <c r="AE72">
        <v>0</v>
      </c>
      <c r="AF72">
        <v>0</v>
      </c>
      <c r="AG72">
        <v>0</v>
      </c>
      <c r="AH72" t="s">
        <v>72</v>
      </c>
    </row>
    <row r="73" spans="1:34" x14ac:dyDescent="0.3">
      <c r="A73" t="s">
        <v>798</v>
      </c>
      <c r="B73">
        <v>52200061</v>
      </c>
      <c r="C73">
        <v>28231012</v>
      </c>
      <c r="D73" t="s">
        <v>835</v>
      </c>
      <c r="E73" t="s">
        <v>436</v>
      </c>
      <c r="F73" t="s">
        <v>431</v>
      </c>
      <c r="G73" t="s">
        <v>82</v>
      </c>
      <c r="H73" t="s">
        <v>83</v>
      </c>
      <c r="J73" t="s">
        <v>52</v>
      </c>
      <c r="K73" s="15">
        <v>2000</v>
      </c>
      <c r="L73" s="15">
        <v>0</v>
      </c>
      <c r="M73" s="13">
        <v>44884</v>
      </c>
      <c r="O73">
        <v>0</v>
      </c>
      <c r="P73">
        <v>0</v>
      </c>
      <c r="Q73">
        <v>0</v>
      </c>
      <c r="R73">
        <v>916.28551805263703</v>
      </c>
      <c r="S73">
        <v>19456.781384997535</v>
      </c>
      <c r="T73">
        <v>0</v>
      </c>
      <c r="U73">
        <v>0</v>
      </c>
      <c r="V73">
        <v>57032.675233644863</v>
      </c>
      <c r="W73">
        <v>0</v>
      </c>
      <c r="X73">
        <v>0</v>
      </c>
      <c r="Y73">
        <v>77405.742136695044</v>
      </c>
      <c r="Z73">
        <v>5354.261963304969</v>
      </c>
      <c r="AA73">
        <v>82760.00410000002</v>
      </c>
      <c r="AB73" t="s">
        <v>242</v>
      </c>
      <c r="AC73">
        <v>1</v>
      </c>
      <c r="AD73">
        <v>2000</v>
      </c>
      <c r="AE73">
        <v>0</v>
      </c>
      <c r="AF73">
        <v>0</v>
      </c>
      <c r="AG73">
        <v>129.28970678849032</v>
      </c>
      <c r="AH73" t="s">
        <v>72</v>
      </c>
    </row>
    <row r="74" spans="1:34" x14ac:dyDescent="0.3">
      <c r="A74" t="s">
        <v>798</v>
      </c>
      <c r="B74">
        <v>12200041</v>
      </c>
      <c r="C74">
        <v>23113175</v>
      </c>
      <c r="D74" t="s">
        <v>78</v>
      </c>
      <c r="E74" t="s">
        <v>435</v>
      </c>
      <c r="F74" t="s">
        <v>427</v>
      </c>
      <c r="G74" t="s">
        <v>82</v>
      </c>
      <c r="H74" t="s">
        <v>82</v>
      </c>
      <c r="J74" t="s">
        <v>52</v>
      </c>
      <c r="K74" s="15">
        <v>2000</v>
      </c>
      <c r="L74" s="15">
        <v>0</v>
      </c>
      <c r="M74" s="13">
        <v>44887</v>
      </c>
      <c r="O74">
        <v>0</v>
      </c>
      <c r="P74">
        <v>0</v>
      </c>
      <c r="Q74">
        <v>0</v>
      </c>
      <c r="R74">
        <v>0</v>
      </c>
      <c r="S74">
        <v>14812.621425720554</v>
      </c>
      <c r="T74">
        <v>0</v>
      </c>
      <c r="U74">
        <v>0</v>
      </c>
      <c r="V74">
        <v>192752.41</v>
      </c>
      <c r="W74">
        <v>0</v>
      </c>
      <c r="X74">
        <v>0</v>
      </c>
      <c r="Y74">
        <v>207565.03142572055</v>
      </c>
      <c r="Z74">
        <v>0</v>
      </c>
      <c r="AA74">
        <v>207565.03142572055</v>
      </c>
      <c r="AB74" t="s">
        <v>242</v>
      </c>
      <c r="AC74">
        <v>4</v>
      </c>
      <c r="AD74">
        <v>15000</v>
      </c>
      <c r="AE74">
        <v>0</v>
      </c>
      <c r="AF74">
        <v>0</v>
      </c>
      <c r="AG74">
        <v>0</v>
      </c>
      <c r="AH74" t="s">
        <v>58</v>
      </c>
    </row>
    <row r="75" spans="1:34" x14ac:dyDescent="0.3">
      <c r="A75" t="s">
        <v>798</v>
      </c>
      <c r="B75">
        <v>12200055</v>
      </c>
      <c r="C75" t="s">
        <v>336</v>
      </c>
      <c r="D75" t="s">
        <v>378</v>
      </c>
      <c r="E75" t="s">
        <v>436</v>
      </c>
      <c r="F75" t="s">
        <v>427</v>
      </c>
      <c r="G75" t="s">
        <v>82</v>
      </c>
      <c r="H75" t="s">
        <v>82</v>
      </c>
      <c r="J75" t="s">
        <v>416</v>
      </c>
      <c r="K75" s="15">
        <v>0.45008902148271424</v>
      </c>
      <c r="L75" s="15">
        <v>0</v>
      </c>
      <c r="M75" s="13">
        <v>44887</v>
      </c>
      <c r="O75">
        <v>0</v>
      </c>
      <c r="P75">
        <v>0</v>
      </c>
      <c r="Q75">
        <v>0</v>
      </c>
      <c r="R75">
        <v>653.29424247853547</v>
      </c>
      <c r="S75">
        <v>18433.871793323091</v>
      </c>
      <c r="T75">
        <v>0</v>
      </c>
      <c r="U75">
        <v>0</v>
      </c>
      <c r="V75">
        <v>100912.83396419838</v>
      </c>
      <c r="W75">
        <v>0</v>
      </c>
      <c r="X75">
        <v>0</v>
      </c>
      <c r="Y75">
        <v>120000</v>
      </c>
      <c r="Z75">
        <v>0</v>
      </c>
      <c r="AA75">
        <v>120000</v>
      </c>
      <c r="AB75" t="s">
        <v>242</v>
      </c>
      <c r="AC75">
        <v>0</v>
      </c>
      <c r="AD75">
        <v>0</v>
      </c>
      <c r="AE75">
        <v>0</v>
      </c>
      <c r="AF75">
        <v>0</v>
      </c>
      <c r="AG75">
        <v>0</v>
      </c>
      <c r="AH75" t="s">
        <v>72</v>
      </c>
    </row>
    <row r="76" spans="1:34" x14ac:dyDescent="0.3">
      <c r="A76" t="s">
        <v>798</v>
      </c>
      <c r="B76">
        <v>12200087</v>
      </c>
      <c r="C76" t="s">
        <v>338</v>
      </c>
      <c r="D76" t="s">
        <v>380</v>
      </c>
      <c r="E76" t="s">
        <v>436</v>
      </c>
      <c r="F76" t="s">
        <v>427</v>
      </c>
      <c r="G76" t="s">
        <v>82</v>
      </c>
      <c r="H76" t="s">
        <v>82</v>
      </c>
      <c r="J76" t="s">
        <v>416</v>
      </c>
      <c r="K76" s="15">
        <v>0.2473276151881737</v>
      </c>
      <c r="L76" s="15">
        <v>0</v>
      </c>
      <c r="M76" s="13">
        <v>44887</v>
      </c>
      <c r="O76">
        <v>0</v>
      </c>
      <c r="P76">
        <v>0</v>
      </c>
      <c r="Q76">
        <v>0</v>
      </c>
      <c r="R76">
        <v>894.1747931564496</v>
      </c>
      <c r="S76">
        <v>29273.282833478428</v>
      </c>
      <c r="T76">
        <v>0</v>
      </c>
      <c r="U76">
        <v>0</v>
      </c>
      <c r="V76">
        <v>142729.73863504711</v>
      </c>
      <c r="W76">
        <v>0</v>
      </c>
      <c r="X76">
        <v>0</v>
      </c>
      <c r="Y76">
        <v>172897.19626168199</v>
      </c>
      <c r="Z76">
        <v>0</v>
      </c>
      <c r="AA76">
        <v>172897.19626168199</v>
      </c>
      <c r="AB76" t="s">
        <v>242</v>
      </c>
      <c r="AC76">
        <v>0</v>
      </c>
      <c r="AD76">
        <v>0</v>
      </c>
      <c r="AE76">
        <v>0</v>
      </c>
      <c r="AF76">
        <v>0</v>
      </c>
      <c r="AG76">
        <v>0</v>
      </c>
      <c r="AH76" t="s">
        <v>72</v>
      </c>
    </row>
    <row r="77" spans="1:34" x14ac:dyDescent="0.3">
      <c r="A77" t="s">
        <v>798</v>
      </c>
      <c r="B77">
        <v>12200087</v>
      </c>
      <c r="C77" t="s">
        <v>338</v>
      </c>
      <c r="D77" t="s">
        <v>380</v>
      </c>
      <c r="E77" t="s">
        <v>436</v>
      </c>
      <c r="F77" t="s">
        <v>427</v>
      </c>
      <c r="G77" t="s">
        <v>417</v>
      </c>
      <c r="H77" t="s">
        <v>82</v>
      </c>
      <c r="J77" t="s">
        <v>593</v>
      </c>
      <c r="K77" s="15">
        <v>185000.00000000003</v>
      </c>
      <c r="L77" s="15">
        <v>8000</v>
      </c>
      <c r="M77" s="13">
        <v>44887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7999.999999999709</v>
      </c>
      <c r="W77">
        <v>0</v>
      </c>
      <c r="X77">
        <v>0</v>
      </c>
      <c r="Y77">
        <v>7999.999999999709</v>
      </c>
      <c r="Z77">
        <v>0</v>
      </c>
      <c r="AA77">
        <v>7999.999999999709</v>
      </c>
      <c r="AB77" t="s">
        <v>242</v>
      </c>
      <c r="AC77">
        <v>1</v>
      </c>
      <c r="AD77">
        <v>164897.19626168229</v>
      </c>
      <c r="AE77">
        <v>0</v>
      </c>
      <c r="AF77">
        <v>0</v>
      </c>
      <c r="AG77">
        <v>0</v>
      </c>
      <c r="AH77" t="s">
        <v>58</v>
      </c>
    </row>
    <row r="78" spans="1:34" x14ac:dyDescent="0.3">
      <c r="A78" t="s">
        <v>798</v>
      </c>
      <c r="B78">
        <v>52200140</v>
      </c>
      <c r="C78">
        <v>24516388</v>
      </c>
      <c r="D78" t="s">
        <v>837</v>
      </c>
      <c r="E78" t="s">
        <v>436</v>
      </c>
      <c r="F78" t="s">
        <v>431</v>
      </c>
      <c r="G78" t="s">
        <v>82</v>
      </c>
      <c r="H78" t="s">
        <v>83</v>
      </c>
      <c r="J78" t="s">
        <v>52</v>
      </c>
      <c r="K78" s="15">
        <v>500</v>
      </c>
      <c r="L78" s="15">
        <v>0</v>
      </c>
      <c r="M78" s="13">
        <v>44890</v>
      </c>
      <c r="O78">
        <v>0</v>
      </c>
      <c r="P78">
        <v>0</v>
      </c>
      <c r="Q78">
        <v>0</v>
      </c>
      <c r="R78">
        <v>982.93510816035257</v>
      </c>
      <c r="S78">
        <v>26582.962560283362</v>
      </c>
      <c r="T78">
        <v>0</v>
      </c>
      <c r="U78">
        <v>0</v>
      </c>
      <c r="V78">
        <v>42031.117334265007</v>
      </c>
      <c r="W78">
        <v>0</v>
      </c>
      <c r="X78">
        <v>0</v>
      </c>
      <c r="Y78">
        <v>69597.015002708722</v>
      </c>
      <c r="Z78">
        <v>4802.9855926183864</v>
      </c>
      <c r="AA78">
        <v>74400.000595327103</v>
      </c>
      <c r="AB78" t="s">
        <v>242</v>
      </c>
      <c r="AC78">
        <v>1</v>
      </c>
      <c r="AD78">
        <v>500</v>
      </c>
      <c r="AE78">
        <v>0</v>
      </c>
      <c r="AF78">
        <v>0</v>
      </c>
      <c r="AG78">
        <v>32.248091188060471</v>
      </c>
      <c r="AH78" t="s">
        <v>72</v>
      </c>
    </row>
    <row r="79" spans="1:34" x14ac:dyDescent="0.3">
      <c r="A79" t="s">
        <v>798</v>
      </c>
      <c r="B79">
        <v>82200001</v>
      </c>
      <c r="C79" t="s">
        <v>246</v>
      </c>
      <c r="D79" t="s">
        <v>595</v>
      </c>
      <c r="E79" t="s">
        <v>440</v>
      </c>
      <c r="F79" t="s">
        <v>433</v>
      </c>
      <c r="G79" t="s">
        <v>82</v>
      </c>
      <c r="H79" t="s">
        <v>83</v>
      </c>
      <c r="J79" t="s">
        <v>52</v>
      </c>
      <c r="K79" s="15">
        <v>20000</v>
      </c>
      <c r="M79" s="13">
        <v>44890</v>
      </c>
      <c r="O79">
        <v>0</v>
      </c>
      <c r="P79">
        <v>0</v>
      </c>
      <c r="Q79">
        <v>121371.90733835223</v>
      </c>
      <c r="R79">
        <v>13743.86</v>
      </c>
      <c r="S79">
        <v>117241.62267443717</v>
      </c>
      <c r="T79">
        <v>0</v>
      </c>
      <c r="U79">
        <v>0</v>
      </c>
      <c r="V79">
        <v>1715376.1</v>
      </c>
      <c r="W79">
        <v>0</v>
      </c>
      <c r="X79">
        <v>0</v>
      </c>
      <c r="Y79">
        <v>1967733.4900127896</v>
      </c>
      <c r="Z79">
        <v>128283.24058721063</v>
      </c>
      <c r="AA79">
        <v>2096016.7306000004</v>
      </c>
      <c r="AB79" t="s">
        <v>242</v>
      </c>
      <c r="AC79">
        <v>2</v>
      </c>
      <c r="AD79">
        <v>40000</v>
      </c>
      <c r="AE79">
        <v>0</v>
      </c>
      <c r="AF79">
        <v>0</v>
      </c>
      <c r="AG79">
        <v>2436.9700127893993</v>
      </c>
      <c r="AH79" t="s">
        <v>58</v>
      </c>
    </row>
    <row r="80" spans="1:34" x14ac:dyDescent="0.3">
      <c r="A80" t="s">
        <v>798</v>
      </c>
      <c r="B80">
        <v>52200352</v>
      </c>
      <c r="C80">
        <v>27398823</v>
      </c>
      <c r="D80" t="s">
        <v>849</v>
      </c>
      <c r="E80" t="s">
        <v>436</v>
      </c>
      <c r="F80" t="s">
        <v>431</v>
      </c>
      <c r="G80" t="s">
        <v>82</v>
      </c>
      <c r="H80" t="s">
        <v>83</v>
      </c>
      <c r="J80" t="s">
        <v>52</v>
      </c>
      <c r="K80" s="15">
        <v>1000</v>
      </c>
      <c r="L80" s="15">
        <v>0</v>
      </c>
      <c r="M80" s="13">
        <v>44891</v>
      </c>
      <c r="O80">
        <v>0</v>
      </c>
      <c r="P80">
        <v>0</v>
      </c>
      <c r="Q80">
        <v>0</v>
      </c>
      <c r="R80">
        <v>590.27727076692292</v>
      </c>
      <c r="S80">
        <v>67729.676814812978</v>
      </c>
      <c r="T80">
        <v>0</v>
      </c>
      <c r="U80">
        <v>0</v>
      </c>
      <c r="V80">
        <v>90305.578469735352</v>
      </c>
      <c r="W80">
        <v>0</v>
      </c>
      <c r="X80">
        <v>0</v>
      </c>
      <c r="Y80">
        <v>158625.53255531524</v>
      </c>
      <c r="Z80">
        <v>11062.467869918384</v>
      </c>
      <c r="AA80">
        <v>169688.00042523362</v>
      </c>
      <c r="AB80" t="s">
        <v>242</v>
      </c>
      <c r="AC80">
        <v>1</v>
      </c>
      <c r="AD80">
        <v>1000</v>
      </c>
      <c r="AE80">
        <v>0</v>
      </c>
      <c r="AF80">
        <v>0</v>
      </c>
      <c r="AG80">
        <v>65.177017713723899</v>
      </c>
      <c r="AH80" t="s">
        <v>72</v>
      </c>
    </row>
    <row r="81" spans="1:34" x14ac:dyDescent="0.3">
      <c r="A81" t="s">
        <v>798</v>
      </c>
      <c r="B81">
        <v>12200017</v>
      </c>
      <c r="C81">
        <v>22099815</v>
      </c>
      <c r="D81" t="s">
        <v>807</v>
      </c>
      <c r="E81" t="s">
        <v>435</v>
      </c>
      <c r="F81" t="s">
        <v>427</v>
      </c>
      <c r="G81" t="s">
        <v>82</v>
      </c>
      <c r="H81" t="s">
        <v>82</v>
      </c>
      <c r="J81" t="s">
        <v>52</v>
      </c>
      <c r="K81" s="15">
        <v>1000</v>
      </c>
      <c r="L81" s="15">
        <v>0</v>
      </c>
      <c r="M81" s="13">
        <v>44892</v>
      </c>
      <c r="O81">
        <v>0</v>
      </c>
      <c r="P81">
        <v>0</v>
      </c>
      <c r="Q81">
        <v>0</v>
      </c>
      <c r="R81">
        <v>411</v>
      </c>
      <c r="S81">
        <v>39910.154535560141</v>
      </c>
      <c r="T81">
        <v>0</v>
      </c>
      <c r="U81">
        <v>0</v>
      </c>
      <c r="V81">
        <v>149162.46575342465</v>
      </c>
      <c r="W81">
        <v>0</v>
      </c>
      <c r="X81">
        <v>0</v>
      </c>
      <c r="Y81">
        <v>189483.62028898479</v>
      </c>
      <c r="Z81">
        <v>0</v>
      </c>
      <c r="AA81">
        <v>189483.62028898479</v>
      </c>
      <c r="AB81" t="s">
        <v>242</v>
      </c>
      <c r="AC81">
        <v>2</v>
      </c>
      <c r="AD81">
        <v>2000</v>
      </c>
      <c r="AE81">
        <v>0</v>
      </c>
      <c r="AF81">
        <v>0</v>
      </c>
      <c r="AG81">
        <v>0</v>
      </c>
      <c r="AH81" t="s">
        <v>58</v>
      </c>
    </row>
    <row r="82" spans="1:34" x14ac:dyDescent="0.3">
      <c r="A82" t="s">
        <v>798</v>
      </c>
      <c r="B82">
        <v>12200014</v>
      </c>
      <c r="C82">
        <v>20198134</v>
      </c>
      <c r="D82" t="s">
        <v>806</v>
      </c>
      <c r="E82" t="s">
        <v>435</v>
      </c>
      <c r="F82" t="s">
        <v>427</v>
      </c>
      <c r="G82" t="s">
        <v>82</v>
      </c>
      <c r="H82" t="s">
        <v>82</v>
      </c>
      <c r="J82" t="s">
        <v>52</v>
      </c>
      <c r="K82" s="15">
        <v>2000</v>
      </c>
      <c r="L82" s="15">
        <v>0</v>
      </c>
      <c r="M82" s="13">
        <v>44893</v>
      </c>
      <c r="O82">
        <v>0</v>
      </c>
      <c r="P82">
        <v>0</v>
      </c>
      <c r="Q82">
        <v>0</v>
      </c>
      <c r="R82">
        <v>0</v>
      </c>
      <c r="S82">
        <v>51725.520547945198</v>
      </c>
      <c r="T82">
        <v>0</v>
      </c>
      <c r="U82">
        <v>0</v>
      </c>
      <c r="V82">
        <v>155000</v>
      </c>
      <c r="W82">
        <v>0</v>
      </c>
      <c r="X82">
        <v>0</v>
      </c>
      <c r="Y82">
        <v>206725.5205479452</v>
      </c>
      <c r="Z82">
        <v>0</v>
      </c>
      <c r="AA82">
        <v>206725.5205479452</v>
      </c>
      <c r="AB82" t="s">
        <v>242</v>
      </c>
      <c r="AC82">
        <v>2</v>
      </c>
      <c r="AD82">
        <v>4000</v>
      </c>
      <c r="AE82">
        <v>0</v>
      </c>
      <c r="AF82">
        <v>0</v>
      </c>
      <c r="AG82">
        <v>0</v>
      </c>
      <c r="AH82" t="s">
        <v>58</v>
      </c>
    </row>
    <row r="83" spans="1:34" x14ac:dyDescent="0.3">
      <c r="A83" t="s">
        <v>798</v>
      </c>
      <c r="B83">
        <v>12200038</v>
      </c>
      <c r="C83">
        <v>19668536</v>
      </c>
      <c r="D83" t="s">
        <v>808</v>
      </c>
      <c r="E83" t="s">
        <v>435</v>
      </c>
      <c r="F83" t="s">
        <v>427</v>
      </c>
      <c r="G83" t="s">
        <v>82</v>
      </c>
      <c r="H83" t="s">
        <v>82</v>
      </c>
      <c r="J83" t="s">
        <v>52</v>
      </c>
      <c r="K83" s="15">
        <v>3500</v>
      </c>
      <c r="L83" s="15">
        <v>0</v>
      </c>
      <c r="M83" s="13">
        <v>44893</v>
      </c>
      <c r="O83">
        <v>0</v>
      </c>
      <c r="P83">
        <v>0</v>
      </c>
      <c r="Q83">
        <v>0</v>
      </c>
      <c r="R83">
        <v>0</v>
      </c>
      <c r="S83">
        <v>24580.96446684932</v>
      </c>
      <c r="T83">
        <v>0</v>
      </c>
      <c r="U83">
        <v>0</v>
      </c>
      <c r="V83">
        <v>213784.64</v>
      </c>
      <c r="W83">
        <v>0</v>
      </c>
      <c r="X83">
        <v>0</v>
      </c>
      <c r="Y83">
        <v>238365.60446684933</v>
      </c>
      <c r="Z83">
        <v>0</v>
      </c>
      <c r="AA83">
        <v>238365.60446684933</v>
      </c>
      <c r="AB83" t="s">
        <v>242</v>
      </c>
      <c r="AC83">
        <v>4</v>
      </c>
      <c r="AD83">
        <v>12000</v>
      </c>
      <c r="AE83">
        <v>0</v>
      </c>
      <c r="AF83">
        <v>0</v>
      </c>
      <c r="AG83">
        <v>0</v>
      </c>
      <c r="AH83" t="s">
        <v>58</v>
      </c>
    </row>
    <row r="84" spans="1:34" x14ac:dyDescent="0.3">
      <c r="A84" t="s">
        <v>798</v>
      </c>
      <c r="B84">
        <v>22200072</v>
      </c>
      <c r="C84">
        <v>25001413</v>
      </c>
      <c r="D84" t="s">
        <v>818</v>
      </c>
      <c r="E84" t="s">
        <v>435</v>
      </c>
      <c r="F84" t="s">
        <v>428</v>
      </c>
      <c r="G84" t="s">
        <v>82</v>
      </c>
      <c r="H84" t="s">
        <v>82</v>
      </c>
      <c r="J84" t="s">
        <v>52</v>
      </c>
      <c r="K84" s="15">
        <v>1000</v>
      </c>
      <c r="L84" s="15">
        <v>0</v>
      </c>
      <c r="M84" s="13">
        <v>44893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4100.6846608273972</v>
      </c>
      <c r="W84">
        <v>0</v>
      </c>
      <c r="X84">
        <v>0</v>
      </c>
      <c r="Y84">
        <v>4100.6846608273972</v>
      </c>
      <c r="Z84">
        <v>0</v>
      </c>
      <c r="AA84">
        <v>4100.6846608273972</v>
      </c>
      <c r="AB84" t="s">
        <v>242</v>
      </c>
      <c r="AC84">
        <v>1</v>
      </c>
      <c r="AD84">
        <v>1000</v>
      </c>
      <c r="AE84">
        <v>0</v>
      </c>
      <c r="AF84">
        <v>0</v>
      </c>
      <c r="AG84">
        <v>0</v>
      </c>
      <c r="AH84" t="s">
        <v>72</v>
      </c>
    </row>
    <row r="85" spans="1:34" x14ac:dyDescent="0.3">
      <c r="A85" t="s">
        <v>798</v>
      </c>
      <c r="B85">
        <v>62200104</v>
      </c>
      <c r="C85" t="s">
        <v>245</v>
      </c>
      <c r="D85" t="s">
        <v>316</v>
      </c>
      <c r="E85" t="s">
        <v>435</v>
      </c>
      <c r="F85" t="s">
        <v>432</v>
      </c>
      <c r="G85" t="s">
        <v>82</v>
      </c>
      <c r="H85" t="s">
        <v>82</v>
      </c>
      <c r="J85" t="s">
        <v>52</v>
      </c>
      <c r="K85" s="15">
        <v>2000</v>
      </c>
      <c r="L85" s="15">
        <v>0</v>
      </c>
      <c r="M85" s="13">
        <v>44893</v>
      </c>
      <c r="O85">
        <v>0</v>
      </c>
      <c r="P85">
        <v>0</v>
      </c>
      <c r="Q85">
        <v>0</v>
      </c>
      <c r="R85">
        <v>0</v>
      </c>
      <c r="S85">
        <v>7295.8737114652049</v>
      </c>
      <c r="T85">
        <v>0</v>
      </c>
      <c r="U85">
        <v>0</v>
      </c>
      <c r="V85">
        <v>22299.012967342856</v>
      </c>
      <c r="W85">
        <v>0</v>
      </c>
      <c r="X85">
        <v>0</v>
      </c>
      <c r="Y85">
        <v>29594.886678808063</v>
      </c>
      <c r="Z85">
        <v>0</v>
      </c>
      <c r="AA85">
        <v>29594.886678808063</v>
      </c>
      <c r="AB85" t="s">
        <v>242</v>
      </c>
      <c r="AC85">
        <v>4</v>
      </c>
      <c r="AD85">
        <v>8000</v>
      </c>
      <c r="AE85">
        <v>0</v>
      </c>
      <c r="AF85">
        <v>0</v>
      </c>
      <c r="AG85">
        <v>0</v>
      </c>
      <c r="AH85" t="s">
        <v>58</v>
      </c>
    </row>
    <row r="86" spans="1:34" x14ac:dyDescent="0.3">
      <c r="A86" t="s">
        <v>798</v>
      </c>
      <c r="B86">
        <v>22200017</v>
      </c>
      <c r="C86">
        <v>19553690</v>
      </c>
      <c r="D86" t="s">
        <v>816</v>
      </c>
      <c r="E86" t="s">
        <v>435</v>
      </c>
      <c r="F86" t="s">
        <v>428</v>
      </c>
      <c r="G86" t="s">
        <v>82</v>
      </c>
      <c r="H86" t="s">
        <v>82</v>
      </c>
      <c r="J86" t="s">
        <v>52</v>
      </c>
      <c r="K86" s="15">
        <v>1000</v>
      </c>
      <c r="L86" s="15">
        <v>0</v>
      </c>
      <c r="M86" s="13">
        <v>44894</v>
      </c>
      <c r="O86">
        <v>0</v>
      </c>
      <c r="P86">
        <v>0</v>
      </c>
      <c r="Q86">
        <v>0</v>
      </c>
      <c r="R86">
        <v>0</v>
      </c>
      <c r="S86">
        <v>5914.5654684931496</v>
      </c>
      <c r="T86">
        <v>0</v>
      </c>
      <c r="U86">
        <v>0</v>
      </c>
      <c r="V86">
        <v>15365</v>
      </c>
      <c r="W86">
        <v>0</v>
      </c>
      <c r="X86">
        <v>0</v>
      </c>
      <c r="Y86">
        <v>21279.565468493151</v>
      </c>
      <c r="Z86">
        <v>0</v>
      </c>
      <c r="AA86">
        <v>21279.565468493151</v>
      </c>
      <c r="AB86" t="s">
        <v>242</v>
      </c>
      <c r="AC86">
        <v>1</v>
      </c>
      <c r="AD86">
        <v>1000</v>
      </c>
      <c r="AE86">
        <v>0</v>
      </c>
      <c r="AF86">
        <v>0</v>
      </c>
      <c r="AG86">
        <v>0</v>
      </c>
      <c r="AH86" t="s">
        <v>72</v>
      </c>
    </row>
    <row r="87" spans="1:34" x14ac:dyDescent="0.3">
      <c r="A87" t="s">
        <v>798</v>
      </c>
      <c r="B87">
        <v>52200376</v>
      </c>
      <c r="C87">
        <v>27488411</v>
      </c>
      <c r="D87" t="s">
        <v>852</v>
      </c>
      <c r="E87" t="s">
        <v>436</v>
      </c>
      <c r="F87" t="s">
        <v>431</v>
      </c>
      <c r="G87" t="s">
        <v>82</v>
      </c>
      <c r="H87" t="s">
        <v>83</v>
      </c>
      <c r="J87" t="s">
        <v>52</v>
      </c>
      <c r="K87" s="15">
        <v>1000</v>
      </c>
      <c r="L87" s="15">
        <v>0</v>
      </c>
      <c r="M87" s="13">
        <v>44894</v>
      </c>
      <c r="O87">
        <v>0</v>
      </c>
      <c r="P87">
        <v>0</v>
      </c>
      <c r="Q87">
        <v>0</v>
      </c>
      <c r="R87">
        <v>979.43313187800015</v>
      </c>
      <c r="S87">
        <v>36287.000822683673</v>
      </c>
      <c r="T87">
        <v>0</v>
      </c>
      <c r="U87">
        <v>0</v>
      </c>
      <c r="V87">
        <v>55487.360852476195</v>
      </c>
      <c r="W87">
        <v>0</v>
      </c>
      <c r="X87">
        <v>0</v>
      </c>
      <c r="Y87">
        <v>92753.794807037862</v>
      </c>
      <c r="Z87">
        <v>6424.2053172611904</v>
      </c>
      <c r="AA87">
        <v>99178.000124299055</v>
      </c>
      <c r="AB87" t="s">
        <v>242</v>
      </c>
      <c r="AC87">
        <v>1</v>
      </c>
      <c r="AD87">
        <v>1000</v>
      </c>
      <c r="AE87">
        <v>0</v>
      </c>
      <c r="AF87">
        <v>0</v>
      </c>
      <c r="AG87">
        <v>64.729270309775757</v>
      </c>
      <c r="AH87" t="s">
        <v>72</v>
      </c>
    </row>
    <row r="88" spans="1:34" x14ac:dyDescent="0.3">
      <c r="A88" t="s">
        <v>798</v>
      </c>
      <c r="B88">
        <v>52200390</v>
      </c>
      <c r="C88">
        <v>28031153</v>
      </c>
      <c r="D88" t="s">
        <v>853</v>
      </c>
      <c r="E88" t="s">
        <v>436</v>
      </c>
      <c r="F88" t="s">
        <v>431</v>
      </c>
      <c r="G88" t="s">
        <v>82</v>
      </c>
      <c r="H88" t="s">
        <v>83</v>
      </c>
      <c r="J88" t="s">
        <v>52</v>
      </c>
      <c r="K88" s="15">
        <v>500</v>
      </c>
      <c r="L88" s="15">
        <v>0</v>
      </c>
      <c r="M88" s="13">
        <v>44894</v>
      </c>
      <c r="O88">
        <v>0</v>
      </c>
      <c r="P88">
        <v>0</v>
      </c>
      <c r="Q88">
        <v>0</v>
      </c>
      <c r="R88">
        <v>934.83732810954461</v>
      </c>
      <c r="S88">
        <v>37749.46623366476</v>
      </c>
      <c r="T88">
        <v>0</v>
      </c>
      <c r="U88">
        <v>0</v>
      </c>
      <c r="V88">
        <v>51886.19999825312</v>
      </c>
      <c r="W88">
        <v>0</v>
      </c>
      <c r="X88">
        <v>0</v>
      </c>
      <c r="Y88">
        <v>90570.503560027428</v>
      </c>
      <c r="Z88">
        <v>6274.4966362342529</v>
      </c>
      <c r="AA88">
        <v>96845.000196261681</v>
      </c>
      <c r="AB88" t="s">
        <v>242</v>
      </c>
      <c r="AC88">
        <v>1</v>
      </c>
      <c r="AD88">
        <v>500</v>
      </c>
      <c r="AE88">
        <v>0</v>
      </c>
      <c r="AF88">
        <v>0</v>
      </c>
      <c r="AG88">
        <v>32.372535483801983</v>
      </c>
      <c r="AH88" t="s">
        <v>72</v>
      </c>
    </row>
    <row r="89" spans="1:34" x14ac:dyDescent="0.3">
      <c r="A89" t="s">
        <v>798</v>
      </c>
      <c r="B89">
        <v>62200057</v>
      </c>
      <c r="C89">
        <v>24364421</v>
      </c>
      <c r="D89" t="s">
        <v>894</v>
      </c>
      <c r="E89" t="s">
        <v>435</v>
      </c>
      <c r="F89" t="s">
        <v>432</v>
      </c>
      <c r="G89" t="s">
        <v>82</v>
      </c>
      <c r="H89" t="s">
        <v>82</v>
      </c>
      <c r="J89" t="s">
        <v>52</v>
      </c>
      <c r="K89" s="15">
        <v>500</v>
      </c>
      <c r="L89" s="15">
        <v>0</v>
      </c>
      <c r="M89" s="13">
        <v>44894</v>
      </c>
      <c r="O89">
        <v>0</v>
      </c>
      <c r="P89">
        <v>0</v>
      </c>
      <c r="Q89">
        <v>0</v>
      </c>
      <c r="R89">
        <v>470</v>
      </c>
      <c r="S89">
        <v>8707.7059616438364</v>
      </c>
      <c r="T89">
        <v>0</v>
      </c>
      <c r="U89">
        <v>0</v>
      </c>
      <c r="V89">
        <v>29483.42</v>
      </c>
      <c r="W89">
        <v>0</v>
      </c>
      <c r="X89">
        <v>0</v>
      </c>
      <c r="Y89">
        <v>38661.125961643833</v>
      </c>
      <c r="Z89">
        <v>0</v>
      </c>
      <c r="AA89">
        <v>38661.125961643833</v>
      </c>
      <c r="AB89" t="s">
        <v>242</v>
      </c>
      <c r="AC89">
        <v>1</v>
      </c>
      <c r="AD89">
        <v>500</v>
      </c>
      <c r="AE89">
        <v>0</v>
      </c>
      <c r="AF89">
        <v>0</v>
      </c>
      <c r="AG89">
        <v>0</v>
      </c>
      <c r="AH89" t="s">
        <v>72</v>
      </c>
    </row>
    <row r="90" spans="1:34" x14ac:dyDescent="0.3">
      <c r="A90" t="s">
        <v>798</v>
      </c>
      <c r="B90">
        <v>12200055</v>
      </c>
      <c r="C90" t="s">
        <v>336</v>
      </c>
      <c r="D90" t="s">
        <v>378</v>
      </c>
      <c r="E90" t="s">
        <v>436</v>
      </c>
      <c r="F90" t="s">
        <v>427</v>
      </c>
      <c r="G90" t="s">
        <v>417</v>
      </c>
      <c r="H90" t="s">
        <v>82</v>
      </c>
      <c r="J90" t="s">
        <v>52</v>
      </c>
      <c r="K90" s="15">
        <v>120000</v>
      </c>
      <c r="L90" s="15">
        <v>0</v>
      </c>
      <c r="M90" s="13">
        <v>44894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242</v>
      </c>
      <c r="AC90">
        <v>1</v>
      </c>
      <c r="AD90">
        <v>120000</v>
      </c>
      <c r="AE90">
        <v>0</v>
      </c>
      <c r="AF90">
        <v>0</v>
      </c>
      <c r="AG90">
        <v>0</v>
      </c>
      <c r="AH90" t="s">
        <v>58</v>
      </c>
    </row>
    <row r="91" spans="1:34" x14ac:dyDescent="0.3">
      <c r="A91" t="s">
        <v>798</v>
      </c>
      <c r="B91">
        <v>62200113</v>
      </c>
      <c r="C91" t="s">
        <v>606</v>
      </c>
      <c r="D91" t="s">
        <v>81</v>
      </c>
      <c r="E91" t="s">
        <v>435</v>
      </c>
      <c r="F91" t="s">
        <v>432</v>
      </c>
      <c r="G91" t="s">
        <v>82</v>
      </c>
      <c r="H91" t="s">
        <v>82</v>
      </c>
      <c r="J91" t="s">
        <v>52</v>
      </c>
      <c r="K91" s="15">
        <v>300</v>
      </c>
      <c r="M91" s="13">
        <v>44894</v>
      </c>
      <c r="O91">
        <v>0</v>
      </c>
      <c r="P91">
        <v>0</v>
      </c>
      <c r="Q91">
        <v>0</v>
      </c>
      <c r="R91">
        <v>1311</v>
      </c>
      <c r="S91">
        <v>18967.842411355625</v>
      </c>
      <c r="T91">
        <v>0</v>
      </c>
      <c r="U91">
        <v>0</v>
      </c>
      <c r="V91">
        <v>27082.078235584424</v>
      </c>
      <c r="W91">
        <v>0</v>
      </c>
      <c r="X91">
        <v>0</v>
      </c>
      <c r="Y91">
        <v>47360.920646940052</v>
      </c>
      <c r="Z91">
        <v>0</v>
      </c>
      <c r="AA91">
        <v>47360.920646940052</v>
      </c>
      <c r="AB91" t="s">
        <v>242</v>
      </c>
      <c r="AC91">
        <v>1</v>
      </c>
      <c r="AD91">
        <v>300</v>
      </c>
      <c r="AE91">
        <v>0</v>
      </c>
      <c r="AF91">
        <v>0</v>
      </c>
      <c r="AG91">
        <v>0</v>
      </c>
      <c r="AH91" t="s">
        <v>72</v>
      </c>
    </row>
    <row r="92" spans="1:34" x14ac:dyDescent="0.3">
      <c r="A92" t="s">
        <v>798</v>
      </c>
      <c r="B92">
        <v>22200010</v>
      </c>
      <c r="C92">
        <v>18928437</v>
      </c>
      <c r="D92" t="s">
        <v>85</v>
      </c>
      <c r="E92" t="s">
        <v>435</v>
      </c>
      <c r="F92" t="s">
        <v>428</v>
      </c>
      <c r="G92" t="s">
        <v>82</v>
      </c>
      <c r="H92" t="s">
        <v>82</v>
      </c>
      <c r="J92" t="s">
        <v>52</v>
      </c>
      <c r="K92" s="15">
        <v>500</v>
      </c>
      <c r="L92" s="15">
        <v>0</v>
      </c>
      <c r="M92" s="13">
        <v>44895</v>
      </c>
      <c r="O92">
        <v>0</v>
      </c>
      <c r="P92">
        <v>0</v>
      </c>
      <c r="Q92">
        <v>0</v>
      </c>
      <c r="R92">
        <v>971</v>
      </c>
      <c r="S92">
        <v>7460.76186550685</v>
      </c>
      <c r="T92">
        <v>0</v>
      </c>
      <c r="U92">
        <v>0</v>
      </c>
      <c r="V92">
        <v>18637.990000000002</v>
      </c>
      <c r="W92">
        <v>0</v>
      </c>
      <c r="X92">
        <v>0</v>
      </c>
      <c r="Y92">
        <v>27069.751865506852</v>
      </c>
      <c r="Z92">
        <v>0</v>
      </c>
      <c r="AA92">
        <v>27069.751865506852</v>
      </c>
      <c r="AB92" t="s">
        <v>242</v>
      </c>
      <c r="AC92">
        <v>2</v>
      </c>
      <c r="AD92">
        <v>1000</v>
      </c>
      <c r="AE92">
        <v>0</v>
      </c>
      <c r="AF92">
        <v>0</v>
      </c>
      <c r="AG92">
        <v>0</v>
      </c>
      <c r="AH92" t="s">
        <v>58</v>
      </c>
    </row>
    <row r="93" spans="1:34" x14ac:dyDescent="0.3">
      <c r="A93" t="s">
        <v>798</v>
      </c>
      <c r="B93">
        <v>22200070</v>
      </c>
      <c r="C93">
        <v>20608378</v>
      </c>
      <c r="D93" t="s">
        <v>817</v>
      </c>
      <c r="E93" t="s">
        <v>435</v>
      </c>
      <c r="F93" t="s">
        <v>428</v>
      </c>
      <c r="G93" t="s">
        <v>82</v>
      </c>
      <c r="H93" t="s">
        <v>82</v>
      </c>
      <c r="J93" t="s">
        <v>52</v>
      </c>
      <c r="K93" s="15">
        <v>300</v>
      </c>
      <c r="L93" s="15">
        <v>0</v>
      </c>
      <c r="M93" s="13">
        <v>44895</v>
      </c>
      <c r="O93">
        <v>0</v>
      </c>
      <c r="P93">
        <v>0</v>
      </c>
      <c r="Q93">
        <v>0</v>
      </c>
      <c r="R93">
        <v>1491</v>
      </c>
      <c r="S93">
        <v>2325.0903958904109</v>
      </c>
      <c r="T93">
        <v>0</v>
      </c>
      <c r="U93">
        <v>0</v>
      </c>
      <c r="V93">
        <v>7055.98</v>
      </c>
      <c r="W93">
        <v>0</v>
      </c>
      <c r="X93">
        <v>0</v>
      </c>
      <c r="Y93">
        <v>10872.070395890411</v>
      </c>
      <c r="Z93">
        <v>0</v>
      </c>
      <c r="AA93">
        <v>10872.070395890411</v>
      </c>
      <c r="AB93" t="s">
        <v>242</v>
      </c>
      <c r="AC93">
        <v>1</v>
      </c>
      <c r="AD93">
        <v>300</v>
      </c>
      <c r="AE93">
        <v>0</v>
      </c>
      <c r="AF93">
        <v>0</v>
      </c>
      <c r="AG93">
        <v>0</v>
      </c>
      <c r="AH93" t="s">
        <v>72</v>
      </c>
    </row>
    <row r="94" spans="1:34" x14ac:dyDescent="0.3">
      <c r="A94" t="s">
        <v>798</v>
      </c>
      <c r="B94">
        <v>32200060</v>
      </c>
      <c r="C94">
        <v>20609000</v>
      </c>
      <c r="D94" t="s">
        <v>817</v>
      </c>
      <c r="E94" t="s">
        <v>435</v>
      </c>
      <c r="F94" t="s">
        <v>429</v>
      </c>
      <c r="G94" t="s">
        <v>82</v>
      </c>
      <c r="H94" t="s">
        <v>82</v>
      </c>
      <c r="J94" t="s">
        <v>52</v>
      </c>
      <c r="K94" s="15">
        <v>300</v>
      </c>
      <c r="L94" s="15">
        <v>0</v>
      </c>
      <c r="M94" s="13">
        <v>44895</v>
      </c>
      <c r="O94">
        <v>0</v>
      </c>
      <c r="P94">
        <v>0</v>
      </c>
      <c r="Q94">
        <v>0</v>
      </c>
      <c r="R94">
        <v>1391</v>
      </c>
      <c r="S94">
        <v>1970.1638136986301</v>
      </c>
      <c r="T94">
        <v>0</v>
      </c>
      <c r="U94">
        <v>0</v>
      </c>
      <c r="V94">
        <v>5293.8</v>
      </c>
      <c r="W94">
        <v>0</v>
      </c>
      <c r="X94">
        <v>0</v>
      </c>
      <c r="Y94">
        <v>8654.9638136986305</v>
      </c>
      <c r="Z94">
        <v>0</v>
      </c>
      <c r="AA94">
        <v>8654.9638136986305</v>
      </c>
      <c r="AB94" t="s">
        <v>242</v>
      </c>
      <c r="AC94">
        <v>1</v>
      </c>
      <c r="AD94">
        <v>300</v>
      </c>
      <c r="AE94">
        <v>0</v>
      </c>
      <c r="AF94">
        <v>0</v>
      </c>
      <c r="AG94">
        <v>0</v>
      </c>
      <c r="AH94" t="s">
        <v>72</v>
      </c>
    </row>
    <row r="95" spans="1:34" x14ac:dyDescent="0.3">
      <c r="A95" t="s">
        <v>798</v>
      </c>
      <c r="B95">
        <v>52200239</v>
      </c>
      <c r="C95">
        <v>25091589</v>
      </c>
      <c r="D95" t="s">
        <v>844</v>
      </c>
      <c r="E95" t="s">
        <v>436</v>
      </c>
      <c r="F95" t="s">
        <v>431</v>
      </c>
      <c r="G95" t="s">
        <v>82</v>
      </c>
      <c r="H95" t="s">
        <v>83</v>
      </c>
      <c r="J95" t="s">
        <v>52</v>
      </c>
      <c r="K95" s="15">
        <v>2500</v>
      </c>
      <c r="L95" s="15">
        <v>0</v>
      </c>
      <c r="M95" s="13">
        <v>44895</v>
      </c>
      <c r="O95">
        <v>0</v>
      </c>
      <c r="P95">
        <v>0</v>
      </c>
      <c r="Q95">
        <v>0</v>
      </c>
      <c r="R95">
        <v>963.51122215445196</v>
      </c>
      <c r="S95">
        <v>36007.890016852762</v>
      </c>
      <c r="T95">
        <v>0</v>
      </c>
      <c r="U95">
        <v>0</v>
      </c>
      <c r="V95">
        <v>54126.211626342912</v>
      </c>
      <c r="W95">
        <v>0</v>
      </c>
      <c r="X95">
        <v>0</v>
      </c>
      <c r="Y95">
        <v>91097.612865350122</v>
      </c>
      <c r="Z95">
        <v>6309.3871150236973</v>
      </c>
      <c r="AA95">
        <v>97406.999980373817</v>
      </c>
      <c r="AB95" t="s">
        <v>242</v>
      </c>
      <c r="AC95">
        <v>1</v>
      </c>
      <c r="AD95">
        <v>2500</v>
      </c>
      <c r="AE95">
        <v>0</v>
      </c>
      <c r="AF95">
        <v>0</v>
      </c>
      <c r="AG95">
        <v>161.81849116898275</v>
      </c>
      <c r="AH95" t="s">
        <v>72</v>
      </c>
    </row>
    <row r="96" spans="1:34" x14ac:dyDescent="0.3">
      <c r="A96" t="s">
        <v>798</v>
      </c>
      <c r="B96">
        <v>52200268</v>
      </c>
      <c r="C96">
        <v>26370050</v>
      </c>
      <c r="D96" t="s">
        <v>845</v>
      </c>
      <c r="E96" t="s">
        <v>436</v>
      </c>
      <c r="F96" t="s">
        <v>431</v>
      </c>
      <c r="G96" t="s">
        <v>82</v>
      </c>
      <c r="H96" t="s">
        <v>83</v>
      </c>
      <c r="J96" t="s">
        <v>52</v>
      </c>
      <c r="K96" s="15">
        <v>2300</v>
      </c>
      <c r="L96" s="15">
        <v>0</v>
      </c>
      <c r="M96" s="13">
        <v>44895</v>
      </c>
      <c r="O96">
        <v>0</v>
      </c>
      <c r="P96">
        <v>0</v>
      </c>
      <c r="Q96">
        <v>0</v>
      </c>
      <c r="R96">
        <v>1010.57514024003</v>
      </c>
      <c r="S96">
        <v>24753.283024668679</v>
      </c>
      <c r="T96">
        <v>0</v>
      </c>
      <c r="U96">
        <v>0</v>
      </c>
      <c r="V96">
        <v>56155.524931435059</v>
      </c>
      <c r="W96">
        <v>0</v>
      </c>
      <c r="X96">
        <v>0</v>
      </c>
      <c r="Y96">
        <v>81919.383096343765</v>
      </c>
      <c r="Z96">
        <v>5663.6165569272616</v>
      </c>
      <c r="AA96">
        <v>87582.999653271021</v>
      </c>
      <c r="AB96" t="s">
        <v>242</v>
      </c>
      <c r="AC96">
        <v>1</v>
      </c>
      <c r="AD96">
        <v>2300</v>
      </c>
      <c r="AE96">
        <v>0</v>
      </c>
      <c r="AF96">
        <v>0</v>
      </c>
      <c r="AG96">
        <v>148.60771945495526</v>
      </c>
      <c r="AH96" t="s">
        <v>72</v>
      </c>
    </row>
    <row r="97" spans="1:34" x14ac:dyDescent="0.3">
      <c r="A97" t="s">
        <v>798</v>
      </c>
      <c r="B97">
        <v>52200412</v>
      </c>
      <c r="C97">
        <v>25145601</v>
      </c>
      <c r="D97" t="s">
        <v>86</v>
      </c>
      <c r="E97" t="s">
        <v>436</v>
      </c>
      <c r="F97" t="s">
        <v>431</v>
      </c>
      <c r="G97" t="s">
        <v>82</v>
      </c>
      <c r="H97" t="s">
        <v>83</v>
      </c>
      <c r="J97" t="s">
        <v>52</v>
      </c>
      <c r="K97" s="15">
        <v>500</v>
      </c>
      <c r="L97" s="15">
        <v>0</v>
      </c>
      <c r="M97" s="13">
        <v>44895</v>
      </c>
      <c r="O97">
        <v>0</v>
      </c>
      <c r="P97">
        <v>0</v>
      </c>
      <c r="Q97">
        <v>0</v>
      </c>
      <c r="R97">
        <v>885.86720036965619</v>
      </c>
      <c r="S97">
        <v>32824.982356192217</v>
      </c>
      <c r="T97">
        <v>0</v>
      </c>
      <c r="U97">
        <v>0</v>
      </c>
      <c r="V97">
        <v>52616.263104201244</v>
      </c>
      <c r="W97">
        <v>0</v>
      </c>
      <c r="X97">
        <v>0</v>
      </c>
      <c r="Y97">
        <v>86327.112660763116</v>
      </c>
      <c r="Z97">
        <v>5980.8871822275432</v>
      </c>
      <c r="AA97">
        <v>92307.999842990655</v>
      </c>
      <c r="AB97" t="s">
        <v>242</v>
      </c>
      <c r="AC97">
        <v>1</v>
      </c>
      <c r="AD97">
        <v>500</v>
      </c>
      <c r="AE97">
        <v>0</v>
      </c>
      <c r="AF97">
        <v>0</v>
      </c>
      <c r="AG97">
        <v>32.374489743809306</v>
      </c>
      <c r="AH97" t="s">
        <v>72</v>
      </c>
    </row>
    <row r="98" spans="1:34" x14ac:dyDescent="0.3">
      <c r="A98" t="s">
        <v>798</v>
      </c>
      <c r="B98">
        <v>32200011</v>
      </c>
      <c r="C98" t="s">
        <v>243</v>
      </c>
      <c r="D98" t="s">
        <v>315</v>
      </c>
      <c r="E98" t="s">
        <v>435</v>
      </c>
      <c r="F98" t="s">
        <v>429</v>
      </c>
      <c r="G98" t="s">
        <v>82</v>
      </c>
      <c r="H98" t="s">
        <v>82</v>
      </c>
      <c r="J98" t="s">
        <v>52</v>
      </c>
      <c r="K98" s="15">
        <v>2500</v>
      </c>
      <c r="L98" s="15">
        <v>0</v>
      </c>
      <c r="M98" s="13">
        <v>44895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4766.7036757041096</v>
      </c>
      <c r="W98">
        <v>0</v>
      </c>
      <c r="X98">
        <v>0</v>
      </c>
      <c r="Y98">
        <v>4766.7036757041096</v>
      </c>
      <c r="Z98">
        <v>0</v>
      </c>
      <c r="AA98">
        <v>4766.7036757041096</v>
      </c>
      <c r="AB98" t="s">
        <v>242</v>
      </c>
      <c r="AC98">
        <v>5</v>
      </c>
      <c r="AD98">
        <v>8500</v>
      </c>
      <c r="AE98">
        <v>0</v>
      </c>
      <c r="AF98">
        <v>0</v>
      </c>
      <c r="AG98">
        <v>0</v>
      </c>
      <c r="AH98" t="s">
        <v>58</v>
      </c>
    </row>
    <row r="99" spans="1:34" x14ac:dyDescent="0.3">
      <c r="A99" t="s">
        <v>798</v>
      </c>
      <c r="B99">
        <v>22200039</v>
      </c>
      <c r="C99" t="s">
        <v>340</v>
      </c>
      <c r="D99" t="s">
        <v>382</v>
      </c>
      <c r="E99" t="s">
        <v>435</v>
      </c>
      <c r="F99" t="s">
        <v>428</v>
      </c>
      <c r="G99" t="s">
        <v>82</v>
      </c>
      <c r="H99" t="s">
        <v>82</v>
      </c>
      <c r="J99" t="s">
        <v>52</v>
      </c>
      <c r="K99" s="15">
        <v>1000</v>
      </c>
      <c r="L99" s="15">
        <v>0</v>
      </c>
      <c r="M99" s="13">
        <v>44895</v>
      </c>
      <c r="O99">
        <v>0</v>
      </c>
      <c r="P99">
        <v>0</v>
      </c>
      <c r="Q99">
        <v>0</v>
      </c>
      <c r="R99">
        <v>0</v>
      </c>
      <c r="S99">
        <v>5488.6380799999997</v>
      </c>
      <c r="T99">
        <v>0</v>
      </c>
      <c r="U99">
        <v>0</v>
      </c>
      <c r="V99">
        <v>14495.68</v>
      </c>
      <c r="W99">
        <v>0</v>
      </c>
      <c r="X99">
        <v>0</v>
      </c>
      <c r="Y99">
        <v>19984.318080000001</v>
      </c>
      <c r="Z99">
        <v>0</v>
      </c>
      <c r="AA99">
        <v>19984.318080000001</v>
      </c>
      <c r="AB99" t="s">
        <v>242</v>
      </c>
      <c r="AC99">
        <v>3</v>
      </c>
      <c r="AD99">
        <v>3000</v>
      </c>
      <c r="AE99">
        <v>0</v>
      </c>
      <c r="AF99">
        <v>0</v>
      </c>
      <c r="AG99">
        <v>0</v>
      </c>
      <c r="AH99" t="s">
        <v>58</v>
      </c>
    </row>
    <row r="100" spans="1:34" x14ac:dyDescent="0.3">
      <c r="A100" t="s">
        <v>798</v>
      </c>
      <c r="B100">
        <v>52200174</v>
      </c>
      <c r="C100" t="s">
        <v>457</v>
      </c>
      <c r="D100" t="s">
        <v>526</v>
      </c>
      <c r="E100" t="s">
        <v>436</v>
      </c>
      <c r="F100" t="s">
        <v>431</v>
      </c>
      <c r="G100" t="s">
        <v>82</v>
      </c>
      <c r="H100" t="s">
        <v>83</v>
      </c>
      <c r="J100" t="s">
        <v>52</v>
      </c>
      <c r="K100" s="15">
        <v>20000</v>
      </c>
      <c r="L100" s="15">
        <v>0</v>
      </c>
      <c r="M100" s="13">
        <v>44895</v>
      </c>
      <c r="O100">
        <v>0</v>
      </c>
      <c r="P100">
        <v>0</v>
      </c>
      <c r="Q100">
        <v>0</v>
      </c>
      <c r="R100">
        <v>617.28494061265394</v>
      </c>
      <c r="S100">
        <v>2703.4589968944529</v>
      </c>
      <c r="T100">
        <v>0</v>
      </c>
      <c r="U100">
        <v>0</v>
      </c>
      <c r="V100">
        <v>53157.956885317501</v>
      </c>
      <c r="W100">
        <v>0</v>
      </c>
      <c r="X100">
        <v>0</v>
      </c>
      <c r="Y100">
        <v>56478.700822824605</v>
      </c>
      <c r="Z100">
        <v>3910.2991117548368</v>
      </c>
      <c r="AA100">
        <v>60388.999934579442</v>
      </c>
      <c r="AB100" t="s">
        <v>242</v>
      </c>
      <c r="AC100">
        <v>1</v>
      </c>
      <c r="AD100">
        <v>20000</v>
      </c>
      <c r="AE100">
        <v>0</v>
      </c>
      <c r="AF100">
        <v>0</v>
      </c>
      <c r="AG100">
        <v>1293.7756503204546</v>
      </c>
      <c r="AH100" t="s">
        <v>72</v>
      </c>
    </row>
    <row r="101" spans="1:34" x14ac:dyDescent="0.3">
      <c r="A101" t="s">
        <v>798</v>
      </c>
      <c r="B101">
        <v>82200034</v>
      </c>
      <c r="C101" t="s">
        <v>107</v>
      </c>
      <c r="D101" t="s">
        <v>536</v>
      </c>
      <c r="E101" t="s">
        <v>440</v>
      </c>
      <c r="F101" t="s">
        <v>433</v>
      </c>
      <c r="G101" t="s">
        <v>82</v>
      </c>
      <c r="H101" t="s">
        <v>83</v>
      </c>
      <c r="J101" t="s">
        <v>52</v>
      </c>
      <c r="K101" s="15">
        <v>8000</v>
      </c>
      <c r="L101" s="15">
        <v>0</v>
      </c>
      <c r="M101" s="13">
        <v>44895</v>
      </c>
      <c r="O101">
        <v>0</v>
      </c>
      <c r="P101">
        <v>0</v>
      </c>
      <c r="Q101">
        <v>61097.350194386221</v>
      </c>
      <c r="R101">
        <v>36551.300000000003</v>
      </c>
      <c r="S101">
        <v>111134.94533234932</v>
      </c>
      <c r="T101">
        <v>0</v>
      </c>
      <c r="U101">
        <v>0</v>
      </c>
      <c r="V101">
        <v>567309.68000000005</v>
      </c>
      <c r="W101">
        <v>0</v>
      </c>
      <c r="X101">
        <v>0</v>
      </c>
      <c r="Y101">
        <v>776093.27552673558</v>
      </c>
      <c r="Z101">
        <v>47491.123773264459</v>
      </c>
      <c r="AA101">
        <v>823584.39930000005</v>
      </c>
      <c r="AB101" t="s">
        <v>242</v>
      </c>
      <c r="AC101">
        <v>1</v>
      </c>
      <c r="AD101">
        <v>8000</v>
      </c>
      <c r="AE101">
        <v>0</v>
      </c>
      <c r="AF101">
        <v>0</v>
      </c>
      <c r="AG101">
        <v>457.47552673554674</v>
      </c>
      <c r="AH101" t="s">
        <v>72</v>
      </c>
    </row>
    <row r="102" spans="1:34" x14ac:dyDescent="0.3">
      <c r="A102" t="s">
        <v>798</v>
      </c>
      <c r="B102">
        <v>2200009</v>
      </c>
      <c r="C102">
        <v>19887094</v>
      </c>
      <c r="D102" t="s">
        <v>77</v>
      </c>
      <c r="E102" t="s">
        <v>435</v>
      </c>
      <c r="F102" t="s">
        <v>426</v>
      </c>
      <c r="G102" t="s">
        <v>82</v>
      </c>
      <c r="H102" t="s">
        <v>82</v>
      </c>
      <c r="J102" t="s">
        <v>52</v>
      </c>
      <c r="K102" s="15">
        <v>900</v>
      </c>
      <c r="L102" s="15">
        <v>0</v>
      </c>
      <c r="M102" s="13">
        <v>44896</v>
      </c>
      <c r="O102">
        <v>0</v>
      </c>
      <c r="P102">
        <v>0</v>
      </c>
      <c r="Q102">
        <v>0</v>
      </c>
      <c r="R102">
        <v>0</v>
      </c>
      <c r="S102">
        <v>22401.616180538298</v>
      </c>
      <c r="T102">
        <v>0</v>
      </c>
      <c r="U102">
        <v>0</v>
      </c>
      <c r="V102">
        <v>107102.9400910782</v>
      </c>
      <c r="W102">
        <v>0</v>
      </c>
      <c r="X102">
        <v>0</v>
      </c>
      <c r="Y102">
        <v>129504.5562716165</v>
      </c>
      <c r="Z102">
        <v>0</v>
      </c>
      <c r="AA102">
        <v>129504.5562716165</v>
      </c>
      <c r="AB102" t="s">
        <v>242</v>
      </c>
      <c r="AC102">
        <v>5</v>
      </c>
      <c r="AD102">
        <v>4500</v>
      </c>
      <c r="AE102">
        <v>0</v>
      </c>
      <c r="AF102">
        <v>0</v>
      </c>
      <c r="AG102">
        <v>0</v>
      </c>
      <c r="AH102" t="s">
        <v>58</v>
      </c>
    </row>
    <row r="103" spans="1:34" x14ac:dyDescent="0.3">
      <c r="A103" t="s">
        <v>798</v>
      </c>
      <c r="B103">
        <v>12200047</v>
      </c>
      <c r="C103">
        <v>25275500</v>
      </c>
      <c r="D103" t="s">
        <v>88</v>
      </c>
      <c r="E103" t="s">
        <v>436</v>
      </c>
      <c r="F103" t="s">
        <v>427</v>
      </c>
      <c r="G103" t="s">
        <v>82</v>
      </c>
      <c r="H103" t="s">
        <v>82</v>
      </c>
      <c r="J103" t="s">
        <v>52</v>
      </c>
      <c r="K103" s="15">
        <v>1000</v>
      </c>
      <c r="L103" s="15">
        <v>0</v>
      </c>
      <c r="M103" s="13">
        <v>44896</v>
      </c>
      <c r="O103">
        <v>0</v>
      </c>
      <c r="P103">
        <v>0</v>
      </c>
      <c r="Q103">
        <v>0</v>
      </c>
      <c r="R103">
        <v>387</v>
      </c>
      <c r="S103">
        <v>57914.279504387319</v>
      </c>
      <c r="T103">
        <v>0</v>
      </c>
      <c r="U103">
        <v>0</v>
      </c>
      <c r="V103">
        <v>278431.83561643836</v>
      </c>
      <c r="W103">
        <v>0</v>
      </c>
      <c r="X103">
        <v>0</v>
      </c>
      <c r="Y103">
        <v>336733.11512082571</v>
      </c>
      <c r="Z103">
        <v>0</v>
      </c>
      <c r="AA103">
        <v>336733.11512082571</v>
      </c>
      <c r="AB103" t="s">
        <v>242</v>
      </c>
      <c r="AC103">
        <v>1</v>
      </c>
      <c r="AD103">
        <v>1000</v>
      </c>
      <c r="AE103">
        <v>0</v>
      </c>
      <c r="AF103">
        <v>0</v>
      </c>
      <c r="AG103">
        <v>0</v>
      </c>
      <c r="AH103" t="s">
        <v>72</v>
      </c>
    </row>
    <row r="104" spans="1:34" x14ac:dyDescent="0.3">
      <c r="A104" t="s">
        <v>798</v>
      </c>
      <c r="B104">
        <v>62200005</v>
      </c>
      <c r="C104">
        <v>19887124</v>
      </c>
      <c r="D104" t="s">
        <v>77</v>
      </c>
      <c r="E104" t="s">
        <v>435</v>
      </c>
      <c r="F104" t="s">
        <v>432</v>
      </c>
      <c r="G104" t="s">
        <v>82</v>
      </c>
      <c r="H104" t="s">
        <v>82</v>
      </c>
      <c r="J104" t="s">
        <v>52</v>
      </c>
      <c r="K104" s="15">
        <v>1800</v>
      </c>
      <c r="L104" s="15">
        <v>0</v>
      </c>
      <c r="M104" s="13">
        <v>44896</v>
      </c>
      <c r="O104">
        <v>0</v>
      </c>
      <c r="P104">
        <v>0</v>
      </c>
      <c r="Q104">
        <v>0</v>
      </c>
      <c r="R104">
        <v>0</v>
      </c>
      <c r="S104">
        <v>17425.601058092285</v>
      </c>
      <c r="T104">
        <v>0</v>
      </c>
      <c r="U104">
        <v>0</v>
      </c>
      <c r="V104">
        <v>59598.02512483739</v>
      </c>
      <c r="W104">
        <v>0</v>
      </c>
      <c r="X104">
        <v>0</v>
      </c>
      <c r="Y104">
        <v>77023.626182929671</v>
      </c>
      <c r="Z104">
        <v>0</v>
      </c>
      <c r="AA104">
        <v>77023.626182929671</v>
      </c>
      <c r="AB104" t="s">
        <v>242</v>
      </c>
      <c r="AC104">
        <v>5</v>
      </c>
      <c r="AD104">
        <v>9000</v>
      </c>
      <c r="AE104">
        <v>0</v>
      </c>
      <c r="AF104">
        <v>0</v>
      </c>
      <c r="AG104">
        <v>0</v>
      </c>
      <c r="AH104" t="s">
        <v>58</v>
      </c>
    </row>
    <row r="105" spans="1:34" x14ac:dyDescent="0.3">
      <c r="A105" t="s">
        <v>798</v>
      </c>
      <c r="B105">
        <v>62200006</v>
      </c>
      <c r="C105">
        <v>19887213</v>
      </c>
      <c r="D105" t="s">
        <v>77</v>
      </c>
      <c r="E105" t="s">
        <v>435</v>
      </c>
      <c r="F105" t="s">
        <v>432</v>
      </c>
      <c r="G105" t="s">
        <v>82</v>
      </c>
      <c r="H105" t="s">
        <v>82</v>
      </c>
      <c r="J105" t="s">
        <v>52</v>
      </c>
      <c r="K105" s="15">
        <v>1800</v>
      </c>
      <c r="L105" s="15">
        <v>0</v>
      </c>
      <c r="M105" s="13">
        <v>44896</v>
      </c>
      <c r="O105">
        <v>0</v>
      </c>
      <c r="P105">
        <v>0</v>
      </c>
      <c r="Q105">
        <v>0</v>
      </c>
      <c r="R105">
        <v>0</v>
      </c>
      <c r="S105">
        <v>7404.9954212797929</v>
      </c>
      <c r="T105">
        <v>0</v>
      </c>
      <c r="U105">
        <v>0</v>
      </c>
      <c r="V105">
        <v>29690.410958904111</v>
      </c>
      <c r="W105">
        <v>0</v>
      </c>
      <c r="X105">
        <v>0</v>
      </c>
      <c r="Y105">
        <v>37095.406380183907</v>
      </c>
      <c r="Z105">
        <v>0</v>
      </c>
      <c r="AA105">
        <v>37095.406380183907</v>
      </c>
      <c r="AB105" t="s">
        <v>242</v>
      </c>
      <c r="AC105">
        <v>5</v>
      </c>
      <c r="AD105">
        <v>9000</v>
      </c>
      <c r="AE105">
        <v>0</v>
      </c>
      <c r="AF105">
        <v>0</v>
      </c>
      <c r="AG105">
        <v>0</v>
      </c>
      <c r="AH105" t="s">
        <v>58</v>
      </c>
    </row>
    <row r="106" spans="1:34" x14ac:dyDescent="0.3">
      <c r="A106" t="s">
        <v>798</v>
      </c>
      <c r="B106">
        <v>62200115</v>
      </c>
      <c r="C106">
        <v>25275925</v>
      </c>
      <c r="D106" t="s">
        <v>88</v>
      </c>
      <c r="E106" t="s">
        <v>436</v>
      </c>
      <c r="F106" t="s">
        <v>432</v>
      </c>
      <c r="G106" t="s">
        <v>82</v>
      </c>
      <c r="H106" t="s">
        <v>82</v>
      </c>
      <c r="J106" t="s">
        <v>52</v>
      </c>
      <c r="K106" s="15">
        <v>1000</v>
      </c>
      <c r="L106" s="15">
        <v>0</v>
      </c>
      <c r="M106" s="13">
        <v>44896</v>
      </c>
      <c r="O106">
        <v>0</v>
      </c>
      <c r="P106">
        <v>0</v>
      </c>
      <c r="Q106">
        <v>0</v>
      </c>
      <c r="R106">
        <v>142</v>
      </c>
      <c r="S106">
        <v>8162.74114699457</v>
      </c>
      <c r="T106">
        <v>0</v>
      </c>
      <c r="U106">
        <v>0</v>
      </c>
      <c r="V106">
        <v>29072.994912695332</v>
      </c>
      <c r="W106">
        <v>0</v>
      </c>
      <c r="X106">
        <v>0</v>
      </c>
      <c r="Y106">
        <v>37377.736059689902</v>
      </c>
      <c r="Z106">
        <v>0</v>
      </c>
      <c r="AA106">
        <v>37377.736059689902</v>
      </c>
      <c r="AB106" t="s">
        <v>242</v>
      </c>
      <c r="AC106">
        <v>1</v>
      </c>
      <c r="AD106">
        <v>1000</v>
      </c>
      <c r="AE106">
        <v>0</v>
      </c>
      <c r="AF106">
        <v>0</v>
      </c>
      <c r="AG106">
        <v>0</v>
      </c>
      <c r="AH106" t="s">
        <v>72</v>
      </c>
    </row>
    <row r="107" spans="1:34" x14ac:dyDescent="0.3">
      <c r="A107" t="s">
        <v>798</v>
      </c>
      <c r="B107">
        <v>82200027</v>
      </c>
      <c r="C107" t="s">
        <v>110</v>
      </c>
      <c r="D107" t="s">
        <v>535</v>
      </c>
      <c r="E107" t="s">
        <v>440</v>
      </c>
      <c r="F107" t="s">
        <v>433</v>
      </c>
      <c r="G107" t="s">
        <v>82</v>
      </c>
      <c r="H107" t="s">
        <v>83</v>
      </c>
      <c r="J107" t="s">
        <v>52</v>
      </c>
      <c r="K107" s="15">
        <v>20000</v>
      </c>
      <c r="L107" s="15">
        <v>0</v>
      </c>
      <c r="M107" s="13">
        <v>44896</v>
      </c>
      <c r="O107">
        <v>0</v>
      </c>
      <c r="P107">
        <v>0</v>
      </c>
      <c r="Q107">
        <v>81944.929154736805</v>
      </c>
      <c r="R107">
        <v>45329.380000000005</v>
      </c>
      <c r="S107">
        <v>217310.69350024601</v>
      </c>
      <c r="T107">
        <v>0</v>
      </c>
      <c r="U107">
        <v>0</v>
      </c>
      <c r="V107">
        <v>1284340.32</v>
      </c>
      <c r="W107">
        <v>0</v>
      </c>
      <c r="X107">
        <v>0</v>
      </c>
      <c r="Y107">
        <v>1628925.322654983</v>
      </c>
      <c r="Z107">
        <v>105115.57094501723</v>
      </c>
      <c r="AA107">
        <v>1734040.8936000003</v>
      </c>
      <c r="AB107" t="s">
        <v>242</v>
      </c>
      <c r="AC107">
        <v>3</v>
      </c>
      <c r="AD107">
        <v>112000</v>
      </c>
      <c r="AE107">
        <v>0</v>
      </c>
      <c r="AF107">
        <v>0</v>
      </c>
      <c r="AG107">
        <v>6753.0026549827817</v>
      </c>
      <c r="AH107" t="s">
        <v>58</v>
      </c>
    </row>
    <row r="108" spans="1:34" x14ac:dyDescent="0.3">
      <c r="A108" t="s">
        <v>798</v>
      </c>
      <c r="B108">
        <v>82200006</v>
      </c>
      <c r="C108" t="s">
        <v>109</v>
      </c>
      <c r="D108" t="s">
        <v>532</v>
      </c>
      <c r="E108" t="s">
        <v>440</v>
      </c>
      <c r="F108" t="s">
        <v>433</v>
      </c>
      <c r="G108" t="s">
        <v>82</v>
      </c>
      <c r="H108" t="s">
        <v>83</v>
      </c>
      <c r="J108" t="s">
        <v>52</v>
      </c>
      <c r="K108" s="15">
        <v>16000</v>
      </c>
      <c r="L108" s="15">
        <v>0</v>
      </c>
      <c r="M108" s="13">
        <v>44897</v>
      </c>
      <c r="O108">
        <v>0</v>
      </c>
      <c r="P108">
        <v>0</v>
      </c>
      <c r="Q108">
        <v>35730.883649246665</v>
      </c>
      <c r="R108">
        <v>105608</v>
      </c>
      <c r="S108">
        <v>100803.56051472275</v>
      </c>
      <c r="T108">
        <v>0</v>
      </c>
      <c r="U108">
        <v>0</v>
      </c>
      <c r="V108">
        <v>535382.06000000006</v>
      </c>
      <c r="W108">
        <v>0</v>
      </c>
      <c r="X108">
        <v>0</v>
      </c>
      <c r="Y108">
        <v>777524.50416396942</v>
      </c>
      <c r="Z108">
        <v>44532.9934360306</v>
      </c>
      <c r="AA108">
        <v>822057.4976</v>
      </c>
      <c r="AB108" t="s">
        <v>242</v>
      </c>
      <c r="AC108">
        <v>1</v>
      </c>
      <c r="AD108">
        <v>16000</v>
      </c>
      <c r="AE108">
        <v>0</v>
      </c>
      <c r="AF108">
        <v>0</v>
      </c>
      <c r="AG108">
        <v>856.24416396940796</v>
      </c>
      <c r="AH108" t="s">
        <v>72</v>
      </c>
    </row>
    <row r="109" spans="1:34" x14ac:dyDescent="0.3">
      <c r="A109" t="s">
        <v>798</v>
      </c>
      <c r="B109">
        <v>52200061</v>
      </c>
      <c r="C109">
        <v>28231012</v>
      </c>
      <c r="D109" t="s">
        <v>835</v>
      </c>
      <c r="E109" t="s">
        <v>436</v>
      </c>
      <c r="F109" t="s">
        <v>431</v>
      </c>
      <c r="G109" t="s">
        <v>82</v>
      </c>
      <c r="H109" t="s">
        <v>83</v>
      </c>
      <c r="J109" t="s">
        <v>52</v>
      </c>
      <c r="K109" s="15">
        <v>2000</v>
      </c>
      <c r="L109" s="15">
        <v>0</v>
      </c>
      <c r="M109" s="13">
        <v>44901</v>
      </c>
      <c r="O109">
        <v>0</v>
      </c>
      <c r="P109">
        <v>0</v>
      </c>
      <c r="Q109">
        <v>0</v>
      </c>
      <c r="R109">
        <v>892.61064606615003</v>
      </c>
      <c r="S109">
        <v>17609.748555078364</v>
      </c>
      <c r="T109">
        <v>0</v>
      </c>
      <c r="U109">
        <v>0</v>
      </c>
      <c r="V109">
        <v>57032.675233644863</v>
      </c>
      <c r="W109">
        <v>0</v>
      </c>
      <c r="X109">
        <v>0</v>
      </c>
      <c r="Y109">
        <v>75535.034434789384</v>
      </c>
      <c r="Z109">
        <v>5224.9696652106268</v>
      </c>
      <c r="AA109">
        <v>80760.004100000006</v>
      </c>
      <c r="AB109" t="s">
        <v>242</v>
      </c>
      <c r="AC109">
        <v>2</v>
      </c>
      <c r="AD109">
        <v>4000</v>
      </c>
      <c r="AE109">
        <v>0</v>
      </c>
      <c r="AF109">
        <v>0</v>
      </c>
      <c r="AG109">
        <v>258.58200488283228</v>
      </c>
      <c r="AH109" t="s">
        <v>58</v>
      </c>
    </row>
    <row r="110" spans="1:34" x14ac:dyDescent="0.3">
      <c r="A110" t="s">
        <v>798</v>
      </c>
      <c r="B110">
        <v>52200171</v>
      </c>
      <c r="C110">
        <v>25067959</v>
      </c>
      <c r="D110" t="s">
        <v>841</v>
      </c>
      <c r="E110" t="s">
        <v>436</v>
      </c>
      <c r="F110" t="s">
        <v>431</v>
      </c>
      <c r="G110" t="s">
        <v>82</v>
      </c>
      <c r="H110" t="s">
        <v>83</v>
      </c>
      <c r="J110" t="s">
        <v>52</v>
      </c>
      <c r="K110" s="15">
        <v>1000</v>
      </c>
      <c r="L110" s="15">
        <v>0</v>
      </c>
      <c r="M110" s="13">
        <v>44901</v>
      </c>
      <c r="O110">
        <v>0</v>
      </c>
      <c r="P110">
        <v>0</v>
      </c>
      <c r="Q110">
        <v>0</v>
      </c>
      <c r="R110">
        <v>978.35105838567597</v>
      </c>
      <c r="S110">
        <v>32382.277360055312</v>
      </c>
      <c r="T110">
        <v>0</v>
      </c>
      <c r="U110">
        <v>0</v>
      </c>
      <c r="V110">
        <v>50690.291713686776</v>
      </c>
      <c r="W110">
        <v>0</v>
      </c>
      <c r="X110">
        <v>0</v>
      </c>
      <c r="Y110">
        <v>84050.920132127765</v>
      </c>
      <c r="Z110">
        <v>5815.079835161946</v>
      </c>
      <c r="AA110">
        <v>89865.99996728971</v>
      </c>
      <c r="AB110" t="s">
        <v>242</v>
      </c>
      <c r="AC110">
        <v>1</v>
      </c>
      <c r="AD110">
        <v>1000</v>
      </c>
      <c r="AE110">
        <v>0</v>
      </c>
      <c r="AF110">
        <v>0</v>
      </c>
      <c r="AG110">
        <v>64.658480455137692</v>
      </c>
      <c r="AH110" t="s">
        <v>72</v>
      </c>
    </row>
    <row r="111" spans="1:34" x14ac:dyDescent="0.3">
      <c r="A111" t="s">
        <v>798</v>
      </c>
      <c r="B111">
        <v>82200034</v>
      </c>
      <c r="C111" t="s">
        <v>107</v>
      </c>
      <c r="D111" t="s">
        <v>536</v>
      </c>
      <c r="E111" t="s">
        <v>440</v>
      </c>
      <c r="F111" t="s">
        <v>433</v>
      </c>
      <c r="G111" t="s">
        <v>82</v>
      </c>
      <c r="H111" t="s">
        <v>83</v>
      </c>
      <c r="J111" t="s">
        <v>52</v>
      </c>
      <c r="K111" s="15">
        <v>10000</v>
      </c>
      <c r="L111" s="15">
        <v>0</v>
      </c>
      <c r="M111" s="13">
        <v>44901</v>
      </c>
      <c r="O111">
        <v>0</v>
      </c>
      <c r="P111">
        <v>0</v>
      </c>
      <c r="Q111">
        <v>59839.142537218824</v>
      </c>
      <c r="R111">
        <v>36551.300000000003</v>
      </c>
      <c r="S111">
        <v>102965.04594652445</v>
      </c>
      <c r="T111">
        <v>0</v>
      </c>
      <c r="U111">
        <v>0</v>
      </c>
      <c r="V111">
        <v>567309.68000000005</v>
      </c>
      <c r="W111">
        <v>0</v>
      </c>
      <c r="X111">
        <v>0</v>
      </c>
      <c r="Y111">
        <v>766665.16848374333</v>
      </c>
      <c r="Z111">
        <v>46919.230816256721</v>
      </c>
      <c r="AA111">
        <v>813584.39930000005</v>
      </c>
      <c r="AB111" t="s">
        <v>242</v>
      </c>
      <c r="AC111">
        <v>2</v>
      </c>
      <c r="AD111">
        <v>18000</v>
      </c>
      <c r="AE111">
        <v>0</v>
      </c>
      <c r="AF111">
        <v>0</v>
      </c>
      <c r="AG111">
        <v>1029.3684837432875</v>
      </c>
      <c r="AH111" t="s">
        <v>58</v>
      </c>
    </row>
    <row r="112" spans="1:34" x14ac:dyDescent="0.3">
      <c r="A112" t="s">
        <v>798</v>
      </c>
      <c r="B112">
        <v>52200016</v>
      </c>
      <c r="C112" t="s">
        <v>608</v>
      </c>
      <c r="D112" t="s">
        <v>607</v>
      </c>
      <c r="E112" t="s">
        <v>435</v>
      </c>
      <c r="F112" t="s">
        <v>431</v>
      </c>
      <c r="G112" t="s">
        <v>82</v>
      </c>
      <c r="H112" t="s">
        <v>83</v>
      </c>
      <c r="J112" t="s">
        <v>52</v>
      </c>
      <c r="K112" s="15">
        <v>500</v>
      </c>
      <c r="M112" s="13">
        <v>44901</v>
      </c>
      <c r="O112">
        <v>0</v>
      </c>
      <c r="P112">
        <v>0</v>
      </c>
      <c r="Q112">
        <v>0</v>
      </c>
      <c r="R112">
        <v>738.05165805431568</v>
      </c>
      <c r="S112">
        <v>38158.450319575408</v>
      </c>
      <c r="T112">
        <v>0</v>
      </c>
      <c r="U112">
        <v>0</v>
      </c>
      <c r="V112">
        <v>54599.442803738319</v>
      </c>
      <c r="W112">
        <v>0</v>
      </c>
      <c r="X112">
        <v>0</v>
      </c>
      <c r="Y112">
        <v>93495.944781368045</v>
      </c>
      <c r="Z112">
        <v>6493.0525186319619</v>
      </c>
      <c r="AA112">
        <v>99988.997300000003</v>
      </c>
      <c r="AB112" t="s">
        <v>242</v>
      </c>
      <c r="AC112">
        <v>1</v>
      </c>
      <c r="AD112">
        <v>500</v>
      </c>
      <c r="AE112">
        <v>0</v>
      </c>
      <c r="AF112">
        <v>0</v>
      </c>
      <c r="AG112">
        <v>32.451977629721569</v>
      </c>
      <c r="AH112" t="s">
        <v>72</v>
      </c>
    </row>
    <row r="113" spans="1:34" x14ac:dyDescent="0.3">
      <c r="A113" t="s">
        <v>798</v>
      </c>
      <c r="B113">
        <v>82200001</v>
      </c>
      <c r="C113" t="s">
        <v>246</v>
      </c>
      <c r="D113" t="s">
        <v>595</v>
      </c>
      <c r="E113" t="s">
        <v>440</v>
      </c>
      <c r="F113" t="s">
        <v>433</v>
      </c>
      <c r="G113" t="s">
        <v>82</v>
      </c>
      <c r="H113" t="s">
        <v>83</v>
      </c>
      <c r="J113" t="s">
        <v>52</v>
      </c>
      <c r="K113" s="15">
        <v>20000</v>
      </c>
      <c r="M113" s="13">
        <v>44902</v>
      </c>
      <c r="O113">
        <v>0</v>
      </c>
      <c r="P113">
        <v>0</v>
      </c>
      <c r="Q113">
        <v>119998.59364496711</v>
      </c>
      <c r="R113">
        <v>13743.86</v>
      </c>
      <c r="S113">
        <v>99833.504630871845</v>
      </c>
      <c r="T113">
        <v>0</v>
      </c>
      <c r="U113">
        <v>0</v>
      </c>
      <c r="V113">
        <v>1715376.1</v>
      </c>
      <c r="W113">
        <v>0</v>
      </c>
      <c r="X113">
        <v>0</v>
      </c>
      <c r="Y113">
        <v>1948952.0582758391</v>
      </c>
      <c r="Z113">
        <v>127064.67232416105</v>
      </c>
      <c r="AA113">
        <v>2076016.7306000001</v>
      </c>
      <c r="AB113" t="s">
        <v>242</v>
      </c>
      <c r="AC113">
        <v>3</v>
      </c>
      <c r="AD113">
        <v>60000</v>
      </c>
      <c r="AE113">
        <v>0</v>
      </c>
      <c r="AF113">
        <v>0</v>
      </c>
      <c r="AG113">
        <v>3655.5382758389715</v>
      </c>
      <c r="AH113" t="s">
        <v>58</v>
      </c>
    </row>
    <row r="114" spans="1:34" x14ac:dyDescent="0.3">
      <c r="A114" t="s">
        <v>798</v>
      </c>
      <c r="B114">
        <v>2200015</v>
      </c>
      <c r="C114">
        <v>20972229</v>
      </c>
      <c r="D114" t="s">
        <v>76</v>
      </c>
      <c r="E114" t="s">
        <v>435</v>
      </c>
      <c r="F114" t="s">
        <v>426</v>
      </c>
      <c r="G114" t="s">
        <v>82</v>
      </c>
      <c r="H114" t="s">
        <v>82</v>
      </c>
      <c r="J114" t="s">
        <v>52</v>
      </c>
      <c r="K114" s="15">
        <v>1000</v>
      </c>
      <c r="L114" s="15">
        <v>0</v>
      </c>
      <c r="M114" s="13">
        <v>44903</v>
      </c>
      <c r="O114">
        <v>0</v>
      </c>
      <c r="P114">
        <v>0</v>
      </c>
      <c r="Q114">
        <v>0</v>
      </c>
      <c r="R114">
        <v>0</v>
      </c>
      <c r="S114">
        <v>14809.597532223273</v>
      </c>
      <c r="T114">
        <v>0</v>
      </c>
      <c r="U114">
        <v>0</v>
      </c>
      <c r="V114">
        <v>122323.98354815517</v>
      </c>
      <c r="W114">
        <v>0</v>
      </c>
      <c r="X114">
        <v>0</v>
      </c>
      <c r="Y114">
        <v>137133.58108037844</v>
      </c>
      <c r="Z114">
        <v>0</v>
      </c>
      <c r="AA114">
        <v>137133.58108037844</v>
      </c>
      <c r="AB114" t="s">
        <v>242</v>
      </c>
      <c r="AC114">
        <v>5</v>
      </c>
      <c r="AD114">
        <v>5000</v>
      </c>
      <c r="AE114">
        <v>0</v>
      </c>
      <c r="AF114">
        <v>0</v>
      </c>
      <c r="AG114">
        <v>0</v>
      </c>
      <c r="AH114" t="s">
        <v>58</v>
      </c>
    </row>
    <row r="115" spans="1:34" x14ac:dyDescent="0.3">
      <c r="A115" t="s">
        <v>798</v>
      </c>
      <c r="B115">
        <v>62200013</v>
      </c>
      <c r="C115">
        <v>20972385</v>
      </c>
      <c r="D115" t="s">
        <v>76</v>
      </c>
      <c r="E115" t="s">
        <v>435</v>
      </c>
      <c r="F115" t="s">
        <v>432</v>
      </c>
      <c r="G115" t="s">
        <v>82</v>
      </c>
      <c r="H115" t="s">
        <v>82</v>
      </c>
      <c r="J115" t="s">
        <v>52</v>
      </c>
      <c r="K115" s="15">
        <v>4000</v>
      </c>
      <c r="L115" s="15">
        <v>0</v>
      </c>
      <c r="M115" s="13">
        <v>44903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67665.191359418066</v>
      </c>
      <c r="W115">
        <v>0</v>
      </c>
      <c r="X115">
        <v>0</v>
      </c>
      <c r="Y115">
        <v>67665.191359418066</v>
      </c>
      <c r="Z115">
        <v>0</v>
      </c>
      <c r="AA115">
        <v>67665.191359418066</v>
      </c>
      <c r="AB115" t="s">
        <v>242</v>
      </c>
      <c r="AC115">
        <v>5</v>
      </c>
      <c r="AD115">
        <v>20000</v>
      </c>
      <c r="AE115">
        <v>0</v>
      </c>
      <c r="AF115">
        <v>0</v>
      </c>
      <c r="AG115">
        <v>0</v>
      </c>
      <c r="AH115" t="s">
        <v>58</v>
      </c>
    </row>
    <row r="116" spans="1:34" x14ac:dyDescent="0.3">
      <c r="A116" t="s">
        <v>798</v>
      </c>
      <c r="B116">
        <v>82200021</v>
      </c>
      <c r="C116" t="s">
        <v>106</v>
      </c>
      <c r="D116" t="s">
        <v>87</v>
      </c>
      <c r="E116" t="s">
        <v>440</v>
      </c>
      <c r="F116" t="s">
        <v>433</v>
      </c>
      <c r="G116" t="s">
        <v>82</v>
      </c>
      <c r="H116" t="s">
        <v>83</v>
      </c>
      <c r="J116" t="s">
        <v>52</v>
      </c>
      <c r="K116" s="15">
        <v>50000</v>
      </c>
      <c r="L116" s="15">
        <v>0</v>
      </c>
      <c r="M116" s="13">
        <v>44903</v>
      </c>
      <c r="O116">
        <v>0</v>
      </c>
      <c r="P116">
        <v>0</v>
      </c>
      <c r="Q116">
        <v>88494.04122932769</v>
      </c>
      <c r="R116">
        <v>82.05</v>
      </c>
      <c r="S116">
        <v>65819.338383805909</v>
      </c>
      <c r="T116">
        <v>0</v>
      </c>
      <c r="U116">
        <v>0</v>
      </c>
      <c r="V116">
        <v>1289224.49</v>
      </c>
      <c r="W116">
        <v>0</v>
      </c>
      <c r="X116">
        <v>0</v>
      </c>
      <c r="Y116">
        <v>1443619.9196131337</v>
      </c>
      <c r="Z116">
        <v>94853.06798686643</v>
      </c>
      <c r="AA116">
        <v>1538472.9876000001</v>
      </c>
      <c r="AB116" t="s">
        <v>242</v>
      </c>
      <c r="AC116">
        <v>2</v>
      </c>
      <c r="AD116">
        <v>64000</v>
      </c>
      <c r="AE116">
        <v>0</v>
      </c>
      <c r="AF116">
        <v>0</v>
      </c>
      <c r="AG116">
        <v>3929.4396131335852</v>
      </c>
      <c r="AH116" t="s">
        <v>58</v>
      </c>
    </row>
    <row r="117" spans="1:34" x14ac:dyDescent="0.3">
      <c r="A117" t="s">
        <v>798</v>
      </c>
      <c r="B117">
        <v>52200360</v>
      </c>
      <c r="C117" t="s">
        <v>610</v>
      </c>
      <c r="D117" t="s">
        <v>609</v>
      </c>
      <c r="E117" t="s">
        <v>436</v>
      </c>
      <c r="F117" t="s">
        <v>431</v>
      </c>
      <c r="G117" t="s">
        <v>82</v>
      </c>
      <c r="H117" t="s">
        <v>83</v>
      </c>
      <c r="J117" t="s">
        <v>52</v>
      </c>
      <c r="K117" s="15">
        <v>1000</v>
      </c>
      <c r="M117" s="13">
        <v>44903</v>
      </c>
      <c r="O117">
        <v>0</v>
      </c>
      <c r="P117">
        <v>0</v>
      </c>
      <c r="Q117">
        <v>0</v>
      </c>
      <c r="R117">
        <v>785.53091527861659</v>
      </c>
      <c r="S117">
        <v>33885.901135166278</v>
      </c>
      <c r="T117">
        <v>0</v>
      </c>
      <c r="U117">
        <v>0</v>
      </c>
      <c r="V117">
        <v>86822.012925146293</v>
      </c>
      <c r="W117">
        <v>0</v>
      </c>
      <c r="X117">
        <v>0</v>
      </c>
      <c r="Y117">
        <v>121493.44497559118</v>
      </c>
      <c r="Z117">
        <v>8449.5539842218805</v>
      </c>
      <c r="AA117">
        <v>129942.99895981306</v>
      </c>
      <c r="AB117" t="s">
        <v>242</v>
      </c>
      <c r="AC117">
        <v>1</v>
      </c>
      <c r="AD117">
        <v>1000</v>
      </c>
      <c r="AE117">
        <v>0</v>
      </c>
      <c r="AF117">
        <v>0</v>
      </c>
      <c r="AG117">
        <v>64.997349597666471</v>
      </c>
      <c r="AH117" t="s">
        <v>72</v>
      </c>
    </row>
    <row r="118" spans="1:34" x14ac:dyDescent="0.3">
      <c r="A118" t="s">
        <v>798</v>
      </c>
      <c r="B118">
        <v>82200027</v>
      </c>
      <c r="C118" t="s">
        <v>110</v>
      </c>
      <c r="D118" t="s">
        <v>535</v>
      </c>
      <c r="E118" t="s">
        <v>440</v>
      </c>
      <c r="F118" t="s">
        <v>433</v>
      </c>
      <c r="G118" t="s">
        <v>82</v>
      </c>
      <c r="H118" t="s">
        <v>83</v>
      </c>
      <c r="J118" t="s">
        <v>52</v>
      </c>
      <c r="K118" s="15">
        <v>10000</v>
      </c>
      <c r="L118" s="15">
        <v>0</v>
      </c>
      <c r="M118" s="13">
        <v>44904</v>
      </c>
      <c r="O118">
        <v>0</v>
      </c>
      <c r="P118">
        <v>0</v>
      </c>
      <c r="Q118">
        <v>81163.590026511505</v>
      </c>
      <c r="R118">
        <v>45329.380000000005</v>
      </c>
      <c r="S118">
        <v>208695.12259204537</v>
      </c>
      <c r="T118">
        <v>0</v>
      </c>
      <c r="U118">
        <v>0</v>
      </c>
      <c r="V118">
        <v>1284340.32</v>
      </c>
      <c r="W118">
        <v>0</v>
      </c>
      <c r="X118">
        <v>0</v>
      </c>
      <c r="Y118">
        <v>1619528.412618557</v>
      </c>
      <c r="Z118">
        <v>104512.48098144319</v>
      </c>
      <c r="AA118">
        <v>1724040.8936000001</v>
      </c>
      <c r="AB118" t="s">
        <v>242</v>
      </c>
      <c r="AC118">
        <v>4</v>
      </c>
      <c r="AD118">
        <v>122000</v>
      </c>
      <c r="AE118">
        <v>0</v>
      </c>
      <c r="AF118">
        <v>0</v>
      </c>
      <c r="AG118">
        <v>7356.0926185568278</v>
      </c>
      <c r="AH118" t="s">
        <v>58</v>
      </c>
    </row>
    <row r="119" spans="1:34" x14ac:dyDescent="0.3">
      <c r="A119" t="s">
        <v>798</v>
      </c>
      <c r="B119">
        <v>62200025</v>
      </c>
      <c r="C119">
        <v>9001302</v>
      </c>
      <c r="D119" t="s">
        <v>79</v>
      </c>
      <c r="E119" t="s">
        <v>435</v>
      </c>
      <c r="F119" t="s">
        <v>432</v>
      </c>
      <c r="G119" t="s">
        <v>82</v>
      </c>
      <c r="H119" t="s">
        <v>82</v>
      </c>
      <c r="J119" t="s">
        <v>52</v>
      </c>
      <c r="K119" s="15">
        <v>1000</v>
      </c>
      <c r="L119" s="15">
        <v>0</v>
      </c>
      <c r="M119" s="13">
        <v>44907</v>
      </c>
      <c r="O119">
        <v>0</v>
      </c>
      <c r="P119">
        <v>0</v>
      </c>
      <c r="Q119">
        <v>0</v>
      </c>
      <c r="R119">
        <v>0</v>
      </c>
      <c r="S119">
        <v>8985.2332638356165</v>
      </c>
      <c r="T119">
        <v>0</v>
      </c>
      <c r="U119">
        <v>0</v>
      </c>
      <c r="V119">
        <v>16839.61</v>
      </c>
      <c r="W119">
        <v>0</v>
      </c>
      <c r="X119">
        <v>0</v>
      </c>
      <c r="Y119">
        <v>25824.843263835617</v>
      </c>
      <c r="Z119">
        <v>0</v>
      </c>
      <c r="AA119">
        <v>25824.843263835617</v>
      </c>
      <c r="AB119" t="s">
        <v>242</v>
      </c>
      <c r="AC119">
        <v>4</v>
      </c>
      <c r="AD119">
        <v>4370</v>
      </c>
      <c r="AE119">
        <v>0</v>
      </c>
      <c r="AF119">
        <v>0</v>
      </c>
      <c r="AG119">
        <v>0</v>
      </c>
      <c r="AH119" t="s">
        <v>58</v>
      </c>
    </row>
    <row r="120" spans="1:34" x14ac:dyDescent="0.3">
      <c r="A120" t="s">
        <v>798</v>
      </c>
      <c r="B120">
        <v>52200161</v>
      </c>
      <c r="C120">
        <v>27438569</v>
      </c>
      <c r="D120" t="s">
        <v>840</v>
      </c>
      <c r="E120" t="s">
        <v>436</v>
      </c>
      <c r="F120" t="s">
        <v>431</v>
      </c>
      <c r="G120" t="s">
        <v>82</v>
      </c>
      <c r="H120" t="s">
        <v>83</v>
      </c>
      <c r="J120" t="s">
        <v>52</v>
      </c>
      <c r="K120" s="15">
        <v>900</v>
      </c>
      <c r="L120" s="15">
        <v>0</v>
      </c>
      <c r="M120" s="13">
        <v>44908</v>
      </c>
      <c r="O120">
        <v>0</v>
      </c>
      <c r="P120">
        <v>0</v>
      </c>
      <c r="Q120">
        <v>0</v>
      </c>
      <c r="R120">
        <v>781.79513083580844</v>
      </c>
      <c r="S120">
        <v>24277.950826278</v>
      </c>
      <c r="T120">
        <v>0</v>
      </c>
      <c r="U120">
        <v>0</v>
      </c>
      <c r="V120">
        <v>43947.474126124551</v>
      </c>
      <c r="W120">
        <v>0</v>
      </c>
      <c r="X120">
        <v>0</v>
      </c>
      <c r="Y120">
        <v>69007.220083238353</v>
      </c>
      <c r="Z120">
        <v>4775.7797466681786</v>
      </c>
      <c r="AA120">
        <v>73782.999829906534</v>
      </c>
      <c r="AB120" t="s">
        <v>242</v>
      </c>
      <c r="AC120">
        <v>1</v>
      </c>
      <c r="AD120">
        <v>900</v>
      </c>
      <c r="AE120">
        <v>0</v>
      </c>
      <c r="AF120">
        <v>0</v>
      </c>
      <c r="AG120">
        <v>58.21089640981927</v>
      </c>
      <c r="AH120" t="s">
        <v>72</v>
      </c>
    </row>
    <row r="121" spans="1:34" x14ac:dyDescent="0.3">
      <c r="A121" t="s">
        <v>798</v>
      </c>
      <c r="B121">
        <v>82200024</v>
      </c>
      <c r="C121" t="s">
        <v>246</v>
      </c>
      <c r="D121" t="s">
        <v>317</v>
      </c>
      <c r="E121" t="s">
        <v>440</v>
      </c>
      <c r="F121" t="s">
        <v>433</v>
      </c>
      <c r="G121" t="s">
        <v>82</v>
      </c>
      <c r="H121" t="s">
        <v>83</v>
      </c>
      <c r="J121" t="s">
        <v>52</v>
      </c>
      <c r="K121" s="15">
        <v>40000</v>
      </c>
      <c r="L121" s="15">
        <v>0</v>
      </c>
      <c r="M121" s="13">
        <v>44908</v>
      </c>
      <c r="O121">
        <v>0</v>
      </c>
      <c r="P121">
        <v>0</v>
      </c>
      <c r="Q121">
        <v>26509.789713398044</v>
      </c>
      <c r="R121">
        <v>4997.25</v>
      </c>
      <c r="S121">
        <v>261.86297813266719</v>
      </c>
      <c r="T121">
        <v>0</v>
      </c>
      <c r="U121">
        <v>0</v>
      </c>
      <c r="V121">
        <v>292958.49</v>
      </c>
      <c r="W121">
        <v>0</v>
      </c>
      <c r="X121">
        <v>0</v>
      </c>
      <c r="Y121">
        <v>324727.39269153069</v>
      </c>
      <c r="Z121">
        <v>20525.424708469287</v>
      </c>
      <c r="AA121">
        <v>345252.8174</v>
      </c>
      <c r="AB121" t="s">
        <v>242</v>
      </c>
      <c r="AC121">
        <v>1</v>
      </c>
      <c r="AD121">
        <v>40000</v>
      </c>
      <c r="AE121">
        <v>0</v>
      </c>
      <c r="AF121">
        <v>0</v>
      </c>
      <c r="AG121">
        <v>2361.0626915307148</v>
      </c>
      <c r="AH121" t="s">
        <v>72</v>
      </c>
    </row>
    <row r="122" spans="1:34" x14ac:dyDescent="0.3">
      <c r="A122" t="s">
        <v>798</v>
      </c>
      <c r="B122">
        <v>12200034</v>
      </c>
      <c r="C122" t="s">
        <v>335</v>
      </c>
      <c r="D122" t="s">
        <v>377</v>
      </c>
      <c r="E122" t="s">
        <v>435</v>
      </c>
      <c r="F122" t="s">
        <v>427</v>
      </c>
      <c r="G122" t="s">
        <v>82</v>
      </c>
      <c r="H122" t="s">
        <v>82</v>
      </c>
      <c r="J122" t="s">
        <v>52</v>
      </c>
      <c r="K122" s="15">
        <v>4000</v>
      </c>
      <c r="L122" s="15">
        <v>0</v>
      </c>
      <c r="M122" s="13">
        <v>44908</v>
      </c>
      <c r="O122">
        <v>0</v>
      </c>
      <c r="P122">
        <v>0</v>
      </c>
      <c r="Q122">
        <v>0</v>
      </c>
      <c r="R122">
        <v>0</v>
      </c>
      <c r="S122">
        <v>58661.198766627611</v>
      </c>
      <c r="T122">
        <v>0</v>
      </c>
      <c r="U122">
        <v>0</v>
      </c>
      <c r="V122">
        <v>217029.64307241238</v>
      </c>
      <c r="W122">
        <v>0</v>
      </c>
      <c r="X122">
        <v>0</v>
      </c>
      <c r="Y122">
        <v>275690.84183903999</v>
      </c>
      <c r="Z122">
        <v>0</v>
      </c>
      <c r="AA122">
        <v>275690.84183903999</v>
      </c>
      <c r="AB122" t="s">
        <v>242</v>
      </c>
      <c r="AC122">
        <v>3</v>
      </c>
      <c r="AD122">
        <v>12000</v>
      </c>
      <c r="AE122">
        <v>0</v>
      </c>
      <c r="AF122">
        <v>0</v>
      </c>
      <c r="AG122">
        <v>0</v>
      </c>
      <c r="AH122" t="s">
        <v>58</v>
      </c>
    </row>
    <row r="123" spans="1:34" x14ac:dyDescent="0.3">
      <c r="A123" t="s">
        <v>798</v>
      </c>
      <c r="B123">
        <v>22200054</v>
      </c>
      <c r="C123" t="s">
        <v>341</v>
      </c>
      <c r="D123" t="s">
        <v>383</v>
      </c>
      <c r="E123" t="s">
        <v>435</v>
      </c>
      <c r="F123" t="s">
        <v>428</v>
      </c>
      <c r="G123" t="s">
        <v>82</v>
      </c>
      <c r="H123" t="s">
        <v>82</v>
      </c>
      <c r="J123" t="s">
        <v>52</v>
      </c>
      <c r="K123" s="15">
        <v>2000</v>
      </c>
      <c r="L123" s="15">
        <v>0</v>
      </c>
      <c r="M123" s="13">
        <v>44910</v>
      </c>
      <c r="O123">
        <v>0</v>
      </c>
      <c r="P123">
        <v>0</v>
      </c>
      <c r="Q123">
        <v>0</v>
      </c>
      <c r="R123">
        <v>0</v>
      </c>
      <c r="S123">
        <v>812.22465753424672</v>
      </c>
      <c r="T123">
        <v>0</v>
      </c>
      <c r="U123">
        <v>0</v>
      </c>
      <c r="V123">
        <v>15000</v>
      </c>
      <c r="W123">
        <v>0</v>
      </c>
      <c r="X123">
        <v>0</v>
      </c>
      <c r="Y123">
        <v>15812.224657534247</v>
      </c>
      <c r="Z123">
        <v>0</v>
      </c>
      <c r="AA123">
        <v>15812.224657534247</v>
      </c>
      <c r="AB123" t="s">
        <v>242</v>
      </c>
      <c r="AC123">
        <v>1</v>
      </c>
      <c r="AD123">
        <v>2000</v>
      </c>
      <c r="AE123">
        <v>0</v>
      </c>
      <c r="AF123">
        <v>0</v>
      </c>
      <c r="AG123">
        <v>0</v>
      </c>
      <c r="AH123" t="s">
        <v>72</v>
      </c>
    </row>
    <row r="124" spans="1:34" x14ac:dyDescent="0.3">
      <c r="A124" t="s">
        <v>798</v>
      </c>
      <c r="B124">
        <v>22200010</v>
      </c>
      <c r="C124">
        <v>18928437</v>
      </c>
      <c r="D124" t="s">
        <v>85</v>
      </c>
      <c r="E124" t="s">
        <v>435</v>
      </c>
      <c r="F124" t="s">
        <v>428</v>
      </c>
      <c r="G124" t="s">
        <v>82</v>
      </c>
      <c r="H124" t="s">
        <v>82</v>
      </c>
      <c r="J124" t="s">
        <v>52</v>
      </c>
      <c r="K124" s="15">
        <v>500</v>
      </c>
      <c r="L124" s="15">
        <v>0</v>
      </c>
      <c r="M124" s="13">
        <v>44915</v>
      </c>
      <c r="O124">
        <v>0</v>
      </c>
      <c r="P124">
        <v>0</v>
      </c>
      <c r="Q124">
        <v>0</v>
      </c>
      <c r="R124">
        <v>471</v>
      </c>
      <c r="S124">
        <v>7460.76186550685</v>
      </c>
      <c r="T124">
        <v>0</v>
      </c>
      <c r="U124">
        <v>0</v>
      </c>
      <c r="V124">
        <v>18637.990000000002</v>
      </c>
      <c r="W124">
        <v>0</v>
      </c>
      <c r="X124">
        <v>0</v>
      </c>
      <c r="Y124">
        <v>26569.751865506852</v>
      </c>
      <c r="Z124">
        <v>0</v>
      </c>
      <c r="AA124">
        <v>26569.751865506852</v>
      </c>
      <c r="AB124" t="s">
        <v>242</v>
      </c>
      <c r="AC124">
        <v>3</v>
      </c>
      <c r="AD124">
        <v>1500</v>
      </c>
      <c r="AE124">
        <v>0</v>
      </c>
      <c r="AF124">
        <v>0</v>
      </c>
      <c r="AG124">
        <v>0</v>
      </c>
      <c r="AH124" t="s">
        <v>58</v>
      </c>
    </row>
    <row r="125" spans="1:34" x14ac:dyDescent="0.3">
      <c r="A125" t="s">
        <v>798</v>
      </c>
      <c r="B125">
        <v>42200017</v>
      </c>
      <c r="C125" t="s">
        <v>96</v>
      </c>
      <c r="D125" t="s">
        <v>519</v>
      </c>
      <c r="E125" t="s">
        <v>440</v>
      </c>
      <c r="F125" t="s">
        <v>433</v>
      </c>
      <c r="G125" t="s">
        <v>82</v>
      </c>
      <c r="H125" t="s">
        <v>83</v>
      </c>
      <c r="J125" t="s">
        <v>52</v>
      </c>
      <c r="K125" s="15">
        <v>35000</v>
      </c>
      <c r="L125" s="15">
        <v>0</v>
      </c>
      <c r="M125" s="13">
        <v>44918</v>
      </c>
      <c r="O125">
        <v>0</v>
      </c>
      <c r="P125">
        <v>0</v>
      </c>
      <c r="Q125">
        <v>45454.578550469683</v>
      </c>
      <c r="R125">
        <v>256.79000000000002</v>
      </c>
      <c r="S125">
        <v>0</v>
      </c>
      <c r="T125">
        <v>0</v>
      </c>
      <c r="U125">
        <v>0</v>
      </c>
      <c r="V125">
        <v>628868.68107432732</v>
      </c>
      <c r="W125">
        <v>0</v>
      </c>
      <c r="X125">
        <v>0</v>
      </c>
      <c r="Y125">
        <v>674580.04962479696</v>
      </c>
      <c r="Z125">
        <v>44020.807675202916</v>
      </c>
      <c r="AA125">
        <v>718600.85729999992</v>
      </c>
      <c r="AB125" t="s">
        <v>242</v>
      </c>
      <c r="AC125">
        <v>1</v>
      </c>
      <c r="AD125">
        <v>35000</v>
      </c>
      <c r="AE125">
        <v>0</v>
      </c>
      <c r="AF125">
        <v>0</v>
      </c>
      <c r="AG125">
        <v>2134.0696247970809</v>
      </c>
      <c r="AH125" t="s">
        <v>72</v>
      </c>
    </row>
    <row r="126" spans="1:34" x14ac:dyDescent="0.3">
      <c r="A126" t="s">
        <v>798</v>
      </c>
      <c r="B126">
        <v>12200038</v>
      </c>
      <c r="C126">
        <v>19668536</v>
      </c>
      <c r="D126" t="s">
        <v>808</v>
      </c>
      <c r="E126" t="s">
        <v>435</v>
      </c>
      <c r="F126" t="s">
        <v>427</v>
      </c>
      <c r="G126" t="s">
        <v>82</v>
      </c>
      <c r="H126" t="s">
        <v>82</v>
      </c>
      <c r="J126" t="s">
        <v>52</v>
      </c>
      <c r="K126" s="15">
        <v>2500</v>
      </c>
      <c r="L126" s="15">
        <v>0</v>
      </c>
      <c r="M126" s="13">
        <v>44921</v>
      </c>
      <c r="O126">
        <v>0</v>
      </c>
      <c r="P126">
        <v>0</v>
      </c>
      <c r="Q126">
        <v>0</v>
      </c>
      <c r="R126">
        <v>0</v>
      </c>
      <c r="S126">
        <v>22080.96446684932</v>
      </c>
      <c r="T126">
        <v>0</v>
      </c>
      <c r="U126">
        <v>0</v>
      </c>
      <c r="V126">
        <v>213784.64</v>
      </c>
      <c r="W126">
        <v>0</v>
      </c>
      <c r="X126">
        <v>0</v>
      </c>
      <c r="Y126">
        <v>235865.60446684933</v>
      </c>
      <c r="Z126">
        <v>0</v>
      </c>
      <c r="AA126">
        <v>235865.60446684933</v>
      </c>
      <c r="AB126" t="s">
        <v>242</v>
      </c>
      <c r="AC126">
        <v>5</v>
      </c>
      <c r="AD126">
        <v>14500</v>
      </c>
      <c r="AE126">
        <v>0</v>
      </c>
      <c r="AF126">
        <v>0</v>
      </c>
      <c r="AG126">
        <v>0</v>
      </c>
      <c r="AH126" t="s">
        <v>58</v>
      </c>
    </row>
    <row r="127" spans="1:34" x14ac:dyDescent="0.3">
      <c r="A127" t="s">
        <v>798</v>
      </c>
      <c r="B127">
        <v>12200041</v>
      </c>
      <c r="C127">
        <v>23113175</v>
      </c>
      <c r="D127" t="s">
        <v>78</v>
      </c>
      <c r="E127" t="s">
        <v>435</v>
      </c>
      <c r="F127" t="s">
        <v>427</v>
      </c>
      <c r="G127" t="s">
        <v>82</v>
      </c>
      <c r="H127" t="s">
        <v>82</v>
      </c>
      <c r="J127" t="s">
        <v>52</v>
      </c>
      <c r="K127" s="15">
        <v>3000</v>
      </c>
      <c r="L127" s="15">
        <v>0</v>
      </c>
      <c r="M127" s="13">
        <v>44921</v>
      </c>
      <c r="O127">
        <v>0</v>
      </c>
      <c r="P127">
        <v>0</v>
      </c>
      <c r="Q127">
        <v>0</v>
      </c>
      <c r="R127">
        <v>0</v>
      </c>
      <c r="S127">
        <v>11812.621425720554</v>
      </c>
      <c r="T127">
        <v>0</v>
      </c>
      <c r="U127">
        <v>0</v>
      </c>
      <c r="V127">
        <v>192752.41</v>
      </c>
      <c r="W127">
        <v>0</v>
      </c>
      <c r="X127">
        <v>0</v>
      </c>
      <c r="Y127">
        <v>204565.03142572055</v>
      </c>
      <c r="Z127">
        <v>0</v>
      </c>
      <c r="AA127">
        <v>204565.03142572055</v>
      </c>
      <c r="AB127" t="s">
        <v>242</v>
      </c>
      <c r="AC127">
        <v>5</v>
      </c>
      <c r="AD127">
        <v>18000</v>
      </c>
      <c r="AE127">
        <v>0</v>
      </c>
      <c r="AF127">
        <v>0</v>
      </c>
      <c r="AG127">
        <v>0</v>
      </c>
      <c r="AH127" t="s">
        <v>58</v>
      </c>
    </row>
    <row r="128" spans="1:34" x14ac:dyDescent="0.3">
      <c r="A128" t="s">
        <v>798</v>
      </c>
      <c r="B128">
        <v>52200310</v>
      </c>
      <c r="C128">
        <v>23939176</v>
      </c>
      <c r="D128" t="s">
        <v>136</v>
      </c>
      <c r="E128" t="s">
        <v>436</v>
      </c>
      <c r="F128" t="s">
        <v>431</v>
      </c>
      <c r="G128" t="s">
        <v>82</v>
      </c>
      <c r="H128" t="s">
        <v>83</v>
      </c>
      <c r="J128" t="s">
        <v>52</v>
      </c>
      <c r="K128" s="15">
        <v>500</v>
      </c>
      <c r="L128" s="15">
        <v>0</v>
      </c>
      <c r="M128" s="13">
        <v>44921</v>
      </c>
      <c r="O128">
        <v>0</v>
      </c>
      <c r="P128">
        <v>0</v>
      </c>
      <c r="Q128">
        <v>0</v>
      </c>
      <c r="R128">
        <v>983.45256700151629</v>
      </c>
      <c r="S128">
        <v>28064.337083857434</v>
      </c>
      <c r="T128">
        <v>0</v>
      </c>
      <c r="U128">
        <v>0</v>
      </c>
      <c r="V128">
        <v>46086.640510961653</v>
      </c>
      <c r="W128">
        <v>0</v>
      </c>
      <c r="X128">
        <v>0</v>
      </c>
      <c r="Y128">
        <v>75134.430161820608</v>
      </c>
      <c r="Z128">
        <v>5190.5684316373372</v>
      </c>
      <c r="AA128">
        <v>80324.998593457945</v>
      </c>
      <c r="AB128" t="s">
        <v>242</v>
      </c>
      <c r="AC128">
        <v>1</v>
      </c>
      <c r="AD128">
        <v>500</v>
      </c>
      <c r="AE128">
        <v>0</v>
      </c>
      <c r="AF128">
        <v>0</v>
      </c>
      <c r="AG128">
        <v>32.281943635613231</v>
      </c>
      <c r="AH128" t="s">
        <v>72</v>
      </c>
    </row>
    <row r="129" spans="1:34" x14ac:dyDescent="0.3">
      <c r="A129" t="s">
        <v>798</v>
      </c>
      <c r="B129">
        <v>22200054</v>
      </c>
      <c r="C129" t="s">
        <v>341</v>
      </c>
      <c r="D129" t="s">
        <v>383</v>
      </c>
      <c r="E129" t="s">
        <v>435</v>
      </c>
      <c r="F129" t="s">
        <v>428</v>
      </c>
      <c r="G129" t="s">
        <v>82</v>
      </c>
      <c r="H129" t="s">
        <v>82</v>
      </c>
      <c r="J129" t="s">
        <v>416</v>
      </c>
      <c r="K129" s="15">
        <v>0.36757792046452009</v>
      </c>
      <c r="L129" s="15">
        <v>0</v>
      </c>
      <c r="M129" s="13">
        <v>44921</v>
      </c>
      <c r="O129">
        <v>0</v>
      </c>
      <c r="P129">
        <v>0</v>
      </c>
      <c r="Q129">
        <v>0</v>
      </c>
      <c r="R129">
        <v>0</v>
      </c>
      <c r="S129">
        <v>513.66880696780129</v>
      </c>
      <c r="T129">
        <v>0</v>
      </c>
      <c r="U129">
        <v>0</v>
      </c>
      <c r="V129">
        <v>9486.3311930321979</v>
      </c>
      <c r="W129">
        <v>0</v>
      </c>
      <c r="X129">
        <v>0</v>
      </c>
      <c r="Y129">
        <v>10000</v>
      </c>
      <c r="Z129">
        <v>0</v>
      </c>
      <c r="AA129">
        <v>10000</v>
      </c>
      <c r="AB129" t="s">
        <v>242</v>
      </c>
      <c r="AC129">
        <v>1</v>
      </c>
      <c r="AD129">
        <v>2000</v>
      </c>
      <c r="AE129">
        <v>0</v>
      </c>
      <c r="AF129">
        <v>0</v>
      </c>
      <c r="AG129">
        <v>0</v>
      </c>
      <c r="AH129" t="s">
        <v>58</v>
      </c>
    </row>
    <row r="130" spans="1:34" x14ac:dyDescent="0.3">
      <c r="A130" t="s">
        <v>798</v>
      </c>
      <c r="B130">
        <v>22200054</v>
      </c>
      <c r="C130" t="s">
        <v>341</v>
      </c>
      <c r="D130" t="s">
        <v>383</v>
      </c>
      <c r="E130" t="s">
        <v>435</v>
      </c>
      <c r="F130" t="s">
        <v>428</v>
      </c>
      <c r="G130" t="s">
        <v>417</v>
      </c>
      <c r="H130" t="s">
        <v>82</v>
      </c>
      <c r="J130" t="s">
        <v>52</v>
      </c>
      <c r="K130" s="15">
        <v>10000</v>
      </c>
      <c r="L130" s="15">
        <v>0</v>
      </c>
      <c r="M130" s="13">
        <v>44921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242</v>
      </c>
      <c r="AC130">
        <v>2</v>
      </c>
      <c r="AD130">
        <v>12000</v>
      </c>
      <c r="AE130">
        <v>0</v>
      </c>
      <c r="AF130">
        <v>0</v>
      </c>
      <c r="AG130">
        <v>0</v>
      </c>
      <c r="AH130" t="s">
        <v>58</v>
      </c>
    </row>
    <row r="131" spans="1:34" x14ac:dyDescent="0.3">
      <c r="A131" t="s">
        <v>798</v>
      </c>
      <c r="B131">
        <v>2200011</v>
      </c>
      <c r="C131" t="s">
        <v>612</v>
      </c>
      <c r="D131" t="s">
        <v>611</v>
      </c>
      <c r="E131" t="s">
        <v>435</v>
      </c>
      <c r="F131" t="s">
        <v>675</v>
      </c>
      <c r="G131" t="s">
        <v>235</v>
      </c>
      <c r="H131" t="s">
        <v>235</v>
      </c>
      <c r="J131" t="s">
        <v>52</v>
      </c>
      <c r="K131" s="15">
        <v>3000</v>
      </c>
      <c r="M131" s="13">
        <v>44921</v>
      </c>
      <c r="O131">
        <v>3858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29447.629999999997</v>
      </c>
      <c r="W131">
        <v>0</v>
      </c>
      <c r="X131">
        <v>0</v>
      </c>
      <c r="Y131">
        <v>33305.629999999997</v>
      </c>
      <c r="Z131">
        <v>0</v>
      </c>
      <c r="AA131">
        <v>33305.629999999997</v>
      </c>
      <c r="AB131" t="s">
        <v>242</v>
      </c>
      <c r="AC131">
        <v>1</v>
      </c>
      <c r="AD131">
        <v>3000</v>
      </c>
      <c r="AE131">
        <v>0</v>
      </c>
      <c r="AF131">
        <v>0</v>
      </c>
      <c r="AG131">
        <v>0</v>
      </c>
      <c r="AH131" t="s">
        <v>58</v>
      </c>
    </row>
    <row r="132" spans="1:34" x14ac:dyDescent="0.3">
      <c r="A132" t="s">
        <v>798</v>
      </c>
      <c r="B132">
        <v>62200008</v>
      </c>
      <c r="C132" t="s">
        <v>613</v>
      </c>
      <c r="D132" t="s">
        <v>611</v>
      </c>
      <c r="E132" t="s">
        <v>435</v>
      </c>
      <c r="F132" t="s">
        <v>432</v>
      </c>
      <c r="G132" t="s">
        <v>82</v>
      </c>
      <c r="H132" t="s">
        <v>82</v>
      </c>
      <c r="J132" t="s">
        <v>52</v>
      </c>
      <c r="K132" s="15">
        <v>3000</v>
      </c>
      <c r="M132" s="13">
        <v>44921</v>
      </c>
      <c r="O132">
        <v>3000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41472.979999999996</v>
      </c>
      <c r="W132">
        <v>0</v>
      </c>
      <c r="X132">
        <v>0</v>
      </c>
      <c r="Y132">
        <v>44472.979999999996</v>
      </c>
      <c r="Z132">
        <v>0</v>
      </c>
      <c r="AA132">
        <v>44472.979999999996</v>
      </c>
      <c r="AB132" t="s">
        <v>242</v>
      </c>
      <c r="AC132">
        <v>1</v>
      </c>
      <c r="AD132">
        <v>3000</v>
      </c>
      <c r="AE132">
        <v>0</v>
      </c>
      <c r="AF132">
        <v>0</v>
      </c>
      <c r="AG132">
        <v>0</v>
      </c>
      <c r="AH132" t="s">
        <v>58</v>
      </c>
    </row>
    <row r="133" spans="1:34" x14ac:dyDescent="0.3">
      <c r="A133" t="s">
        <v>798</v>
      </c>
      <c r="B133">
        <v>62200009</v>
      </c>
      <c r="C133" t="s">
        <v>614</v>
      </c>
      <c r="D133" t="s">
        <v>611</v>
      </c>
      <c r="E133" t="s">
        <v>435</v>
      </c>
      <c r="F133" t="s">
        <v>432</v>
      </c>
      <c r="G133" t="s">
        <v>82</v>
      </c>
      <c r="H133" t="s">
        <v>82</v>
      </c>
      <c r="J133" t="s">
        <v>52</v>
      </c>
      <c r="K133" s="15">
        <v>3000</v>
      </c>
      <c r="M133" s="13">
        <v>44921</v>
      </c>
      <c r="O133">
        <v>3000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47784.270000000004</v>
      </c>
      <c r="W133">
        <v>0</v>
      </c>
      <c r="X133">
        <v>0</v>
      </c>
      <c r="Y133">
        <v>50784.270000000004</v>
      </c>
      <c r="Z133">
        <v>0</v>
      </c>
      <c r="AA133">
        <v>50784.270000000004</v>
      </c>
      <c r="AB133" t="s">
        <v>242</v>
      </c>
      <c r="AC133">
        <v>1</v>
      </c>
      <c r="AD133">
        <v>3000</v>
      </c>
      <c r="AE133">
        <v>0</v>
      </c>
      <c r="AF133">
        <v>0</v>
      </c>
      <c r="AG133">
        <v>0</v>
      </c>
      <c r="AH133" t="s">
        <v>58</v>
      </c>
    </row>
    <row r="134" spans="1:34" x14ac:dyDescent="0.3">
      <c r="A134" t="s">
        <v>798</v>
      </c>
      <c r="B134">
        <v>52200322</v>
      </c>
      <c r="C134">
        <v>28509678</v>
      </c>
      <c r="D134" t="s">
        <v>848</v>
      </c>
      <c r="E134" t="s">
        <v>436</v>
      </c>
      <c r="F134" t="s">
        <v>431</v>
      </c>
      <c r="G134" t="s">
        <v>82</v>
      </c>
      <c r="H134" t="s">
        <v>83</v>
      </c>
      <c r="J134" t="s">
        <v>52</v>
      </c>
      <c r="K134" s="15">
        <v>1500</v>
      </c>
      <c r="L134" s="15">
        <v>0</v>
      </c>
      <c r="M134" s="13">
        <v>44922</v>
      </c>
      <c r="O134">
        <v>0</v>
      </c>
      <c r="P134">
        <v>0</v>
      </c>
      <c r="Q134">
        <v>0</v>
      </c>
      <c r="R134">
        <v>681.31513380795923</v>
      </c>
      <c r="S134">
        <v>34068.363378308575</v>
      </c>
      <c r="T134">
        <v>0</v>
      </c>
      <c r="U134">
        <v>0</v>
      </c>
      <c r="V134">
        <v>52808.912008035637</v>
      </c>
      <c r="W134">
        <v>0</v>
      </c>
      <c r="X134">
        <v>0</v>
      </c>
      <c r="Y134">
        <v>87558.590520152182</v>
      </c>
      <c r="Z134">
        <v>6081.4092770440948</v>
      </c>
      <c r="AA134">
        <v>93639.999797196273</v>
      </c>
      <c r="AB134" t="s">
        <v>242</v>
      </c>
      <c r="AC134">
        <v>1</v>
      </c>
      <c r="AD134">
        <v>1500</v>
      </c>
      <c r="AE134">
        <v>0</v>
      </c>
      <c r="AF134">
        <v>0</v>
      </c>
      <c r="AG134">
        <v>97.366410622950525</v>
      </c>
      <c r="AH134" t="s">
        <v>72</v>
      </c>
    </row>
    <row r="135" spans="1:34" x14ac:dyDescent="0.3">
      <c r="A135" t="s">
        <v>798</v>
      </c>
      <c r="B135">
        <v>82200027</v>
      </c>
      <c r="C135" t="s">
        <v>110</v>
      </c>
      <c r="D135" t="s">
        <v>535</v>
      </c>
      <c r="E135" t="s">
        <v>440</v>
      </c>
      <c r="F135" t="s">
        <v>433</v>
      </c>
      <c r="G135" t="s">
        <v>82</v>
      </c>
      <c r="H135" t="s">
        <v>83</v>
      </c>
      <c r="J135" t="s">
        <v>52</v>
      </c>
      <c r="K135" s="15">
        <v>30000</v>
      </c>
      <c r="L135" s="15">
        <v>0</v>
      </c>
      <c r="M135" s="13">
        <v>44922</v>
      </c>
      <c r="O135">
        <v>0</v>
      </c>
      <c r="P135">
        <v>0</v>
      </c>
      <c r="Q135">
        <v>78820.445521464091</v>
      </c>
      <c r="R135">
        <v>45329.380000000005</v>
      </c>
      <c r="S135">
        <v>182847.59409208968</v>
      </c>
      <c r="T135">
        <v>0</v>
      </c>
      <c r="U135">
        <v>0</v>
      </c>
      <c r="V135">
        <v>1284340.32</v>
      </c>
      <c r="W135">
        <v>0</v>
      </c>
      <c r="X135">
        <v>0</v>
      </c>
      <c r="Y135">
        <v>1591337.739613554</v>
      </c>
      <c r="Z135">
        <v>102703.1539864463</v>
      </c>
      <c r="AA135">
        <v>1694040.8936000003</v>
      </c>
      <c r="AB135" t="s">
        <v>242</v>
      </c>
      <c r="AC135">
        <v>5</v>
      </c>
      <c r="AD135">
        <v>152000</v>
      </c>
      <c r="AE135">
        <v>0</v>
      </c>
      <c r="AF135">
        <v>0</v>
      </c>
      <c r="AG135">
        <v>9165.419613553724</v>
      </c>
      <c r="AH135" t="s">
        <v>58</v>
      </c>
    </row>
    <row r="136" spans="1:34" x14ac:dyDescent="0.3">
      <c r="A136" t="s">
        <v>798</v>
      </c>
      <c r="B136">
        <v>12200006</v>
      </c>
      <c r="C136">
        <v>15288078</v>
      </c>
      <c r="D136" t="s">
        <v>805</v>
      </c>
      <c r="E136" t="s">
        <v>435</v>
      </c>
      <c r="F136" t="s">
        <v>427</v>
      </c>
      <c r="G136" t="s">
        <v>82</v>
      </c>
      <c r="H136" t="s">
        <v>82</v>
      </c>
      <c r="J136" t="s">
        <v>52</v>
      </c>
      <c r="K136" s="15">
        <v>1500</v>
      </c>
      <c r="L136" s="15">
        <v>0</v>
      </c>
      <c r="M136" s="13">
        <v>44923</v>
      </c>
      <c r="O136">
        <v>0</v>
      </c>
      <c r="P136">
        <v>0</v>
      </c>
      <c r="Q136">
        <v>0</v>
      </c>
      <c r="R136">
        <v>911</v>
      </c>
      <c r="S136">
        <v>112576.12583885049</v>
      </c>
      <c r="T136">
        <v>0</v>
      </c>
      <c r="U136">
        <v>0</v>
      </c>
      <c r="V136">
        <v>234136.68570505723</v>
      </c>
      <c r="W136">
        <v>0</v>
      </c>
      <c r="X136">
        <v>0</v>
      </c>
      <c r="Y136">
        <v>347623.81154390774</v>
      </c>
      <c r="Z136">
        <v>0</v>
      </c>
      <c r="AA136">
        <v>347623.81154390774</v>
      </c>
      <c r="AB136" t="s">
        <v>242</v>
      </c>
      <c r="AC136">
        <v>1</v>
      </c>
      <c r="AD136">
        <v>1500</v>
      </c>
      <c r="AE136">
        <v>0</v>
      </c>
      <c r="AF136">
        <v>0</v>
      </c>
      <c r="AG136">
        <v>0</v>
      </c>
      <c r="AH136" t="s">
        <v>72</v>
      </c>
    </row>
    <row r="137" spans="1:34" x14ac:dyDescent="0.3">
      <c r="A137" t="s">
        <v>798</v>
      </c>
      <c r="B137">
        <v>12200017</v>
      </c>
      <c r="C137">
        <v>22099815</v>
      </c>
      <c r="D137" t="s">
        <v>807</v>
      </c>
      <c r="E137" t="s">
        <v>435</v>
      </c>
      <c r="F137" t="s">
        <v>427</v>
      </c>
      <c r="G137" t="s">
        <v>82</v>
      </c>
      <c r="H137" t="s">
        <v>82</v>
      </c>
      <c r="J137" t="s">
        <v>52</v>
      </c>
      <c r="K137" s="15">
        <v>1000</v>
      </c>
      <c r="L137" s="15">
        <v>0</v>
      </c>
      <c r="M137" s="13">
        <v>44923</v>
      </c>
      <c r="O137">
        <v>0</v>
      </c>
      <c r="P137">
        <v>0</v>
      </c>
      <c r="Q137">
        <v>0</v>
      </c>
      <c r="R137">
        <v>0</v>
      </c>
      <c r="S137">
        <v>39321.154535560141</v>
      </c>
      <c r="T137">
        <v>0</v>
      </c>
      <c r="U137">
        <v>0</v>
      </c>
      <c r="V137">
        <v>149162.46575342465</v>
      </c>
      <c r="W137">
        <v>0</v>
      </c>
      <c r="X137">
        <v>0</v>
      </c>
      <c r="Y137">
        <v>188483.62028898479</v>
      </c>
      <c r="Z137">
        <v>0</v>
      </c>
      <c r="AA137">
        <v>188483.62028898479</v>
      </c>
      <c r="AB137" t="s">
        <v>242</v>
      </c>
      <c r="AC137">
        <v>3</v>
      </c>
      <c r="AD137">
        <v>3000</v>
      </c>
      <c r="AE137">
        <v>0</v>
      </c>
      <c r="AF137">
        <v>0</v>
      </c>
      <c r="AG137">
        <v>0</v>
      </c>
      <c r="AH137" t="s">
        <v>58</v>
      </c>
    </row>
    <row r="138" spans="1:34" x14ac:dyDescent="0.3">
      <c r="A138" t="s">
        <v>798</v>
      </c>
      <c r="B138">
        <v>12200017</v>
      </c>
      <c r="C138">
        <v>22099815</v>
      </c>
      <c r="D138" t="s">
        <v>807</v>
      </c>
      <c r="E138" t="s">
        <v>435</v>
      </c>
      <c r="F138" t="s">
        <v>427</v>
      </c>
      <c r="G138" t="s">
        <v>82</v>
      </c>
      <c r="H138" t="s">
        <v>82</v>
      </c>
      <c r="J138" t="s">
        <v>52</v>
      </c>
      <c r="K138" s="15">
        <v>1000</v>
      </c>
      <c r="L138" s="15">
        <v>0</v>
      </c>
      <c r="M138" s="13">
        <v>44923</v>
      </c>
      <c r="O138">
        <v>0</v>
      </c>
      <c r="P138">
        <v>0</v>
      </c>
      <c r="Q138">
        <v>0</v>
      </c>
      <c r="R138">
        <v>0</v>
      </c>
      <c r="S138">
        <v>38321.154535560141</v>
      </c>
      <c r="T138">
        <v>0</v>
      </c>
      <c r="U138">
        <v>0</v>
      </c>
      <c r="V138">
        <v>149162.46575342465</v>
      </c>
      <c r="W138">
        <v>0</v>
      </c>
      <c r="X138">
        <v>0</v>
      </c>
      <c r="Y138">
        <v>187483.62028898479</v>
      </c>
      <c r="Z138">
        <v>0</v>
      </c>
      <c r="AA138">
        <v>187483.62028898479</v>
      </c>
      <c r="AB138" t="s">
        <v>242</v>
      </c>
      <c r="AC138">
        <v>4</v>
      </c>
      <c r="AD138">
        <v>4000</v>
      </c>
      <c r="AE138">
        <v>0</v>
      </c>
      <c r="AF138">
        <v>0</v>
      </c>
      <c r="AG138">
        <v>0</v>
      </c>
      <c r="AH138" t="s">
        <v>58</v>
      </c>
    </row>
    <row r="139" spans="1:34" x14ac:dyDescent="0.3">
      <c r="A139" t="s">
        <v>798</v>
      </c>
      <c r="B139">
        <v>52200390</v>
      </c>
      <c r="C139">
        <v>28031153</v>
      </c>
      <c r="D139" t="s">
        <v>853</v>
      </c>
      <c r="E139" t="s">
        <v>436</v>
      </c>
      <c r="F139" t="s">
        <v>431</v>
      </c>
      <c r="G139" t="s">
        <v>82</v>
      </c>
      <c r="H139" t="s">
        <v>83</v>
      </c>
      <c r="J139" t="s">
        <v>52</v>
      </c>
      <c r="K139" s="15">
        <v>500</v>
      </c>
      <c r="L139" s="15">
        <v>0</v>
      </c>
      <c r="M139" s="13">
        <v>44923</v>
      </c>
      <c r="O139">
        <v>0</v>
      </c>
      <c r="P139">
        <v>0</v>
      </c>
      <c r="Q139">
        <v>0</v>
      </c>
      <c r="R139">
        <v>929.6765015083655</v>
      </c>
      <c r="S139">
        <v>37286.999716469603</v>
      </c>
      <c r="T139">
        <v>0</v>
      </c>
      <c r="U139">
        <v>0</v>
      </c>
      <c r="V139">
        <v>51886.19999825312</v>
      </c>
      <c r="W139">
        <v>0</v>
      </c>
      <c r="X139">
        <v>0</v>
      </c>
      <c r="Y139">
        <v>90102.876216231089</v>
      </c>
      <c r="Z139">
        <v>6242.1239800305912</v>
      </c>
      <c r="AA139">
        <v>96345.000196261681</v>
      </c>
      <c r="AB139" t="s">
        <v>242</v>
      </c>
      <c r="AC139">
        <v>2</v>
      </c>
      <c r="AD139">
        <v>1000</v>
      </c>
      <c r="AE139">
        <v>0</v>
      </c>
      <c r="AF139">
        <v>0</v>
      </c>
      <c r="AG139">
        <v>64.745191687463148</v>
      </c>
      <c r="AH139" t="s">
        <v>58</v>
      </c>
    </row>
    <row r="140" spans="1:34" x14ac:dyDescent="0.3">
      <c r="A140" t="s">
        <v>798</v>
      </c>
      <c r="B140">
        <v>62200028</v>
      </c>
      <c r="C140">
        <v>23104128</v>
      </c>
      <c r="D140" t="s">
        <v>892</v>
      </c>
      <c r="E140" t="s">
        <v>435</v>
      </c>
      <c r="F140" t="s">
        <v>432</v>
      </c>
      <c r="G140" t="s">
        <v>82</v>
      </c>
      <c r="H140" t="s">
        <v>82</v>
      </c>
      <c r="J140" t="s">
        <v>52</v>
      </c>
      <c r="K140" s="15">
        <v>1000</v>
      </c>
      <c r="L140" s="15">
        <v>0</v>
      </c>
      <c r="M140" s="13">
        <v>44923</v>
      </c>
      <c r="O140">
        <v>0</v>
      </c>
      <c r="P140">
        <v>0</v>
      </c>
      <c r="Q140">
        <v>0</v>
      </c>
      <c r="R140">
        <v>531</v>
      </c>
      <c r="S140">
        <v>12328.438356164384</v>
      </c>
      <c r="T140">
        <v>0</v>
      </c>
      <c r="U140">
        <v>0</v>
      </c>
      <c r="V140">
        <v>33000</v>
      </c>
      <c r="W140">
        <v>0</v>
      </c>
      <c r="X140">
        <v>0</v>
      </c>
      <c r="Y140">
        <v>45859.438356164384</v>
      </c>
      <c r="Z140">
        <v>0</v>
      </c>
      <c r="AA140">
        <v>45859.438356164384</v>
      </c>
      <c r="AB140" t="s">
        <v>242</v>
      </c>
      <c r="AC140">
        <v>1</v>
      </c>
      <c r="AD140">
        <v>1000</v>
      </c>
      <c r="AE140">
        <v>0</v>
      </c>
      <c r="AF140">
        <v>0</v>
      </c>
      <c r="AG140">
        <v>0</v>
      </c>
      <c r="AH140" t="s">
        <v>72</v>
      </c>
    </row>
    <row r="141" spans="1:34" x14ac:dyDescent="0.3">
      <c r="A141" t="s">
        <v>798</v>
      </c>
      <c r="B141">
        <v>62200104</v>
      </c>
      <c r="C141" t="s">
        <v>245</v>
      </c>
      <c r="D141" t="s">
        <v>316</v>
      </c>
      <c r="E141" t="s">
        <v>435</v>
      </c>
      <c r="F141" t="s">
        <v>432</v>
      </c>
      <c r="G141" t="s">
        <v>82</v>
      </c>
      <c r="H141" t="s">
        <v>82</v>
      </c>
      <c r="J141" t="s">
        <v>52</v>
      </c>
      <c r="K141" s="15">
        <v>2000</v>
      </c>
      <c r="L141" s="15">
        <v>0</v>
      </c>
      <c r="M141" s="13">
        <v>44923</v>
      </c>
      <c r="O141">
        <v>0</v>
      </c>
      <c r="P141">
        <v>0</v>
      </c>
      <c r="Q141">
        <v>0</v>
      </c>
      <c r="R141">
        <v>0</v>
      </c>
      <c r="S141">
        <v>5295.8737114652049</v>
      </c>
      <c r="T141">
        <v>0</v>
      </c>
      <c r="U141">
        <v>0</v>
      </c>
      <c r="V141">
        <v>22299.012967342856</v>
      </c>
      <c r="W141">
        <v>0</v>
      </c>
      <c r="X141">
        <v>0</v>
      </c>
      <c r="Y141">
        <v>27594.886678808063</v>
      </c>
      <c r="Z141">
        <v>0</v>
      </c>
      <c r="AA141">
        <v>27594.886678808063</v>
      </c>
      <c r="AB141" t="s">
        <v>242</v>
      </c>
      <c r="AC141">
        <v>5</v>
      </c>
      <c r="AD141">
        <v>10000</v>
      </c>
      <c r="AE141">
        <v>0</v>
      </c>
      <c r="AF141">
        <v>0</v>
      </c>
      <c r="AG141">
        <v>0</v>
      </c>
      <c r="AH141" t="s">
        <v>58</v>
      </c>
    </row>
    <row r="142" spans="1:34" x14ac:dyDescent="0.3">
      <c r="A142" t="s">
        <v>798</v>
      </c>
      <c r="B142">
        <v>42200017</v>
      </c>
      <c r="C142" t="s">
        <v>96</v>
      </c>
      <c r="D142" t="s">
        <v>519</v>
      </c>
      <c r="E142" t="s">
        <v>440</v>
      </c>
      <c r="F142" t="s">
        <v>433</v>
      </c>
      <c r="G142" t="s">
        <v>82</v>
      </c>
      <c r="H142" t="s">
        <v>83</v>
      </c>
      <c r="J142" t="s">
        <v>52</v>
      </c>
      <c r="K142" s="15">
        <v>35000</v>
      </c>
      <c r="L142" s="15">
        <v>0</v>
      </c>
      <c r="M142" s="13">
        <v>44923</v>
      </c>
      <c r="O142">
        <v>0</v>
      </c>
      <c r="P142">
        <v>0</v>
      </c>
      <c r="Q142">
        <v>43082.883893688318</v>
      </c>
      <c r="R142">
        <v>256.79000000000002</v>
      </c>
      <c r="S142">
        <v>0</v>
      </c>
      <c r="T142">
        <v>0</v>
      </c>
      <c r="U142">
        <v>0</v>
      </c>
      <c r="V142">
        <v>598374.93776290806</v>
      </c>
      <c r="W142">
        <v>0</v>
      </c>
      <c r="X142">
        <v>0</v>
      </c>
      <c r="Y142">
        <v>641714.61165659642</v>
      </c>
      <c r="Z142">
        <v>41886.24564340357</v>
      </c>
      <c r="AA142">
        <v>683600.85730000003</v>
      </c>
      <c r="AB142" t="s">
        <v>242</v>
      </c>
      <c r="AC142">
        <v>2</v>
      </c>
      <c r="AD142">
        <v>70000</v>
      </c>
      <c r="AE142">
        <v>0</v>
      </c>
      <c r="AF142">
        <v>0</v>
      </c>
      <c r="AG142">
        <v>4268.6316565964298</v>
      </c>
      <c r="AH142" t="s">
        <v>58</v>
      </c>
    </row>
    <row r="143" spans="1:34" x14ac:dyDescent="0.3">
      <c r="A143" t="s">
        <v>798</v>
      </c>
      <c r="B143">
        <v>52200355</v>
      </c>
      <c r="C143">
        <v>28900317</v>
      </c>
      <c r="D143" t="s">
        <v>850</v>
      </c>
      <c r="E143" t="s">
        <v>436</v>
      </c>
      <c r="F143" t="s">
        <v>431</v>
      </c>
      <c r="G143" t="s">
        <v>82</v>
      </c>
      <c r="H143" t="s">
        <v>83</v>
      </c>
      <c r="J143" t="s">
        <v>52</v>
      </c>
      <c r="K143" s="15">
        <v>2000</v>
      </c>
      <c r="L143" s="15">
        <v>0</v>
      </c>
      <c r="M143" s="13">
        <v>44924</v>
      </c>
      <c r="O143">
        <v>0</v>
      </c>
      <c r="P143">
        <v>0</v>
      </c>
      <c r="Q143">
        <v>0</v>
      </c>
      <c r="R143">
        <v>910.72835694059245</v>
      </c>
      <c r="S143">
        <v>16584.366021550846</v>
      </c>
      <c r="T143">
        <v>0</v>
      </c>
      <c r="U143">
        <v>0</v>
      </c>
      <c r="V143">
        <v>44859.813084112146</v>
      </c>
      <c r="W143">
        <v>0</v>
      </c>
      <c r="X143">
        <v>0</v>
      </c>
      <c r="Y143">
        <v>62354.907462603587</v>
      </c>
      <c r="Z143">
        <v>4301.0925373964092</v>
      </c>
      <c r="AA143">
        <v>66656</v>
      </c>
      <c r="AB143" t="s">
        <v>242</v>
      </c>
      <c r="AC143">
        <v>1</v>
      </c>
      <c r="AD143">
        <v>2000</v>
      </c>
      <c r="AE143">
        <v>0</v>
      </c>
      <c r="AF143">
        <v>0</v>
      </c>
      <c r="AG143">
        <v>128.92615419237518</v>
      </c>
      <c r="AH143" t="s">
        <v>72</v>
      </c>
    </row>
    <row r="144" spans="1:34" x14ac:dyDescent="0.3">
      <c r="A144" t="s">
        <v>798</v>
      </c>
      <c r="B144">
        <v>42201174</v>
      </c>
      <c r="C144" t="s">
        <v>454</v>
      </c>
      <c r="D144" t="s">
        <v>523</v>
      </c>
      <c r="E144" t="s">
        <v>439</v>
      </c>
      <c r="F144" t="s">
        <v>430</v>
      </c>
      <c r="G144" t="s">
        <v>230</v>
      </c>
      <c r="H144" t="s">
        <v>234</v>
      </c>
      <c r="J144" t="s">
        <v>416</v>
      </c>
      <c r="K144" s="15">
        <v>0.43067521919004059</v>
      </c>
      <c r="L144" s="15">
        <v>0</v>
      </c>
      <c r="M144" s="13">
        <v>44924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280373.83177570096</v>
      </c>
      <c r="Y144">
        <v>280373.83177570096</v>
      </c>
      <c r="Z144">
        <v>19626.168224299068</v>
      </c>
      <c r="AA144">
        <v>300000.00000000006</v>
      </c>
      <c r="AB144" t="s">
        <v>242</v>
      </c>
      <c r="AC144">
        <v>0</v>
      </c>
      <c r="AD144">
        <v>0</v>
      </c>
      <c r="AE144">
        <v>0</v>
      </c>
      <c r="AF144">
        <v>0</v>
      </c>
      <c r="AG144">
        <v>0</v>
      </c>
      <c r="AH144" t="s">
        <v>72</v>
      </c>
    </row>
    <row r="145" spans="1:34" x14ac:dyDescent="0.3">
      <c r="A145" t="s">
        <v>798</v>
      </c>
      <c r="B145">
        <v>42201174</v>
      </c>
      <c r="C145" t="s">
        <v>454</v>
      </c>
      <c r="D145" t="s">
        <v>523</v>
      </c>
      <c r="E145" t="s">
        <v>439</v>
      </c>
      <c r="F145" t="s">
        <v>430</v>
      </c>
      <c r="G145" t="s">
        <v>421</v>
      </c>
      <c r="H145" t="s">
        <v>234</v>
      </c>
      <c r="J145" t="s">
        <v>52</v>
      </c>
      <c r="K145" s="15">
        <v>300000</v>
      </c>
      <c r="L145" s="15">
        <v>0</v>
      </c>
      <c r="M145" s="13">
        <v>44924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242</v>
      </c>
      <c r="AC145">
        <v>1</v>
      </c>
      <c r="AD145">
        <v>300000</v>
      </c>
      <c r="AE145">
        <v>0</v>
      </c>
      <c r="AF145">
        <v>0</v>
      </c>
      <c r="AG145">
        <v>19626.168224299094</v>
      </c>
      <c r="AH145" t="s">
        <v>58</v>
      </c>
    </row>
    <row r="146" spans="1:34" x14ac:dyDescent="0.3">
      <c r="A146" t="s">
        <v>798</v>
      </c>
      <c r="B146">
        <v>82200001</v>
      </c>
      <c r="C146" t="s">
        <v>246</v>
      </c>
      <c r="D146" t="s">
        <v>595</v>
      </c>
      <c r="E146" t="s">
        <v>440</v>
      </c>
      <c r="F146" t="s">
        <v>433</v>
      </c>
      <c r="G146" t="s">
        <v>82</v>
      </c>
      <c r="H146" t="s">
        <v>83</v>
      </c>
      <c r="J146" t="s">
        <v>52</v>
      </c>
      <c r="K146" s="15">
        <v>20000</v>
      </c>
      <c r="M146" s="13">
        <v>44924</v>
      </c>
      <c r="O146">
        <v>0</v>
      </c>
      <c r="P146">
        <v>0</v>
      </c>
      <c r="Q146">
        <v>118626.13860609577</v>
      </c>
      <c r="R146">
        <v>13743.86</v>
      </c>
      <c r="S146">
        <v>82424.58410645253</v>
      </c>
      <c r="T146">
        <v>0</v>
      </c>
      <c r="U146">
        <v>0</v>
      </c>
      <c r="V146">
        <v>1715376.1</v>
      </c>
      <c r="W146">
        <v>0</v>
      </c>
      <c r="X146">
        <v>0</v>
      </c>
      <c r="Y146">
        <v>1930170.6827125484</v>
      </c>
      <c r="Z146">
        <v>125846.0478874517</v>
      </c>
      <c r="AA146">
        <v>2056016.7306000001</v>
      </c>
      <c r="AB146" t="s">
        <v>242</v>
      </c>
      <c r="AC146">
        <v>4</v>
      </c>
      <c r="AD146">
        <v>80000</v>
      </c>
      <c r="AE146">
        <v>0</v>
      </c>
      <c r="AF146">
        <v>0</v>
      </c>
      <c r="AG146">
        <v>4874.1627125483246</v>
      </c>
      <c r="AH146" t="s">
        <v>58</v>
      </c>
    </row>
    <row r="147" spans="1:34" x14ac:dyDescent="0.3">
      <c r="A147" t="s">
        <v>798</v>
      </c>
      <c r="B147">
        <v>12200041</v>
      </c>
      <c r="C147">
        <v>23113175</v>
      </c>
      <c r="D147" t="s">
        <v>78</v>
      </c>
      <c r="E147" t="s">
        <v>435</v>
      </c>
      <c r="F147" t="s">
        <v>427</v>
      </c>
      <c r="G147" t="s">
        <v>82</v>
      </c>
      <c r="H147" t="s">
        <v>82</v>
      </c>
      <c r="J147" t="s">
        <v>52</v>
      </c>
      <c r="K147" s="15">
        <v>2000</v>
      </c>
      <c r="L147" s="15">
        <v>0</v>
      </c>
      <c r="M147" s="13">
        <v>44925</v>
      </c>
      <c r="O147">
        <v>0</v>
      </c>
      <c r="P147">
        <v>0</v>
      </c>
      <c r="Q147">
        <v>0</v>
      </c>
      <c r="R147">
        <v>0</v>
      </c>
      <c r="S147">
        <v>9812.6214257205538</v>
      </c>
      <c r="T147">
        <v>0</v>
      </c>
      <c r="U147">
        <v>0</v>
      </c>
      <c r="V147">
        <v>192752.41</v>
      </c>
      <c r="W147">
        <v>0</v>
      </c>
      <c r="X147">
        <v>0</v>
      </c>
      <c r="Y147">
        <v>202565.03142572055</v>
      </c>
      <c r="Z147">
        <v>0</v>
      </c>
      <c r="AA147">
        <v>202565.03142572055</v>
      </c>
      <c r="AB147" t="s">
        <v>242</v>
      </c>
      <c r="AC147">
        <v>6</v>
      </c>
      <c r="AD147">
        <v>20000</v>
      </c>
      <c r="AE147">
        <v>0</v>
      </c>
      <c r="AF147">
        <v>0</v>
      </c>
      <c r="AG147">
        <v>0</v>
      </c>
      <c r="AH147" t="s">
        <v>58</v>
      </c>
    </row>
    <row r="148" spans="1:34" x14ac:dyDescent="0.3">
      <c r="A148" t="s">
        <v>798</v>
      </c>
      <c r="B148">
        <v>22200010</v>
      </c>
      <c r="C148">
        <v>18928437</v>
      </c>
      <c r="D148" t="s">
        <v>85</v>
      </c>
      <c r="E148" t="s">
        <v>435</v>
      </c>
      <c r="F148" t="s">
        <v>428</v>
      </c>
      <c r="G148" t="s">
        <v>82</v>
      </c>
      <c r="H148" t="s">
        <v>82</v>
      </c>
      <c r="J148" t="s">
        <v>52</v>
      </c>
      <c r="K148" s="15">
        <v>500</v>
      </c>
      <c r="L148" s="15">
        <v>0</v>
      </c>
      <c r="M148" s="13">
        <v>44925</v>
      </c>
      <c r="O148">
        <v>0</v>
      </c>
      <c r="P148">
        <v>0</v>
      </c>
      <c r="Q148">
        <v>0</v>
      </c>
      <c r="R148">
        <v>0</v>
      </c>
      <c r="S148">
        <v>7431.76186550685</v>
      </c>
      <c r="T148">
        <v>0</v>
      </c>
      <c r="U148">
        <v>0</v>
      </c>
      <c r="V148">
        <v>18637.990000000002</v>
      </c>
      <c r="W148">
        <v>0</v>
      </c>
      <c r="X148">
        <v>0</v>
      </c>
      <c r="Y148">
        <v>26069.751865506852</v>
      </c>
      <c r="Z148">
        <v>0</v>
      </c>
      <c r="AA148">
        <v>26069.751865506852</v>
      </c>
      <c r="AB148" t="s">
        <v>242</v>
      </c>
      <c r="AC148">
        <v>4</v>
      </c>
      <c r="AD148">
        <v>2000</v>
      </c>
      <c r="AE148">
        <v>0</v>
      </c>
      <c r="AF148">
        <v>0</v>
      </c>
      <c r="AG148">
        <v>0</v>
      </c>
      <c r="AH148" t="s">
        <v>58</v>
      </c>
    </row>
    <row r="149" spans="1:34" x14ac:dyDescent="0.3">
      <c r="A149" t="s">
        <v>798</v>
      </c>
      <c r="B149">
        <v>32200011</v>
      </c>
      <c r="C149" t="s">
        <v>243</v>
      </c>
      <c r="D149" t="s">
        <v>315</v>
      </c>
      <c r="E149" t="s">
        <v>435</v>
      </c>
      <c r="F149" t="s">
        <v>429</v>
      </c>
      <c r="G149" t="s">
        <v>82</v>
      </c>
      <c r="H149" t="s">
        <v>82</v>
      </c>
      <c r="J149" t="s">
        <v>52</v>
      </c>
      <c r="K149" s="15">
        <v>1000</v>
      </c>
      <c r="L149" s="15">
        <v>0</v>
      </c>
      <c r="M149" s="13">
        <v>44925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3766.7036757041096</v>
      </c>
      <c r="W149">
        <v>0</v>
      </c>
      <c r="X149">
        <v>0</v>
      </c>
      <c r="Y149">
        <v>3766.7036757041096</v>
      </c>
      <c r="Z149">
        <v>0</v>
      </c>
      <c r="AA149">
        <v>3766.7036757041096</v>
      </c>
      <c r="AB149" t="s">
        <v>242</v>
      </c>
      <c r="AC149">
        <v>6</v>
      </c>
      <c r="AD149">
        <v>9500</v>
      </c>
      <c r="AE149">
        <v>0</v>
      </c>
      <c r="AF149">
        <v>0</v>
      </c>
      <c r="AG149">
        <v>0</v>
      </c>
      <c r="AH149" t="s">
        <v>58</v>
      </c>
    </row>
    <row r="150" spans="1:34" x14ac:dyDescent="0.3">
      <c r="A150" t="s">
        <v>798</v>
      </c>
      <c r="B150">
        <v>42200017</v>
      </c>
      <c r="C150" t="s">
        <v>96</v>
      </c>
      <c r="D150" t="s">
        <v>519</v>
      </c>
      <c r="E150" t="s">
        <v>440</v>
      </c>
      <c r="F150" t="s">
        <v>433</v>
      </c>
      <c r="G150" t="s">
        <v>82</v>
      </c>
      <c r="H150" t="s">
        <v>83</v>
      </c>
      <c r="J150" t="s">
        <v>416</v>
      </c>
      <c r="K150" s="15">
        <v>0.36220091688875655</v>
      </c>
      <c r="L150" s="15">
        <v>0</v>
      </c>
      <c r="M150" s="13">
        <v>44925</v>
      </c>
      <c r="O150">
        <v>0</v>
      </c>
      <c r="P150">
        <v>0</v>
      </c>
      <c r="Q150">
        <v>27478.223845182569</v>
      </c>
      <c r="R150">
        <v>163.78042655213622</v>
      </c>
      <c r="S150">
        <v>0</v>
      </c>
      <c r="T150">
        <v>0</v>
      </c>
      <c r="U150">
        <v>0</v>
      </c>
      <c r="V150">
        <v>381642.9866619301</v>
      </c>
      <c r="W150">
        <v>0</v>
      </c>
      <c r="X150">
        <v>0</v>
      </c>
      <c r="Y150">
        <v>409284.99093366478</v>
      </c>
      <c r="Z150">
        <v>26715.009066335111</v>
      </c>
      <c r="AA150">
        <v>435999.99999999988</v>
      </c>
      <c r="AB150" t="s">
        <v>242</v>
      </c>
      <c r="AC150">
        <v>2</v>
      </c>
      <c r="AD150">
        <v>70000</v>
      </c>
      <c r="AE150">
        <v>0</v>
      </c>
      <c r="AF150">
        <v>0</v>
      </c>
      <c r="AG150">
        <v>4268.6316565964298</v>
      </c>
      <c r="AH150" t="s">
        <v>58</v>
      </c>
    </row>
    <row r="151" spans="1:34" x14ac:dyDescent="0.3">
      <c r="A151" t="s">
        <v>798</v>
      </c>
      <c r="B151">
        <v>52200174</v>
      </c>
      <c r="C151" t="s">
        <v>457</v>
      </c>
      <c r="D151" t="s">
        <v>526</v>
      </c>
      <c r="E151" t="s">
        <v>436</v>
      </c>
      <c r="F151" t="s">
        <v>431</v>
      </c>
      <c r="G151" t="s">
        <v>82</v>
      </c>
      <c r="H151" t="s">
        <v>83</v>
      </c>
      <c r="J151" t="s">
        <v>52</v>
      </c>
      <c r="K151" s="15">
        <v>14000</v>
      </c>
      <c r="L151" s="15">
        <v>0</v>
      </c>
      <c r="M151" s="13">
        <v>44925</v>
      </c>
      <c r="O151">
        <v>0</v>
      </c>
      <c r="P151">
        <v>0</v>
      </c>
      <c r="Q151">
        <v>0</v>
      </c>
      <c r="R151">
        <v>464.27169769675606</v>
      </c>
      <c r="S151">
        <v>0</v>
      </c>
      <c r="T151">
        <v>0</v>
      </c>
      <c r="U151">
        <v>0</v>
      </c>
      <c r="V151">
        <v>42920.306763441768</v>
      </c>
      <c r="W151">
        <v>0</v>
      </c>
      <c r="X151">
        <v>0</v>
      </c>
      <c r="Y151">
        <v>43384.578461138524</v>
      </c>
      <c r="Z151">
        <v>3004.4214734409238</v>
      </c>
      <c r="AA151">
        <v>46388.999934579449</v>
      </c>
      <c r="AB151" t="s">
        <v>242</v>
      </c>
      <c r="AC151">
        <v>2</v>
      </c>
      <c r="AD151">
        <v>34000</v>
      </c>
      <c r="AE151">
        <v>0</v>
      </c>
      <c r="AF151">
        <v>0</v>
      </c>
      <c r="AG151">
        <v>2199.6532886343684</v>
      </c>
      <c r="AH151" t="s">
        <v>58</v>
      </c>
    </row>
    <row r="152" spans="1:34" x14ac:dyDescent="0.3">
      <c r="A152" t="s">
        <v>798</v>
      </c>
      <c r="B152">
        <v>82200023</v>
      </c>
      <c r="C152" t="s">
        <v>109</v>
      </c>
      <c r="D152" t="s">
        <v>615</v>
      </c>
      <c r="E152" t="s">
        <v>440</v>
      </c>
      <c r="F152" t="s">
        <v>433</v>
      </c>
      <c r="G152" t="s">
        <v>82</v>
      </c>
      <c r="H152" t="s">
        <v>83</v>
      </c>
      <c r="J152" t="s">
        <v>52</v>
      </c>
      <c r="K152" s="15">
        <v>40000</v>
      </c>
      <c r="M152" s="13">
        <v>44925</v>
      </c>
      <c r="O152">
        <v>0</v>
      </c>
      <c r="P152">
        <v>0</v>
      </c>
      <c r="Q152">
        <v>123796.63319768163</v>
      </c>
      <c r="R152">
        <v>158917.17000000001</v>
      </c>
      <c r="S152">
        <v>361498.73336665268</v>
      </c>
      <c r="T152">
        <v>0</v>
      </c>
      <c r="U152">
        <v>0</v>
      </c>
      <c r="V152">
        <v>1747082.27</v>
      </c>
      <c r="W152">
        <v>0</v>
      </c>
      <c r="X152">
        <v>0</v>
      </c>
      <c r="Y152">
        <v>2391294.8065643343</v>
      </c>
      <c r="Z152">
        <v>147600.67023566572</v>
      </c>
      <c r="AA152">
        <v>2538895.4767999998</v>
      </c>
      <c r="AB152" t="s">
        <v>242</v>
      </c>
      <c r="AC152">
        <v>1</v>
      </c>
      <c r="AD152">
        <v>40000</v>
      </c>
      <c r="AE152">
        <v>0</v>
      </c>
      <c r="AF152">
        <v>0</v>
      </c>
      <c r="AG152">
        <v>2307.1465643343108</v>
      </c>
      <c r="AH152" t="s">
        <v>72</v>
      </c>
    </row>
    <row r="153" spans="1:34" x14ac:dyDescent="0.3">
      <c r="A153" t="s">
        <v>798</v>
      </c>
      <c r="B153">
        <v>22200061</v>
      </c>
      <c r="C153">
        <v>19290575</v>
      </c>
      <c r="D153" t="s">
        <v>84</v>
      </c>
      <c r="E153" t="s">
        <v>435</v>
      </c>
      <c r="F153" t="s">
        <v>428</v>
      </c>
      <c r="G153" t="s">
        <v>82</v>
      </c>
      <c r="H153" t="s">
        <v>82</v>
      </c>
      <c r="J153" t="s">
        <v>52</v>
      </c>
      <c r="K153" s="15">
        <v>1000</v>
      </c>
      <c r="L153" s="15">
        <v>0</v>
      </c>
      <c r="M153" s="13">
        <v>44926</v>
      </c>
      <c r="O153">
        <v>0</v>
      </c>
      <c r="P153">
        <v>0</v>
      </c>
      <c r="Q153">
        <v>0</v>
      </c>
      <c r="R153">
        <v>0</v>
      </c>
      <c r="S153">
        <v>6625.7709089598566</v>
      </c>
      <c r="T153">
        <v>0</v>
      </c>
      <c r="U153">
        <v>0</v>
      </c>
      <c r="V153">
        <v>22341.817670062115</v>
      </c>
      <c r="W153">
        <v>0</v>
      </c>
      <c r="X153">
        <v>0</v>
      </c>
      <c r="Y153">
        <v>28967.588579021973</v>
      </c>
      <c r="Z153">
        <v>0</v>
      </c>
      <c r="AA153">
        <v>28967.588579021973</v>
      </c>
      <c r="AB153" t="s">
        <v>242</v>
      </c>
      <c r="AC153">
        <v>2</v>
      </c>
      <c r="AD153">
        <v>1500</v>
      </c>
      <c r="AE153">
        <v>0</v>
      </c>
      <c r="AF153">
        <v>0</v>
      </c>
      <c r="AG153">
        <v>0</v>
      </c>
      <c r="AH153" t="s">
        <v>58</v>
      </c>
    </row>
    <row r="154" spans="1:34" x14ac:dyDescent="0.3">
      <c r="A154" t="s">
        <v>798</v>
      </c>
      <c r="B154">
        <v>52200061</v>
      </c>
      <c r="C154">
        <v>28231012</v>
      </c>
      <c r="D154" t="s">
        <v>835</v>
      </c>
      <c r="E154" t="s">
        <v>436</v>
      </c>
      <c r="F154" t="s">
        <v>431</v>
      </c>
      <c r="G154" t="s">
        <v>82</v>
      </c>
      <c r="H154" t="s">
        <v>83</v>
      </c>
      <c r="J154" t="s">
        <v>52</v>
      </c>
      <c r="K154" s="15">
        <v>2000</v>
      </c>
      <c r="L154" s="15">
        <v>0</v>
      </c>
      <c r="M154" s="13">
        <v>44927</v>
      </c>
      <c r="O154">
        <v>0</v>
      </c>
      <c r="P154">
        <v>0</v>
      </c>
      <c r="Q154">
        <v>0</v>
      </c>
      <c r="R154">
        <v>868.97629803823565</v>
      </c>
      <c r="S154">
        <v>15762.677852300714</v>
      </c>
      <c r="T154">
        <v>0</v>
      </c>
      <c r="U154">
        <v>0</v>
      </c>
      <c r="V154">
        <v>57032.675233644863</v>
      </c>
      <c r="W154">
        <v>0</v>
      </c>
      <c r="X154">
        <v>0</v>
      </c>
      <c r="Y154">
        <v>73664.329383983815</v>
      </c>
      <c r="Z154">
        <v>5095.6747160161913</v>
      </c>
      <c r="AA154">
        <v>78760.004100000006</v>
      </c>
      <c r="AB154" t="s">
        <v>242</v>
      </c>
      <c r="AC154">
        <v>3</v>
      </c>
      <c r="AD154">
        <v>6000</v>
      </c>
      <c r="AE154">
        <v>0</v>
      </c>
      <c r="AF154">
        <v>0</v>
      </c>
      <c r="AG154">
        <v>387.87695407726778</v>
      </c>
      <c r="AH154" t="s">
        <v>58</v>
      </c>
    </row>
    <row r="155" spans="1:34" x14ac:dyDescent="0.3">
      <c r="A155" t="s">
        <v>798</v>
      </c>
      <c r="B155">
        <v>2200009</v>
      </c>
      <c r="C155">
        <v>19887094</v>
      </c>
      <c r="D155" t="s">
        <v>77</v>
      </c>
      <c r="E155" t="s">
        <v>435</v>
      </c>
      <c r="F155" t="s">
        <v>426</v>
      </c>
      <c r="G155" t="s">
        <v>82</v>
      </c>
      <c r="H155" t="s">
        <v>82</v>
      </c>
      <c r="J155" t="s">
        <v>52</v>
      </c>
      <c r="K155" s="15">
        <v>900</v>
      </c>
      <c r="L155" s="15">
        <v>0</v>
      </c>
      <c r="M155" s="13">
        <v>44928</v>
      </c>
      <c r="O155">
        <v>0</v>
      </c>
      <c r="P155">
        <v>0</v>
      </c>
      <c r="Q155">
        <v>0</v>
      </c>
      <c r="R155">
        <v>0</v>
      </c>
      <c r="S155">
        <v>21501.616180538298</v>
      </c>
      <c r="T155">
        <v>0</v>
      </c>
      <c r="U155">
        <v>0</v>
      </c>
      <c r="V155">
        <v>107102.9400910782</v>
      </c>
      <c r="W155">
        <v>0</v>
      </c>
      <c r="X155">
        <v>0</v>
      </c>
      <c r="Y155">
        <v>128604.5562716165</v>
      </c>
      <c r="Z155">
        <v>0</v>
      </c>
      <c r="AA155">
        <v>128604.5562716165</v>
      </c>
      <c r="AB155" t="s">
        <v>242</v>
      </c>
      <c r="AC155">
        <v>6</v>
      </c>
      <c r="AD155">
        <v>5400</v>
      </c>
      <c r="AE155">
        <v>0</v>
      </c>
      <c r="AF155">
        <v>0</v>
      </c>
      <c r="AG155">
        <v>0</v>
      </c>
      <c r="AH155" t="s">
        <v>58</v>
      </c>
    </row>
    <row r="156" spans="1:34" x14ac:dyDescent="0.3">
      <c r="A156" t="s">
        <v>798</v>
      </c>
      <c r="B156">
        <v>62200005</v>
      </c>
      <c r="C156">
        <v>19887124</v>
      </c>
      <c r="D156" t="s">
        <v>77</v>
      </c>
      <c r="E156" t="s">
        <v>435</v>
      </c>
      <c r="F156" t="s">
        <v>432</v>
      </c>
      <c r="G156" t="s">
        <v>82</v>
      </c>
      <c r="H156" t="s">
        <v>82</v>
      </c>
      <c r="J156" t="s">
        <v>52</v>
      </c>
      <c r="K156" s="15">
        <v>1800</v>
      </c>
      <c r="L156" s="15">
        <v>0</v>
      </c>
      <c r="M156" s="13">
        <v>44928</v>
      </c>
      <c r="O156">
        <v>0</v>
      </c>
      <c r="P156">
        <v>0</v>
      </c>
      <c r="Q156">
        <v>0</v>
      </c>
      <c r="R156">
        <v>0</v>
      </c>
      <c r="S156">
        <v>15625.601058092285</v>
      </c>
      <c r="T156">
        <v>0</v>
      </c>
      <c r="U156">
        <v>0</v>
      </c>
      <c r="V156">
        <v>59598.02512483739</v>
      </c>
      <c r="W156">
        <v>0</v>
      </c>
      <c r="X156">
        <v>0</v>
      </c>
      <c r="Y156">
        <v>75223.626182929671</v>
      </c>
      <c r="Z156">
        <v>0</v>
      </c>
      <c r="AA156">
        <v>75223.626182929671</v>
      </c>
      <c r="AB156" t="s">
        <v>242</v>
      </c>
      <c r="AC156">
        <v>6</v>
      </c>
      <c r="AD156">
        <v>10800</v>
      </c>
      <c r="AE156">
        <v>0</v>
      </c>
      <c r="AF156">
        <v>0</v>
      </c>
      <c r="AG156">
        <v>0</v>
      </c>
      <c r="AH156" t="s">
        <v>58</v>
      </c>
    </row>
    <row r="157" spans="1:34" x14ac:dyDescent="0.3">
      <c r="A157" t="s">
        <v>798</v>
      </c>
      <c r="B157">
        <v>62200006</v>
      </c>
      <c r="C157">
        <v>19887213</v>
      </c>
      <c r="D157" t="s">
        <v>77</v>
      </c>
      <c r="E157" t="s">
        <v>435</v>
      </c>
      <c r="F157" t="s">
        <v>432</v>
      </c>
      <c r="G157" t="s">
        <v>82</v>
      </c>
      <c r="H157" t="s">
        <v>82</v>
      </c>
      <c r="J157" t="s">
        <v>52</v>
      </c>
      <c r="K157" s="15">
        <v>1800</v>
      </c>
      <c r="L157" s="15">
        <v>0</v>
      </c>
      <c r="M157" s="13">
        <v>44928</v>
      </c>
      <c r="O157">
        <v>0</v>
      </c>
      <c r="P157">
        <v>0</v>
      </c>
      <c r="Q157">
        <v>0</v>
      </c>
      <c r="R157">
        <v>0</v>
      </c>
      <c r="S157">
        <v>5604.9954212797929</v>
      </c>
      <c r="T157">
        <v>0</v>
      </c>
      <c r="U157">
        <v>0</v>
      </c>
      <c r="V157">
        <v>29690.410958904111</v>
      </c>
      <c r="W157">
        <v>0</v>
      </c>
      <c r="X157">
        <v>0</v>
      </c>
      <c r="Y157">
        <v>35295.406380183907</v>
      </c>
      <c r="Z157">
        <v>0</v>
      </c>
      <c r="AA157">
        <v>35295.406380183907</v>
      </c>
      <c r="AB157" t="s">
        <v>242</v>
      </c>
      <c r="AC157">
        <v>6</v>
      </c>
      <c r="AD157">
        <v>10800</v>
      </c>
      <c r="AE157">
        <v>0</v>
      </c>
      <c r="AF157">
        <v>0</v>
      </c>
      <c r="AG157">
        <v>0</v>
      </c>
      <c r="AH157" t="s">
        <v>58</v>
      </c>
    </row>
    <row r="158" spans="1:34" x14ac:dyDescent="0.3">
      <c r="A158" t="s">
        <v>798</v>
      </c>
      <c r="B158">
        <v>52200239</v>
      </c>
      <c r="C158">
        <v>25091589</v>
      </c>
      <c r="D158" t="s">
        <v>844</v>
      </c>
      <c r="E158" t="s">
        <v>436</v>
      </c>
      <c r="F158" t="s">
        <v>431</v>
      </c>
      <c r="G158" t="s">
        <v>82</v>
      </c>
      <c r="H158" t="s">
        <v>83</v>
      </c>
      <c r="J158" t="s">
        <v>52</v>
      </c>
      <c r="K158" s="15">
        <v>1500</v>
      </c>
      <c r="L158" s="15">
        <v>0</v>
      </c>
      <c r="M158" s="13">
        <v>44930</v>
      </c>
      <c r="O158">
        <v>0</v>
      </c>
      <c r="P158">
        <v>0</v>
      </c>
      <c r="Q158">
        <v>0</v>
      </c>
      <c r="R158">
        <v>947.64618697106118</v>
      </c>
      <c r="S158">
        <v>34620.84799365967</v>
      </c>
      <c r="T158">
        <v>0</v>
      </c>
      <c r="U158">
        <v>0</v>
      </c>
      <c r="V158">
        <v>54126.211626342912</v>
      </c>
      <c r="W158">
        <v>0</v>
      </c>
      <c r="X158">
        <v>0</v>
      </c>
      <c r="Y158">
        <v>89694.705806973652</v>
      </c>
      <c r="Z158">
        <v>6212.2941734001806</v>
      </c>
      <c r="AA158">
        <v>95906.999980373832</v>
      </c>
      <c r="AB158" t="s">
        <v>242</v>
      </c>
      <c r="AC158">
        <v>2</v>
      </c>
      <c r="AD158">
        <v>4000</v>
      </c>
      <c r="AE158">
        <v>0</v>
      </c>
      <c r="AF158">
        <v>0</v>
      </c>
      <c r="AG158">
        <v>258.91143279249923</v>
      </c>
      <c r="AH158" t="s">
        <v>58</v>
      </c>
    </row>
    <row r="159" spans="1:34" x14ac:dyDescent="0.3">
      <c r="A159" t="s">
        <v>798</v>
      </c>
      <c r="B159">
        <v>62200115</v>
      </c>
      <c r="C159">
        <v>25275925</v>
      </c>
      <c r="D159" t="s">
        <v>88</v>
      </c>
      <c r="E159" t="s">
        <v>436</v>
      </c>
      <c r="F159" t="s">
        <v>432</v>
      </c>
      <c r="G159" t="s">
        <v>82</v>
      </c>
      <c r="H159" t="s">
        <v>82</v>
      </c>
      <c r="J159" t="s">
        <v>52</v>
      </c>
      <c r="K159" s="15">
        <v>500</v>
      </c>
      <c r="L159" s="15">
        <v>0</v>
      </c>
      <c r="M159" s="13">
        <v>44932</v>
      </c>
      <c r="O159">
        <v>0</v>
      </c>
      <c r="P159">
        <v>0</v>
      </c>
      <c r="Q159">
        <v>0</v>
      </c>
      <c r="R159">
        <v>0</v>
      </c>
      <c r="S159">
        <v>7804.74114699457</v>
      </c>
      <c r="T159">
        <v>0</v>
      </c>
      <c r="U159">
        <v>0</v>
      </c>
      <c r="V159">
        <v>29072.994912695332</v>
      </c>
      <c r="W159">
        <v>0</v>
      </c>
      <c r="X159">
        <v>0</v>
      </c>
      <c r="Y159">
        <v>36877.736059689902</v>
      </c>
      <c r="Z159">
        <v>0</v>
      </c>
      <c r="AA159">
        <v>36877.736059689902</v>
      </c>
      <c r="AB159" t="s">
        <v>242</v>
      </c>
      <c r="AC159">
        <v>2</v>
      </c>
      <c r="AD159">
        <v>1500</v>
      </c>
      <c r="AE159">
        <v>0</v>
      </c>
      <c r="AF159">
        <v>0</v>
      </c>
      <c r="AG159">
        <v>0</v>
      </c>
      <c r="AH159" t="s">
        <v>58</v>
      </c>
    </row>
    <row r="160" spans="1:34" x14ac:dyDescent="0.3">
      <c r="A160" t="s">
        <v>798</v>
      </c>
      <c r="B160">
        <v>2200015</v>
      </c>
      <c r="C160">
        <v>20972229</v>
      </c>
      <c r="D160" t="s">
        <v>76</v>
      </c>
      <c r="E160" t="s">
        <v>435</v>
      </c>
      <c r="F160" t="s">
        <v>426</v>
      </c>
      <c r="G160" t="s">
        <v>82</v>
      </c>
      <c r="H160" t="s">
        <v>82</v>
      </c>
      <c r="J160" t="s">
        <v>52</v>
      </c>
      <c r="K160" s="15">
        <v>1000</v>
      </c>
      <c r="L160" s="15">
        <v>0</v>
      </c>
      <c r="M160" s="13">
        <v>44935</v>
      </c>
      <c r="O160">
        <v>0</v>
      </c>
      <c r="P160">
        <v>0</v>
      </c>
      <c r="Q160">
        <v>0</v>
      </c>
      <c r="R160">
        <v>0</v>
      </c>
      <c r="S160">
        <v>13809.597532223273</v>
      </c>
      <c r="T160">
        <v>0</v>
      </c>
      <c r="U160">
        <v>0</v>
      </c>
      <c r="V160">
        <v>122323.98354815517</v>
      </c>
      <c r="W160">
        <v>0</v>
      </c>
      <c r="X160">
        <v>0</v>
      </c>
      <c r="Y160">
        <v>136133.58108037844</v>
      </c>
      <c r="Z160">
        <v>0</v>
      </c>
      <c r="AA160">
        <v>136133.58108037844</v>
      </c>
      <c r="AB160" t="s">
        <v>242</v>
      </c>
      <c r="AC160">
        <v>6</v>
      </c>
      <c r="AD160">
        <v>6000</v>
      </c>
      <c r="AE160">
        <v>0</v>
      </c>
      <c r="AF160">
        <v>0</v>
      </c>
      <c r="AG160">
        <v>0</v>
      </c>
      <c r="AH160" t="s">
        <v>58</v>
      </c>
    </row>
    <row r="161" spans="1:34" x14ac:dyDescent="0.3">
      <c r="A161" t="s">
        <v>798</v>
      </c>
      <c r="B161">
        <v>62200013</v>
      </c>
      <c r="C161">
        <v>20972385</v>
      </c>
      <c r="D161" t="s">
        <v>76</v>
      </c>
      <c r="E161" t="s">
        <v>435</v>
      </c>
      <c r="F161" t="s">
        <v>432</v>
      </c>
      <c r="G161" t="s">
        <v>82</v>
      </c>
      <c r="H161" t="s">
        <v>82</v>
      </c>
      <c r="J161" t="s">
        <v>52</v>
      </c>
      <c r="K161" s="15">
        <v>4000</v>
      </c>
      <c r="L161" s="15">
        <v>0</v>
      </c>
      <c r="M161" s="13">
        <v>44935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63665.191359418066</v>
      </c>
      <c r="W161">
        <v>0</v>
      </c>
      <c r="X161">
        <v>0</v>
      </c>
      <c r="Y161">
        <v>63665.191359418066</v>
      </c>
      <c r="Z161">
        <v>0</v>
      </c>
      <c r="AA161">
        <v>63665.191359418066</v>
      </c>
      <c r="AB161" t="s">
        <v>242</v>
      </c>
      <c r="AC161">
        <v>6</v>
      </c>
      <c r="AD161">
        <v>24000</v>
      </c>
      <c r="AE161">
        <v>0</v>
      </c>
      <c r="AF161">
        <v>0</v>
      </c>
      <c r="AG161">
        <v>0</v>
      </c>
      <c r="AH161" t="s">
        <v>58</v>
      </c>
    </row>
    <row r="162" spans="1:34" x14ac:dyDescent="0.3">
      <c r="A162" t="s">
        <v>798</v>
      </c>
      <c r="B162">
        <v>52200016</v>
      </c>
      <c r="C162" t="s">
        <v>608</v>
      </c>
      <c r="D162" t="s">
        <v>607</v>
      </c>
      <c r="E162" t="s">
        <v>435</v>
      </c>
      <c r="F162" t="s">
        <v>431</v>
      </c>
      <c r="G162" t="s">
        <v>82</v>
      </c>
      <c r="H162" t="s">
        <v>83</v>
      </c>
      <c r="J162" t="s">
        <v>52</v>
      </c>
      <c r="K162" s="15">
        <v>500</v>
      </c>
      <c r="M162" s="13">
        <v>44935</v>
      </c>
      <c r="O162">
        <v>0</v>
      </c>
      <c r="P162">
        <v>0</v>
      </c>
      <c r="Q162">
        <v>0</v>
      </c>
      <c r="R162">
        <v>734.10468655849206</v>
      </c>
      <c r="S162">
        <v>37694.849358356551</v>
      </c>
      <c r="T162">
        <v>0</v>
      </c>
      <c r="U162">
        <v>0</v>
      </c>
      <c r="V162">
        <v>54599.442803738319</v>
      </c>
      <c r="W162">
        <v>0</v>
      </c>
      <c r="X162">
        <v>0</v>
      </c>
      <c r="Y162">
        <v>93028.396848653356</v>
      </c>
      <c r="Z162">
        <v>6460.6004513466423</v>
      </c>
      <c r="AA162">
        <v>99488.997300000003</v>
      </c>
      <c r="AB162" t="s">
        <v>242</v>
      </c>
      <c r="AC162">
        <v>2</v>
      </c>
      <c r="AD162">
        <v>1000</v>
      </c>
      <c r="AE162">
        <v>0</v>
      </c>
      <c r="AF162">
        <v>0</v>
      </c>
      <c r="AG162">
        <v>64.904044915041538</v>
      </c>
      <c r="AH162" t="s">
        <v>58</v>
      </c>
    </row>
    <row r="163" spans="1:34" x14ac:dyDescent="0.3">
      <c r="A163" t="s">
        <v>798</v>
      </c>
      <c r="B163">
        <v>52200360</v>
      </c>
      <c r="C163" t="s">
        <v>610</v>
      </c>
      <c r="D163" t="s">
        <v>609</v>
      </c>
      <c r="E163" t="s">
        <v>436</v>
      </c>
      <c r="F163" t="s">
        <v>431</v>
      </c>
      <c r="G163" t="s">
        <v>82</v>
      </c>
      <c r="H163" t="s">
        <v>83</v>
      </c>
      <c r="J163" t="s">
        <v>52</v>
      </c>
      <c r="K163" s="15">
        <v>1000</v>
      </c>
      <c r="M163" s="13">
        <v>44935</v>
      </c>
      <c r="O163">
        <v>0</v>
      </c>
      <c r="P163">
        <v>0</v>
      </c>
      <c r="Q163">
        <v>0</v>
      </c>
      <c r="R163">
        <v>779.06529143005071</v>
      </c>
      <c r="S163">
        <v>32957.364335024751</v>
      </c>
      <c r="T163">
        <v>0</v>
      </c>
      <c r="U163">
        <v>0</v>
      </c>
      <c r="V163">
        <v>86822.012925146293</v>
      </c>
      <c r="W163">
        <v>0</v>
      </c>
      <c r="X163">
        <v>0</v>
      </c>
      <c r="Y163">
        <v>120558.4425516011</v>
      </c>
      <c r="Z163">
        <v>8384.5564082119745</v>
      </c>
      <c r="AA163">
        <v>128942.99895981306</v>
      </c>
      <c r="AB163" t="s">
        <v>242</v>
      </c>
      <c r="AC163">
        <v>2</v>
      </c>
      <c r="AD163">
        <v>2000</v>
      </c>
      <c r="AE163">
        <v>0</v>
      </c>
      <c r="AF163">
        <v>0</v>
      </c>
      <c r="AG163">
        <v>129.99492560757335</v>
      </c>
      <c r="AH163" t="s">
        <v>58</v>
      </c>
    </row>
    <row r="164" spans="1:34" x14ac:dyDescent="0.3">
      <c r="A164" t="s">
        <v>798</v>
      </c>
      <c r="B164">
        <v>12200001</v>
      </c>
      <c r="C164">
        <v>11371109</v>
      </c>
      <c r="D164" t="s">
        <v>111</v>
      </c>
      <c r="E164" t="s">
        <v>435</v>
      </c>
      <c r="F164" t="s">
        <v>427</v>
      </c>
      <c r="G164" t="s">
        <v>82</v>
      </c>
      <c r="H164" t="s">
        <v>82</v>
      </c>
      <c r="J164" t="s">
        <v>52</v>
      </c>
      <c r="K164" s="15">
        <v>1500</v>
      </c>
      <c r="L164" s="15">
        <v>0</v>
      </c>
      <c r="M164" s="13">
        <v>44936</v>
      </c>
      <c r="O164">
        <v>0</v>
      </c>
      <c r="P164">
        <v>0</v>
      </c>
      <c r="Q164">
        <v>0</v>
      </c>
      <c r="R164">
        <v>0</v>
      </c>
      <c r="S164">
        <v>41774.413513237239</v>
      </c>
      <c r="T164">
        <v>0</v>
      </c>
      <c r="U164">
        <v>0</v>
      </c>
      <c r="V164">
        <v>107144.0766813306</v>
      </c>
      <c r="W164">
        <v>0</v>
      </c>
      <c r="X164">
        <v>0</v>
      </c>
      <c r="Y164">
        <v>148918.49019456783</v>
      </c>
      <c r="Z164">
        <v>0</v>
      </c>
      <c r="AA164">
        <v>148918.49019456783</v>
      </c>
      <c r="AB164" t="s">
        <v>242</v>
      </c>
      <c r="AC164">
        <v>1</v>
      </c>
      <c r="AD164">
        <v>1500</v>
      </c>
      <c r="AE164">
        <v>0</v>
      </c>
      <c r="AF164">
        <v>0</v>
      </c>
      <c r="AG164">
        <v>0</v>
      </c>
      <c r="AH164" t="s">
        <v>72</v>
      </c>
    </row>
    <row r="165" spans="1:34" x14ac:dyDescent="0.3">
      <c r="A165" t="s">
        <v>798</v>
      </c>
      <c r="B165">
        <v>52200413</v>
      </c>
      <c r="C165">
        <v>25523297</v>
      </c>
      <c r="D165" t="s">
        <v>137</v>
      </c>
      <c r="E165" t="s">
        <v>436</v>
      </c>
      <c r="F165" t="s">
        <v>431</v>
      </c>
      <c r="G165" t="s">
        <v>82</v>
      </c>
      <c r="H165" t="s">
        <v>83</v>
      </c>
      <c r="J165" t="s">
        <v>52</v>
      </c>
      <c r="K165" s="15">
        <v>1000</v>
      </c>
      <c r="L165" s="15">
        <v>0</v>
      </c>
      <c r="M165" s="13">
        <v>44936</v>
      </c>
      <c r="O165">
        <v>0</v>
      </c>
      <c r="P165">
        <v>0</v>
      </c>
      <c r="Q165">
        <v>0</v>
      </c>
      <c r="R165">
        <v>979.41507627533531</v>
      </c>
      <c r="S165">
        <v>38204.339974133451</v>
      </c>
      <c r="T165">
        <v>0</v>
      </c>
      <c r="U165">
        <v>0</v>
      </c>
      <c r="V165">
        <v>53410.225185605734</v>
      </c>
      <c r="W165">
        <v>0</v>
      </c>
      <c r="X165">
        <v>0</v>
      </c>
      <c r="Y165">
        <v>92593.980236014526</v>
      </c>
      <c r="Z165">
        <v>6413.0195611817435</v>
      </c>
      <c r="AA165">
        <v>99006.999797196273</v>
      </c>
      <c r="AB165" t="s">
        <v>242</v>
      </c>
      <c r="AC165">
        <v>1</v>
      </c>
      <c r="AD165">
        <v>1000</v>
      </c>
      <c r="AE165">
        <v>0</v>
      </c>
      <c r="AF165">
        <v>0</v>
      </c>
      <c r="AG165">
        <v>64.728089102124727</v>
      </c>
      <c r="AH165" t="s">
        <v>72</v>
      </c>
    </row>
    <row r="166" spans="1:34" x14ac:dyDescent="0.3">
      <c r="A166" t="s">
        <v>798</v>
      </c>
      <c r="B166">
        <v>62200025</v>
      </c>
      <c r="C166">
        <v>9001302</v>
      </c>
      <c r="D166" t="s">
        <v>79</v>
      </c>
      <c r="E166" t="s">
        <v>435</v>
      </c>
      <c r="F166" t="s">
        <v>432</v>
      </c>
      <c r="G166" t="s">
        <v>82</v>
      </c>
      <c r="H166" t="s">
        <v>82</v>
      </c>
      <c r="J166" t="s">
        <v>52</v>
      </c>
      <c r="K166" s="15">
        <v>1000</v>
      </c>
      <c r="L166" s="15">
        <v>0</v>
      </c>
      <c r="M166" s="13">
        <v>44936</v>
      </c>
      <c r="O166">
        <v>0</v>
      </c>
      <c r="P166">
        <v>0</v>
      </c>
      <c r="Q166">
        <v>0</v>
      </c>
      <c r="R166">
        <v>0</v>
      </c>
      <c r="S166">
        <v>7985.2332638356165</v>
      </c>
      <c r="T166">
        <v>0</v>
      </c>
      <c r="U166">
        <v>0</v>
      </c>
      <c r="V166">
        <v>16839.61</v>
      </c>
      <c r="W166">
        <v>0</v>
      </c>
      <c r="X166">
        <v>0</v>
      </c>
      <c r="Y166">
        <v>24824.843263835617</v>
      </c>
      <c r="Z166">
        <v>0</v>
      </c>
      <c r="AA166">
        <v>24824.843263835617</v>
      </c>
      <c r="AB166" t="s">
        <v>242</v>
      </c>
      <c r="AC166">
        <v>5</v>
      </c>
      <c r="AD166">
        <v>5370</v>
      </c>
      <c r="AE166">
        <v>0</v>
      </c>
      <c r="AF166">
        <v>0</v>
      </c>
      <c r="AG166">
        <v>0</v>
      </c>
      <c r="AH166" t="s">
        <v>58</v>
      </c>
    </row>
    <row r="167" spans="1:34" x14ac:dyDescent="0.3">
      <c r="A167" t="s">
        <v>798</v>
      </c>
      <c r="B167">
        <v>22200039</v>
      </c>
      <c r="C167" t="s">
        <v>340</v>
      </c>
      <c r="D167" t="s">
        <v>382</v>
      </c>
      <c r="E167" t="s">
        <v>435</v>
      </c>
      <c r="F167" t="s">
        <v>428</v>
      </c>
      <c r="G167" t="s">
        <v>82</v>
      </c>
      <c r="H167" t="s">
        <v>82</v>
      </c>
      <c r="J167" t="s">
        <v>52</v>
      </c>
      <c r="K167" s="15">
        <v>1000</v>
      </c>
      <c r="L167" s="15">
        <v>0</v>
      </c>
      <c r="M167" s="13">
        <v>44936</v>
      </c>
      <c r="O167">
        <v>0</v>
      </c>
      <c r="P167">
        <v>0</v>
      </c>
      <c r="Q167">
        <v>0</v>
      </c>
      <c r="R167">
        <v>0</v>
      </c>
      <c r="S167">
        <v>4488.6380799999997</v>
      </c>
      <c r="T167">
        <v>0</v>
      </c>
      <c r="U167">
        <v>0</v>
      </c>
      <c r="V167">
        <v>14495.68</v>
      </c>
      <c r="W167">
        <v>0</v>
      </c>
      <c r="X167">
        <v>0</v>
      </c>
      <c r="Y167">
        <v>18984.318080000001</v>
      </c>
      <c r="Z167">
        <v>0</v>
      </c>
      <c r="AA167">
        <v>18984.318080000001</v>
      </c>
      <c r="AB167" t="s">
        <v>242</v>
      </c>
      <c r="AC167">
        <v>4</v>
      </c>
      <c r="AD167">
        <v>4000</v>
      </c>
      <c r="AE167">
        <v>0</v>
      </c>
      <c r="AF167">
        <v>0</v>
      </c>
      <c r="AG167">
        <v>0</v>
      </c>
      <c r="AH167" t="s">
        <v>58</v>
      </c>
    </row>
    <row r="168" spans="1:34" x14ac:dyDescent="0.3">
      <c r="A168" t="s">
        <v>798</v>
      </c>
      <c r="B168">
        <v>2200019</v>
      </c>
      <c r="C168" t="s">
        <v>617</v>
      </c>
      <c r="D168" t="s">
        <v>616</v>
      </c>
      <c r="E168" t="s">
        <v>435</v>
      </c>
      <c r="F168" t="s">
        <v>675</v>
      </c>
      <c r="G168" t="s">
        <v>235</v>
      </c>
      <c r="H168" t="s">
        <v>235</v>
      </c>
      <c r="J168" t="s">
        <v>672</v>
      </c>
      <c r="M168" s="13">
        <v>44936</v>
      </c>
      <c r="O168">
        <v>4787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37783.11</v>
      </c>
      <c r="W168">
        <v>0</v>
      </c>
      <c r="X168">
        <v>0</v>
      </c>
      <c r="Y168">
        <v>42570.11</v>
      </c>
      <c r="Z168">
        <v>0</v>
      </c>
      <c r="AA168">
        <v>42570.11</v>
      </c>
      <c r="AB168" t="s">
        <v>242</v>
      </c>
      <c r="AC168">
        <v>0</v>
      </c>
      <c r="AD168">
        <v>0</v>
      </c>
      <c r="AE168">
        <v>0</v>
      </c>
      <c r="AF168">
        <v>0</v>
      </c>
      <c r="AG168">
        <v>0</v>
      </c>
      <c r="AH168" t="s">
        <v>72</v>
      </c>
    </row>
    <row r="169" spans="1:34" x14ac:dyDescent="0.3">
      <c r="A169" t="s">
        <v>798</v>
      </c>
      <c r="B169">
        <v>2200019</v>
      </c>
      <c r="C169" t="s">
        <v>617</v>
      </c>
      <c r="D169" t="s">
        <v>616</v>
      </c>
      <c r="E169" t="s">
        <v>435</v>
      </c>
      <c r="F169" t="s">
        <v>675</v>
      </c>
      <c r="G169" t="s">
        <v>235</v>
      </c>
      <c r="H169" t="s">
        <v>235</v>
      </c>
      <c r="J169" t="s">
        <v>52</v>
      </c>
      <c r="K169" s="15">
        <v>1600</v>
      </c>
      <c r="M169" s="13">
        <v>44936</v>
      </c>
      <c r="O169">
        <v>3187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37783.11</v>
      </c>
      <c r="W169">
        <v>0</v>
      </c>
      <c r="X169">
        <v>0</v>
      </c>
      <c r="Y169">
        <v>40970.11</v>
      </c>
      <c r="Z169">
        <v>0</v>
      </c>
      <c r="AA169">
        <v>40970.11</v>
      </c>
      <c r="AB169" t="s">
        <v>242</v>
      </c>
      <c r="AC169">
        <v>1</v>
      </c>
      <c r="AD169">
        <v>1600</v>
      </c>
      <c r="AE169">
        <v>0</v>
      </c>
      <c r="AF169">
        <v>0</v>
      </c>
      <c r="AG169">
        <v>0</v>
      </c>
      <c r="AH169" t="s">
        <v>58</v>
      </c>
    </row>
    <row r="170" spans="1:34" x14ac:dyDescent="0.3">
      <c r="A170" t="s">
        <v>798</v>
      </c>
      <c r="B170">
        <v>62200018</v>
      </c>
      <c r="C170" t="s">
        <v>618</v>
      </c>
      <c r="D170" t="s">
        <v>616</v>
      </c>
      <c r="E170" t="s">
        <v>435</v>
      </c>
      <c r="F170" t="s">
        <v>432</v>
      </c>
      <c r="G170" t="s">
        <v>235</v>
      </c>
      <c r="H170" t="s">
        <v>235</v>
      </c>
      <c r="J170" t="s">
        <v>672</v>
      </c>
      <c r="M170" s="13">
        <v>44936</v>
      </c>
      <c r="O170">
        <v>4979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47216.92</v>
      </c>
      <c r="W170">
        <v>0</v>
      </c>
      <c r="X170">
        <v>0</v>
      </c>
      <c r="Y170">
        <v>52195.92</v>
      </c>
      <c r="Z170">
        <v>0</v>
      </c>
      <c r="AA170">
        <v>52195.92</v>
      </c>
      <c r="AB170" t="s">
        <v>242</v>
      </c>
      <c r="AC170">
        <v>0</v>
      </c>
      <c r="AD170">
        <v>0</v>
      </c>
      <c r="AE170">
        <v>0</v>
      </c>
      <c r="AF170">
        <v>0</v>
      </c>
      <c r="AG170">
        <v>0</v>
      </c>
      <c r="AH170" t="s">
        <v>72</v>
      </c>
    </row>
    <row r="171" spans="1:34" x14ac:dyDescent="0.3">
      <c r="A171" t="s">
        <v>798</v>
      </c>
      <c r="B171">
        <v>62200018</v>
      </c>
      <c r="C171" t="s">
        <v>618</v>
      </c>
      <c r="D171" t="s">
        <v>616</v>
      </c>
      <c r="E171" t="s">
        <v>435</v>
      </c>
      <c r="F171" t="s">
        <v>432</v>
      </c>
      <c r="G171" t="s">
        <v>82</v>
      </c>
      <c r="H171" t="s">
        <v>82</v>
      </c>
      <c r="J171" t="s">
        <v>52</v>
      </c>
      <c r="K171" s="15">
        <v>1700</v>
      </c>
      <c r="M171" s="13">
        <v>44936</v>
      </c>
      <c r="O171">
        <v>3279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47216.92</v>
      </c>
      <c r="W171">
        <v>0</v>
      </c>
      <c r="X171">
        <v>0</v>
      </c>
      <c r="Y171">
        <v>50495.92</v>
      </c>
      <c r="Z171">
        <v>0</v>
      </c>
      <c r="AA171">
        <v>50495.92</v>
      </c>
      <c r="AB171" t="s">
        <v>242</v>
      </c>
      <c r="AC171">
        <v>1</v>
      </c>
      <c r="AD171">
        <v>1700</v>
      </c>
      <c r="AE171">
        <v>0</v>
      </c>
      <c r="AF171">
        <v>0</v>
      </c>
      <c r="AG171">
        <v>0</v>
      </c>
      <c r="AH171" t="s">
        <v>58</v>
      </c>
    </row>
    <row r="172" spans="1:34" x14ac:dyDescent="0.3">
      <c r="A172" t="s">
        <v>798</v>
      </c>
      <c r="B172">
        <v>62200019</v>
      </c>
      <c r="C172" t="s">
        <v>619</v>
      </c>
      <c r="D172" t="s">
        <v>616</v>
      </c>
      <c r="E172" t="s">
        <v>435</v>
      </c>
      <c r="F172" t="s">
        <v>432</v>
      </c>
      <c r="G172" t="s">
        <v>235</v>
      </c>
      <c r="H172" t="s">
        <v>235</v>
      </c>
      <c r="J172" t="s">
        <v>672</v>
      </c>
      <c r="M172" s="13">
        <v>44936</v>
      </c>
      <c r="O172">
        <v>4279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48957.459999999992</v>
      </c>
      <c r="W172">
        <v>0</v>
      </c>
      <c r="X172">
        <v>0</v>
      </c>
      <c r="Y172">
        <v>53236.459999999992</v>
      </c>
      <c r="Z172">
        <v>0</v>
      </c>
      <c r="AA172">
        <v>53236.459999999992</v>
      </c>
      <c r="AB172" t="s">
        <v>242</v>
      </c>
      <c r="AC172">
        <v>0</v>
      </c>
      <c r="AD172">
        <v>0</v>
      </c>
      <c r="AE172">
        <v>0</v>
      </c>
      <c r="AF172">
        <v>0</v>
      </c>
      <c r="AG172">
        <v>0</v>
      </c>
      <c r="AH172" t="s">
        <v>72</v>
      </c>
    </row>
    <row r="173" spans="1:34" x14ac:dyDescent="0.3">
      <c r="A173" t="s">
        <v>798</v>
      </c>
      <c r="B173">
        <v>62200019</v>
      </c>
      <c r="C173" t="s">
        <v>619</v>
      </c>
      <c r="D173" t="s">
        <v>616</v>
      </c>
      <c r="E173" t="s">
        <v>435</v>
      </c>
      <c r="F173" t="s">
        <v>432</v>
      </c>
      <c r="G173" t="s">
        <v>82</v>
      </c>
      <c r="H173" t="s">
        <v>82</v>
      </c>
      <c r="J173" t="s">
        <v>52</v>
      </c>
      <c r="K173" s="15">
        <v>1700</v>
      </c>
      <c r="M173" s="13">
        <v>44936</v>
      </c>
      <c r="O173">
        <v>2579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48957.459999999992</v>
      </c>
      <c r="W173">
        <v>0</v>
      </c>
      <c r="X173">
        <v>0</v>
      </c>
      <c r="Y173">
        <v>51536.459999999992</v>
      </c>
      <c r="Z173">
        <v>0</v>
      </c>
      <c r="AA173">
        <v>51536.459999999992</v>
      </c>
      <c r="AB173" t="s">
        <v>242</v>
      </c>
      <c r="AC173">
        <v>1</v>
      </c>
      <c r="AD173">
        <v>1700</v>
      </c>
      <c r="AE173">
        <v>0</v>
      </c>
      <c r="AF173">
        <v>0</v>
      </c>
      <c r="AG173">
        <v>0</v>
      </c>
      <c r="AH173" t="s">
        <v>58</v>
      </c>
    </row>
    <row r="174" spans="1:34" x14ac:dyDescent="0.3">
      <c r="A174" t="s">
        <v>798</v>
      </c>
      <c r="B174">
        <v>12200034</v>
      </c>
      <c r="C174" t="s">
        <v>335</v>
      </c>
      <c r="D174" t="s">
        <v>377</v>
      </c>
      <c r="E174" t="s">
        <v>435</v>
      </c>
      <c r="F174" t="s">
        <v>427</v>
      </c>
      <c r="G174" t="s">
        <v>82</v>
      </c>
      <c r="H174" t="s">
        <v>82</v>
      </c>
      <c r="J174" t="s">
        <v>52</v>
      </c>
      <c r="K174" s="15">
        <v>4000</v>
      </c>
      <c r="L174" s="15">
        <v>0</v>
      </c>
      <c r="M174" s="13">
        <v>44938</v>
      </c>
      <c r="O174">
        <v>0</v>
      </c>
      <c r="P174">
        <v>0</v>
      </c>
      <c r="Q174">
        <v>0</v>
      </c>
      <c r="R174">
        <v>0</v>
      </c>
      <c r="S174">
        <v>54661.198766627611</v>
      </c>
      <c r="T174">
        <v>0</v>
      </c>
      <c r="U174">
        <v>0</v>
      </c>
      <c r="V174">
        <v>217029.64307241238</v>
      </c>
      <c r="W174">
        <v>0</v>
      </c>
      <c r="X174">
        <v>0</v>
      </c>
      <c r="Y174">
        <v>271690.84183903999</v>
      </c>
      <c r="Z174">
        <v>0</v>
      </c>
      <c r="AA174">
        <v>271690.84183903999</v>
      </c>
      <c r="AB174" t="s">
        <v>242</v>
      </c>
      <c r="AC174">
        <v>4</v>
      </c>
      <c r="AD174">
        <v>16000</v>
      </c>
      <c r="AE174">
        <v>0</v>
      </c>
      <c r="AF174">
        <v>0</v>
      </c>
      <c r="AG174">
        <v>0</v>
      </c>
      <c r="AH174" t="s">
        <v>58</v>
      </c>
    </row>
    <row r="175" spans="1:34" x14ac:dyDescent="0.3">
      <c r="A175" t="s">
        <v>798</v>
      </c>
      <c r="B175">
        <v>12200017</v>
      </c>
      <c r="C175">
        <v>22099815</v>
      </c>
      <c r="D175" t="s">
        <v>807</v>
      </c>
      <c r="E175" t="s">
        <v>435</v>
      </c>
      <c r="F175" t="s">
        <v>427</v>
      </c>
      <c r="G175" t="s">
        <v>82</v>
      </c>
      <c r="H175" t="s">
        <v>82</v>
      </c>
      <c r="J175" t="s">
        <v>52</v>
      </c>
      <c r="K175" s="15">
        <v>2000</v>
      </c>
      <c r="L175" s="15">
        <v>0</v>
      </c>
      <c r="M175" s="13">
        <v>44942</v>
      </c>
      <c r="O175">
        <v>0</v>
      </c>
      <c r="P175">
        <v>0</v>
      </c>
      <c r="Q175">
        <v>0</v>
      </c>
      <c r="R175">
        <v>0</v>
      </c>
      <c r="S175">
        <v>36321.154535560141</v>
      </c>
      <c r="T175">
        <v>0</v>
      </c>
      <c r="U175">
        <v>0</v>
      </c>
      <c r="V175">
        <v>149162.46575342465</v>
      </c>
      <c r="W175">
        <v>0</v>
      </c>
      <c r="X175">
        <v>0</v>
      </c>
      <c r="Y175">
        <v>185483.62028898479</v>
      </c>
      <c r="Z175">
        <v>0</v>
      </c>
      <c r="AA175">
        <v>185483.62028898479</v>
      </c>
      <c r="AB175" t="s">
        <v>242</v>
      </c>
      <c r="AC175">
        <v>5</v>
      </c>
      <c r="AD175">
        <v>6000</v>
      </c>
      <c r="AE175">
        <v>0</v>
      </c>
      <c r="AF175">
        <v>0</v>
      </c>
      <c r="AG175">
        <v>0</v>
      </c>
      <c r="AH175" t="s">
        <v>58</v>
      </c>
    </row>
    <row r="176" spans="1:34" x14ac:dyDescent="0.3">
      <c r="A176" t="s">
        <v>798</v>
      </c>
      <c r="B176">
        <v>52200412</v>
      </c>
      <c r="C176">
        <v>25145601</v>
      </c>
      <c r="D176" t="s">
        <v>86</v>
      </c>
      <c r="E176" t="s">
        <v>436</v>
      </c>
      <c r="F176" t="s">
        <v>431</v>
      </c>
      <c r="G176" t="s">
        <v>82</v>
      </c>
      <c r="H176" t="s">
        <v>83</v>
      </c>
      <c r="J176" t="s">
        <v>52</v>
      </c>
      <c r="K176" s="15">
        <v>500</v>
      </c>
      <c r="L176" s="15">
        <v>0</v>
      </c>
      <c r="M176" s="13">
        <v>44942</v>
      </c>
      <c r="O176">
        <v>0</v>
      </c>
      <c r="P176">
        <v>0</v>
      </c>
      <c r="Q176">
        <v>0</v>
      </c>
      <c r="R176">
        <v>880.73632564753484</v>
      </c>
      <c r="S176">
        <v>32362.487846586722</v>
      </c>
      <c r="T176">
        <v>0</v>
      </c>
      <c r="U176">
        <v>0</v>
      </c>
      <c r="V176">
        <v>52616.263104201244</v>
      </c>
      <c r="W176">
        <v>0</v>
      </c>
      <c r="X176">
        <v>0</v>
      </c>
      <c r="Y176">
        <v>85859.48727643551</v>
      </c>
      <c r="Z176">
        <v>5948.5125665551586</v>
      </c>
      <c r="AA176">
        <v>91807.99984299067</v>
      </c>
      <c r="AB176" t="s">
        <v>242</v>
      </c>
      <c r="AC176">
        <v>2</v>
      </c>
      <c r="AD176">
        <v>1000</v>
      </c>
      <c r="AE176">
        <v>0</v>
      </c>
      <c r="AF176">
        <v>0</v>
      </c>
      <c r="AG176">
        <v>64.749105416193913</v>
      </c>
      <c r="AH176" t="s">
        <v>58</v>
      </c>
    </row>
    <row r="177" spans="1:34" x14ac:dyDescent="0.3">
      <c r="A177" t="s">
        <v>798</v>
      </c>
      <c r="B177">
        <v>12200033</v>
      </c>
      <c r="C177" t="s">
        <v>365</v>
      </c>
      <c r="D177" t="s">
        <v>404</v>
      </c>
      <c r="E177" t="s">
        <v>435</v>
      </c>
      <c r="F177" t="s">
        <v>427</v>
      </c>
      <c r="G177" t="s">
        <v>82</v>
      </c>
      <c r="H177" t="s">
        <v>82</v>
      </c>
      <c r="J177" t="s">
        <v>416</v>
      </c>
      <c r="K177" s="15">
        <v>0.16115589729442781</v>
      </c>
      <c r="L177" s="15">
        <v>0</v>
      </c>
      <c r="M177" s="13">
        <v>44942</v>
      </c>
      <c r="O177">
        <v>0</v>
      </c>
      <c r="P177">
        <v>0</v>
      </c>
      <c r="Q177">
        <v>0</v>
      </c>
      <c r="R177">
        <v>1415.1300012643003</v>
      </c>
      <c r="S177">
        <v>15840.53093164078</v>
      </c>
      <c r="T177">
        <v>0</v>
      </c>
      <c r="U177">
        <v>0</v>
      </c>
      <c r="V177">
        <v>82744.33906709493</v>
      </c>
      <c r="W177">
        <v>0</v>
      </c>
      <c r="X177">
        <v>0</v>
      </c>
      <c r="Y177">
        <v>100000.00000000001</v>
      </c>
      <c r="Z177">
        <v>0</v>
      </c>
      <c r="AA177">
        <v>100000.00000000001</v>
      </c>
      <c r="AB177" t="s">
        <v>242</v>
      </c>
      <c r="AC177">
        <v>0</v>
      </c>
      <c r="AD177">
        <v>0</v>
      </c>
      <c r="AE177">
        <v>0</v>
      </c>
      <c r="AF177">
        <v>0</v>
      </c>
      <c r="AG177">
        <v>0</v>
      </c>
      <c r="AH177" t="s">
        <v>72</v>
      </c>
    </row>
    <row r="178" spans="1:34" x14ac:dyDescent="0.3">
      <c r="A178" t="s">
        <v>798</v>
      </c>
      <c r="B178">
        <v>12200033</v>
      </c>
      <c r="C178" t="s">
        <v>365</v>
      </c>
      <c r="D178" t="s">
        <v>404</v>
      </c>
      <c r="E178" t="s">
        <v>435</v>
      </c>
      <c r="F178" t="s">
        <v>427</v>
      </c>
      <c r="G178" t="s">
        <v>417</v>
      </c>
      <c r="H178" t="s">
        <v>82</v>
      </c>
      <c r="J178" t="s">
        <v>52</v>
      </c>
      <c r="K178" s="15">
        <v>100000</v>
      </c>
      <c r="L178" s="15">
        <v>0</v>
      </c>
      <c r="M178" s="13">
        <v>44943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242</v>
      </c>
      <c r="AC178">
        <v>1</v>
      </c>
      <c r="AD178">
        <v>100000</v>
      </c>
      <c r="AE178">
        <v>0</v>
      </c>
      <c r="AF178">
        <v>0</v>
      </c>
      <c r="AG178">
        <v>0</v>
      </c>
      <c r="AH178" t="s">
        <v>58</v>
      </c>
    </row>
    <row r="179" spans="1:34" x14ac:dyDescent="0.3">
      <c r="A179" t="s">
        <v>798</v>
      </c>
      <c r="B179">
        <v>12200197</v>
      </c>
      <c r="C179" t="s">
        <v>339</v>
      </c>
      <c r="D179" t="s">
        <v>381</v>
      </c>
      <c r="E179" t="s">
        <v>438</v>
      </c>
      <c r="F179" t="s">
        <v>427</v>
      </c>
      <c r="G179" t="s">
        <v>82</v>
      </c>
      <c r="H179" t="s">
        <v>82</v>
      </c>
      <c r="J179" t="s">
        <v>416</v>
      </c>
      <c r="K179" s="15">
        <v>0.41145799131749972</v>
      </c>
      <c r="L179" s="15">
        <v>0</v>
      </c>
      <c r="M179" s="13">
        <v>44945</v>
      </c>
      <c r="O179">
        <v>0</v>
      </c>
      <c r="P179">
        <v>0</v>
      </c>
      <c r="Q179">
        <v>0</v>
      </c>
      <c r="R179">
        <v>1544.9227727915631</v>
      </c>
      <c r="S179">
        <v>24632.477773786883</v>
      </c>
      <c r="T179">
        <v>0</v>
      </c>
      <c r="U179">
        <v>0</v>
      </c>
      <c r="V179">
        <v>73822.599453421542</v>
      </c>
      <c r="W179">
        <v>0</v>
      </c>
      <c r="X179">
        <v>0</v>
      </c>
      <c r="Y179">
        <v>99999.999999999985</v>
      </c>
      <c r="Z179">
        <v>0</v>
      </c>
      <c r="AA179">
        <v>99999.999999999985</v>
      </c>
      <c r="AB179" t="s">
        <v>242</v>
      </c>
      <c r="AC179">
        <v>0</v>
      </c>
      <c r="AD179">
        <v>0</v>
      </c>
      <c r="AE179">
        <v>0</v>
      </c>
      <c r="AF179">
        <v>0</v>
      </c>
      <c r="AG179">
        <v>0</v>
      </c>
      <c r="AH179" t="s">
        <v>72</v>
      </c>
    </row>
    <row r="180" spans="1:34" x14ac:dyDescent="0.3">
      <c r="A180" t="s">
        <v>798</v>
      </c>
      <c r="B180">
        <v>12200197</v>
      </c>
      <c r="C180" t="s">
        <v>339</v>
      </c>
      <c r="D180" t="s">
        <v>381</v>
      </c>
      <c r="E180" t="s">
        <v>438</v>
      </c>
      <c r="F180" t="s">
        <v>427</v>
      </c>
      <c r="G180" t="s">
        <v>417</v>
      </c>
      <c r="H180" t="s">
        <v>82</v>
      </c>
      <c r="J180" t="s">
        <v>52</v>
      </c>
      <c r="K180" s="15">
        <v>100000</v>
      </c>
      <c r="L180" s="15">
        <v>0</v>
      </c>
      <c r="M180" s="13">
        <v>44945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242</v>
      </c>
      <c r="AC180">
        <v>1</v>
      </c>
      <c r="AD180">
        <v>100000</v>
      </c>
      <c r="AE180">
        <v>0</v>
      </c>
      <c r="AF180">
        <v>0</v>
      </c>
      <c r="AG180">
        <v>0</v>
      </c>
      <c r="AH180" t="s">
        <v>58</v>
      </c>
    </row>
    <row r="181" spans="1:34" x14ac:dyDescent="0.3">
      <c r="A181" t="s">
        <v>798</v>
      </c>
      <c r="B181">
        <v>22200068</v>
      </c>
      <c r="C181">
        <v>20579132</v>
      </c>
      <c r="D181" t="s">
        <v>80</v>
      </c>
      <c r="E181" t="s">
        <v>435</v>
      </c>
      <c r="F181" t="s">
        <v>428</v>
      </c>
      <c r="G181" t="s">
        <v>82</v>
      </c>
      <c r="H181" t="s">
        <v>82</v>
      </c>
      <c r="J181" t="s">
        <v>52</v>
      </c>
      <c r="K181" s="15">
        <v>1000</v>
      </c>
      <c r="L181" s="15">
        <v>0</v>
      </c>
      <c r="M181" s="13">
        <v>44946</v>
      </c>
      <c r="O181">
        <v>0</v>
      </c>
      <c r="P181">
        <v>0</v>
      </c>
      <c r="Q181">
        <v>0</v>
      </c>
      <c r="R181">
        <v>0</v>
      </c>
      <c r="S181">
        <v>5557.3615921232877</v>
      </c>
      <c r="T181">
        <v>0</v>
      </c>
      <c r="U181">
        <v>0</v>
      </c>
      <c r="V181">
        <v>21133.91</v>
      </c>
      <c r="W181">
        <v>0</v>
      </c>
      <c r="X181">
        <v>0</v>
      </c>
      <c r="Y181">
        <v>26691.271592123288</v>
      </c>
      <c r="Z181">
        <v>0</v>
      </c>
      <c r="AA181">
        <v>26691.271592123288</v>
      </c>
      <c r="AB181" t="s">
        <v>242</v>
      </c>
      <c r="AC181">
        <v>3</v>
      </c>
      <c r="AD181">
        <v>3000</v>
      </c>
      <c r="AE181">
        <v>0</v>
      </c>
      <c r="AF181">
        <v>0</v>
      </c>
      <c r="AG181">
        <v>0</v>
      </c>
      <c r="AH181" t="s">
        <v>58</v>
      </c>
    </row>
    <row r="182" spans="1:34" x14ac:dyDescent="0.3">
      <c r="A182" t="s">
        <v>798</v>
      </c>
      <c r="B182">
        <v>52200239</v>
      </c>
      <c r="C182">
        <v>25091589</v>
      </c>
      <c r="D182" t="s">
        <v>844</v>
      </c>
      <c r="E182" t="s">
        <v>436</v>
      </c>
      <c r="F182" t="s">
        <v>431</v>
      </c>
      <c r="G182" t="s">
        <v>82</v>
      </c>
      <c r="H182" t="s">
        <v>83</v>
      </c>
      <c r="J182" t="s">
        <v>52</v>
      </c>
      <c r="K182" s="15">
        <v>1000</v>
      </c>
      <c r="L182" s="15">
        <v>0</v>
      </c>
      <c r="M182" s="13">
        <v>44946</v>
      </c>
      <c r="O182">
        <v>0</v>
      </c>
      <c r="P182">
        <v>0</v>
      </c>
      <c r="Q182">
        <v>0</v>
      </c>
      <c r="R182">
        <v>937.0809459298514</v>
      </c>
      <c r="S182">
        <v>33696.142611455194</v>
      </c>
      <c r="T182">
        <v>0</v>
      </c>
      <c r="U182">
        <v>0</v>
      </c>
      <c r="V182">
        <v>54126.211626342912</v>
      </c>
      <c r="W182">
        <v>0</v>
      </c>
      <c r="X182">
        <v>0</v>
      </c>
      <c r="Y182">
        <v>88759.435183727968</v>
      </c>
      <c r="Z182">
        <v>6147.5647966458682</v>
      </c>
      <c r="AA182">
        <v>94906.999980373832</v>
      </c>
      <c r="AB182" t="s">
        <v>242</v>
      </c>
      <c r="AC182">
        <v>3</v>
      </c>
      <c r="AD182">
        <v>5000</v>
      </c>
      <c r="AE182">
        <v>0</v>
      </c>
      <c r="AF182">
        <v>0</v>
      </c>
      <c r="AG182">
        <v>323.64080954681265</v>
      </c>
      <c r="AH182" t="s">
        <v>58</v>
      </c>
    </row>
    <row r="183" spans="1:34" x14ac:dyDescent="0.3">
      <c r="A183" t="s">
        <v>798</v>
      </c>
      <c r="B183">
        <v>52200058</v>
      </c>
      <c r="C183" t="s">
        <v>456</v>
      </c>
      <c r="D183" t="s">
        <v>525</v>
      </c>
      <c r="E183" t="s">
        <v>436</v>
      </c>
      <c r="F183" t="s">
        <v>431</v>
      </c>
      <c r="G183" t="s">
        <v>82</v>
      </c>
      <c r="H183" t="s">
        <v>83</v>
      </c>
      <c r="J183" t="s">
        <v>416</v>
      </c>
      <c r="K183" s="15">
        <v>0.45789964426793817</v>
      </c>
      <c r="L183" s="15">
        <v>0</v>
      </c>
      <c r="M183" s="13">
        <v>44946</v>
      </c>
      <c r="O183">
        <v>0</v>
      </c>
      <c r="P183">
        <v>0</v>
      </c>
      <c r="Q183">
        <v>0</v>
      </c>
      <c r="R183">
        <v>429.34348173979299</v>
      </c>
      <c r="S183">
        <v>35188.497349308142</v>
      </c>
      <c r="T183">
        <v>0</v>
      </c>
      <c r="U183">
        <v>0</v>
      </c>
      <c r="V183">
        <v>49737.349864019168</v>
      </c>
      <c r="W183">
        <v>0</v>
      </c>
      <c r="X183">
        <v>0</v>
      </c>
      <c r="Y183">
        <v>85355.190695067111</v>
      </c>
      <c r="Z183">
        <v>5944.8093049329118</v>
      </c>
      <c r="AA183">
        <v>91300.000000000029</v>
      </c>
      <c r="AB183" t="s">
        <v>242</v>
      </c>
      <c r="AC183">
        <v>0</v>
      </c>
      <c r="AD183">
        <v>0</v>
      </c>
      <c r="AE183">
        <v>0</v>
      </c>
      <c r="AF183">
        <v>0</v>
      </c>
      <c r="AG183">
        <v>0</v>
      </c>
      <c r="AH183" t="s">
        <v>72</v>
      </c>
    </row>
    <row r="184" spans="1:34" x14ac:dyDescent="0.3">
      <c r="A184" t="s">
        <v>798</v>
      </c>
      <c r="B184">
        <v>52200058</v>
      </c>
      <c r="C184" t="s">
        <v>456</v>
      </c>
      <c r="D184" t="s">
        <v>525</v>
      </c>
      <c r="E184" t="s">
        <v>436</v>
      </c>
      <c r="F184" t="s">
        <v>431</v>
      </c>
      <c r="G184" t="s">
        <v>82</v>
      </c>
      <c r="H184" t="s">
        <v>83</v>
      </c>
      <c r="J184" t="s">
        <v>52</v>
      </c>
      <c r="K184" s="15">
        <v>40000</v>
      </c>
      <c r="L184" s="15">
        <v>0</v>
      </c>
      <c r="M184" s="13">
        <v>44946</v>
      </c>
      <c r="O184">
        <v>0</v>
      </c>
      <c r="P184">
        <v>0</v>
      </c>
      <c r="Q184">
        <v>0</v>
      </c>
      <c r="R184">
        <v>228.14026105991994</v>
      </c>
      <c r="S184">
        <v>0</v>
      </c>
      <c r="T184">
        <v>0</v>
      </c>
      <c r="U184">
        <v>0</v>
      </c>
      <c r="V184">
        <v>47730.710036392615</v>
      </c>
      <c r="W184">
        <v>0</v>
      </c>
      <c r="X184">
        <v>0</v>
      </c>
      <c r="Y184">
        <v>47958.850297452533</v>
      </c>
      <c r="Z184">
        <v>3341.1497025474832</v>
      </c>
      <c r="AA184">
        <v>51300.000000000015</v>
      </c>
      <c r="AB184" t="s">
        <v>242</v>
      </c>
      <c r="AC184">
        <v>1</v>
      </c>
      <c r="AD184">
        <v>40000</v>
      </c>
      <c r="AE184">
        <v>0</v>
      </c>
      <c r="AF184">
        <v>0</v>
      </c>
      <c r="AG184">
        <v>2603.659602385429</v>
      </c>
      <c r="AH184" t="s">
        <v>58</v>
      </c>
    </row>
    <row r="185" spans="1:34" x14ac:dyDescent="0.3">
      <c r="A185" t="s">
        <v>798</v>
      </c>
      <c r="B185">
        <v>82200024</v>
      </c>
      <c r="C185" t="s">
        <v>246</v>
      </c>
      <c r="D185" t="s">
        <v>317</v>
      </c>
      <c r="E185" t="s">
        <v>440</v>
      </c>
      <c r="F185" t="s">
        <v>433</v>
      </c>
      <c r="G185" t="s">
        <v>82</v>
      </c>
      <c r="H185" t="s">
        <v>83</v>
      </c>
      <c r="J185" t="s">
        <v>52</v>
      </c>
      <c r="K185" s="15">
        <v>10000</v>
      </c>
      <c r="L185" s="15">
        <v>0</v>
      </c>
      <c r="M185" s="13">
        <v>44950</v>
      </c>
      <c r="O185">
        <v>0</v>
      </c>
      <c r="P185">
        <v>0</v>
      </c>
      <c r="Q185">
        <v>25539.528490522782</v>
      </c>
      <c r="R185">
        <v>4997.25</v>
      </c>
      <c r="S185">
        <v>0</v>
      </c>
      <c r="T185">
        <v>0</v>
      </c>
      <c r="U185">
        <v>0</v>
      </c>
      <c r="V185">
        <v>284781.34477521235</v>
      </c>
      <c r="W185">
        <v>0</v>
      </c>
      <c r="X185">
        <v>0</v>
      </c>
      <c r="Y185">
        <v>315318.12326573511</v>
      </c>
      <c r="Z185">
        <v>19934.694134264868</v>
      </c>
      <c r="AA185">
        <v>335252.8174</v>
      </c>
      <c r="AB185" t="s">
        <v>242</v>
      </c>
      <c r="AC185">
        <v>2</v>
      </c>
      <c r="AD185">
        <v>50000</v>
      </c>
      <c r="AE185">
        <v>0</v>
      </c>
      <c r="AF185">
        <v>0</v>
      </c>
      <c r="AG185">
        <v>2951.7932657351375</v>
      </c>
      <c r="AH185" t="s">
        <v>58</v>
      </c>
    </row>
    <row r="186" spans="1:34" x14ac:dyDescent="0.3">
      <c r="A186" t="s">
        <v>798</v>
      </c>
      <c r="B186">
        <v>22200050</v>
      </c>
      <c r="C186">
        <v>20757954</v>
      </c>
      <c r="D186" t="s">
        <v>120</v>
      </c>
      <c r="E186" t="s">
        <v>435</v>
      </c>
      <c r="F186" t="s">
        <v>428</v>
      </c>
      <c r="G186" t="s">
        <v>82</v>
      </c>
      <c r="H186" t="s">
        <v>82</v>
      </c>
      <c r="J186" t="s">
        <v>52</v>
      </c>
      <c r="K186" s="15">
        <v>500</v>
      </c>
      <c r="L186" s="15">
        <v>0</v>
      </c>
      <c r="M186" s="13">
        <v>44951</v>
      </c>
      <c r="O186">
        <v>0</v>
      </c>
      <c r="P186">
        <v>0</v>
      </c>
      <c r="Q186">
        <v>0</v>
      </c>
      <c r="R186">
        <v>1111</v>
      </c>
      <c r="S186">
        <v>4321.2079698630132</v>
      </c>
      <c r="T186">
        <v>0</v>
      </c>
      <c r="U186">
        <v>0</v>
      </c>
      <c r="V186">
        <v>14084.08</v>
      </c>
      <c r="W186">
        <v>0</v>
      </c>
      <c r="X186">
        <v>0</v>
      </c>
      <c r="Y186">
        <v>19516.287969863013</v>
      </c>
      <c r="Z186">
        <v>0</v>
      </c>
      <c r="AA186">
        <v>19516.287969863013</v>
      </c>
      <c r="AB186" t="s">
        <v>242</v>
      </c>
      <c r="AC186">
        <v>1</v>
      </c>
      <c r="AD186">
        <v>500</v>
      </c>
      <c r="AE186">
        <v>0</v>
      </c>
      <c r="AF186">
        <v>0</v>
      </c>
      <c r="AG186">
        <v>0</v>
      </c>
      <c r="AH186" t="s">
        <v>72</v>
      </c>
    </row>
    <row r="187" spans="1:34" x14ac:dyDescent="0.3">
      <c r="A187" t="s">
        <v>798</v>
      </c>
      <c r="B187">
        <v>32200045</v>
      </c>
      <c r="C187">
        <v>20758058</v>
      </c>
      <c r="D187" t="s">
        <v>120</v>
      </c>
      <c r="E187" t="s">
        <v>435</v>
      </c>
      <c r="F187" t="s">
        <v>429</v>
      </c>
      <c r="G187" t="s">
        <v>82</v>
      </c>
      <c r="H187" t="s">
        <v>82</v>
      </c>
      <c r="J187" t="s">
        <v>52</v>
      </c>
      <c r="K187" s="15">
        <v>500</v>
      </c>
      <c r="L187" s="15">
        <v>0</v>
      </c>
      <c r="M187" s="13">
        <v>44951</v>
      </c>
      <c r="O187">
        <v>0</v>
      </c>
      <c r="P187">
        <v>0</v>
      </c>
      <c r="Q187">
        <v>0</v>
      </c>
      <c r="R187">
        <v>951</v>
      </c>
      <c r="S187">
        <v>5973.0488810958905</v>
      </c>
      <c r="T187">
        <v>0</v>
      </c>
      <c r="U187">
        <v>0</v>
      </c>
      <c r="V187">
        <v>18314.54</v>
      </c>
      <c r="W187">
        <v>0</v>
      </c>
      <c r="X187">
        <v>0</v>
      </c>
      <c r="Y187">
        <v>25238.588881095893</v>
      </c>
      <c r="Z187">
        <v>0</v>
      </c>
      <c r="AA187">
        <v>25238.588881095893</v>
      </c>
      <c r="AB187" t="s">
        <v>242</v>
      </c>
      <c r="AC187">
        <v>1</v>
      </c>
      <c r="AD187">
        <v>500</v>
      </c>
      <c r="AE187">
        <v>0</v>
      </c>
      <c r="AF187">
        <v>0</v>
      </c>
      <c r="AG187">
        <v>0</v>
      </c>
      <c r="AH187" t="s">
        <v>72</v>
      </c>
    </row>
    <row r="188" spans="1:34" x14ac:dyDescent="0.3">
      <c r="A188" t="s">
        <v>798</v>
      </c>
      <c r="B188">
        <v>52200151</v>
      </c>
      <c r="C188" t="s">
        <v>605</v>
      </c>
      <c r="D188" t="s">
        <v>604</v>
      </c>
      <c r="E188" t="s">
        <v>436</v>
      </c>
      <c r="F188" t="s">
        <v>431</v>
      </c>
      <c r="G188" t="s">
        <v>82</v>
      </c>
      <c r="H188" t="s">
        <v>83</v>
      </c>
      <c r="J188" t="s">
        <v>52</v>
      </c>
      <c r="K188" s="15">
        <v>3000</v>
      </c>
      <c r="M188" s="13">
        <v>44951</v>
      </c>
      <c r="O188">
        <v>0</v>
      </c>
      <c r="P188">
        <v>0</v>
      </c>
      <c r="Q188">
        <v>0</v>
      </c>
      <c r="R188">
        <v>675.09309690261625</v>
      </c>
      <c r="S188">
        <v>26822.620804711503</v>
      </c>
      <c r="T188">
        <v>0</v>
      </c>
      <c r="U188">
        <v>0</v>
      </c>
      <c r="V188">
        <v>85797.853792470967</v>
      </c>
      <c r="W188">
        <v>0</v>
      </c>
      <c r="X188">
        <v>0</v>
      </c>
      <c r="Y188">
        <v>113295.56769408508</v>
      </c>
      <c r="Z188">
        <v>7883.4332218027739</v>
      </c>
      <c r="AA188">
        <v>121179.00091588785</v>
      </c>
      <c r="AB188" t="s">
        <v>242</v>
      </c>
      <c r="AC188">
        <v>1</v>
      </c>
      <c r="AD188">
        <v>3000</v>
      </c>
      <c r="AE188">
        <v>0</v>
      </c>
      <c r="AF188">
        <v>0</v>
      </c>
      <c r="AG188">
        <v>195.09020260110583</v>
      </c>
      <c r="AH188" t="s">
        <v>72</v>
      </c>
    </row>
    <row r="189" spans="1:34" x14ac:dyDescent="0.3">
      <c r="A189" t="s">
        <v>798</v>
      </c>
      <c r="B189">
        <v>12200038</v>
      </c>
      <c r="C189">
        <v>19668536</v>
      </c>
      <c r="D189" t="s">
        <v>808</v>
      </c>
      <c r="E189" t="s">
        <v>435</v>
      </c>
      <c r="F189" t="s">
        <v>427</v>
      </c>
      <c r="G189" t="s">
        <v>82</v>
      </c>
      <c r="H189" t="s">
        <v>82</v>
      </c>
      <c r="J189" t="s">
        <v>52</v>
      </c>
      <c r="K189" s="15">
        <v>2500</v>
      </c>
      <c r="L189" s="15">
        <v>0</v>
      </c>
      <c r="M189" s="13">
        <v>44952</v>
      </c>
      <c r="O189">
        <v>0</v>
      </c>
      <c r="P189">
        <v>0</v>
      </c>
      <c r="Q189">
        <v>0</v>
      </c>
      <c r="R189">
        <v>0</v>
      </c>
      <c r="S189">
        <v>19580.96446684932</v>
      </c>
      <c r="T189">
        <v>0</v>
      </c>
      <c r="U189">
        <v>0</v>
      </c>
      <c r="V189">
        <v>213784.64</v>
      </c>
      <c r="W189">
        <v>0</v>
      </c>
      <c r="X189">
        <v>0</v>
      </c>
      <c r="Y189">
        <v>233365.60446684933</v>
      </c>
      <c r="Z189">
        <v>0</v>
      </c>
      <c r="AA189">
        <v>233365.60446684933</v>
      </c>
      <c r="AB189" t="s">
        <v>242</v>
      </c>
      <c r="AC189">
        <v>6</v>
      </c>
      <c r="AD189">
        <v>17000</v>
      </c>
      <c r="AE189">
        <v>0</v>
      </c>
      <c r="AF189">
        <v>0</v>
      </c>
      <c r="AG189">
        <v>0</v>
      </c>
      <c r="AH189" t="s">
        <v>58</v>
      </c>
    </row>
    <row r="190" spans="1:34" x14ac:dyDescent="0.3">
      <c r="A190" t="s">
        <v>798</v>
      </c>
      <c r="B190">
        <v>82200036</v>
      </c>
      <c r="C190" t="s">
        <v>621</v>
      </c>
      <c r="D190" t="s">
        <v>620</v>
      </c>
      <c r="E190" t="s">
        <v>440</v>
      </c>
      <c r="F190" t="s">
        <v>433</v>
      </c>
      <c r="G190" t="s">
        <v>82</v>
      </c>
      <c r="H190" t="s">
        <v>83</v>
      </c>
      <c r="J190" t="s">
        <v>52</v>
      </c>
      <c r="K190" s="15">
        <v>17000</v>
      </c>
      <c r="M190" s="13">
        <v>44952</v>
      </c>
      <c r="O190">
        <v>0</v>
      </c>
      <c r="P190">
        <v>0</v>
      </c>
      <c r="Q190">
        <v>26422.852953393289</v>
      </c>
      <c r="R190">
        <v>15062.529999999999</v>
      </c>
      <c r="S190">
        <v>34788.697613651129</v>
      </c>
      <c r="T190">
        <v>0</v>
      </c>
      <c r="U190">
        <v>0</v>
      </c>
      <c r="V190">
        <v>349928.98</v>
      </c>
      <c r="W190">
        <v>0</v>
      </c>
      <c r="X190">
        <v>0</v>
      </c>
      <c r="Y190">
        <v>426203.06056704442</v>
      </c>
      <c r="Z190">
        <v>26930.237432955579</v>
      </c>
      <c r="AA190">
        <v>453133.29800000001</v>
      </c>
      <c r="AB190" t="s">
        <v>242</v>
      </c>
      <c r="AC190">
        <v>1</v>
      </c>
      <c r="AD190">
        <v>17000</v>
      </c>
      <c r="AE190">
        <v>0</v>
      </c>
      <c r="AF190">
        <v>0</v>
      </c>
      <c r="AG190">
        <v>1003.6405670444201</v>
      </c>
      <c r="AH190" t="s">
        <v>72</v>
      </c>
    </row>
    <row r="191" spans="1:34" x14ac:dyDescent="0.3">
      <c r="A191" t="s">
        <v>798</v>
      </c>
      <c r="B191">
        <v>12200001</v>
      </c>
      <c r="C191">
        <v>11371109</v>
      </c>
      <c r="D191" t="s">
        <v>111</v>
      </c>
      <c r="E191" t="s">
        <v>435</v>
      </c>
      <c r="F191" t="s">
        <v>427</v>
      </c>
      <c r="G191" t="s">
        <v>82</v>
      </c>
      <c r="H191" t="s">
        <v>82</v>
      </c>
      <c r="J191" t="s">
        <v>52</v>
      </c>
      <c r="K191" s="15">
        <v>1500</v>
      </c>
      <c r="L191" s="15">
        <v>0</v>
      </c>
      <c r="M191" s="13">
        <v>44953</v>
      </c>
      <c r="O191">
        <v>0</v>
      </c>
      <c r="P191">
        <v>0</v>
      </c>
      <c r="Q191">
        <v>0</v>
      </c>
      <c r="R191">
        <v>0</v>
      </c>
      <c r="S191">
        <v>40274.413513237239</v>
      </c>
      <c r="T191">
        <v>0</v>
      </c>
      <c r="U191">
        <v>0</v>
      </c>
      <c r="V191">
        <v>107144.0766813306</v>
      </c>
      <c r="W191">
        <v>0</v>
      </c>
      <c r="X191">
        <v>0</v>
      </c>
      <c r="Y191">
        <v>147418.49019456783</v>
      </c>
      <c r="Z191">
        <v>0</v>
      </c>
      <c r="AA191">
        <v>147418.49019456783</v>
      </c>
      <c r="AB191" t="s">
        <v>242</v>
      </c>
      <c r="AC191">
        <v>2</v>
      </c>
      <c r="AD191">
        <v>3000</v>
      </c>
      <c r="AE191">
        <v>0</v>
      </c>
      <c r="AF191">
        <v>0</v>
      </c>
      <c r="AG191">
        <v>0</v>
      </c>
      <c r="AH191" t="s">
        <v>58</v>
      </c>
    </row>
    <row r="192" spans="1:34" x14ac:dyDescent="0.3">
      <c r="A192" t="s">
        <v>798</v>
      </c>
      <c r="B192">
        <v>62200104</v>
      </c>
      <c r="C192" t="s">
        <v>245</v>
      </c>
      <c r="D192" t="s">
        <v>316</v>
      </c>
      <c r="E192" t="s">
        <v>435</v>
      </c>
      <c r="F192" t="s">
        <v>432</v>
      </c>
      <c r="G192" t="s">
        <v>82</v>
      </c>
      <c r="H192" t="s">
        <v>82</v>
      </c>
      <c r="J192" t="s">
        <v>52</v>
      </c>
      <c r="K192" s="15">
        <v>2000</v>
      </c>
      <c r="L192" s="15">
        <v>0</v>
      </c>
      <c r="M192" s="13">
        <v>44954</v>
      </c>
      <c r="O192">
        <v>0</v>
      </c>
      <c r="P192">
        <v>0</v>
      </c>
      <c r="Q192">
        <v>0</v>
      </c>
      <c r="R192">
        <v>0</v>
      </c>
      <c r="S192">
        <v>3295.8737114652049</v>
      </c>
      <c r="T192">
        <v>0</v>
      </c>
      <c r="U192">
        <v>0</v>
      </c>
      <c r="V192">
        <v>22299.012967342856</v>
      </c>
      <c r="W192">
        <v>0</v>
      </c>
      <c r="X192">
        <v>0</v>
      </c>
      <c r="Y192">
        <v>25594.886678808063</v>
      </c>
      <c r="Z192">
        <v>0</v>
      </c>
      <c r="AA192">
        <v>25594.886678808063</v>
      </c>
      <c r="AB192" t="s">
        <v>242</v>
      </c>
      <c r="AC192">
        <v>6</v>
      </c>
      <c r="AD192">
        <v>12000</v>
      </c>
      <c r="AE192">
        <v>0</v>
      </c>
      <c r="AF192">
        <v>0</v>
      </c>
      <c r="AG192">
        <v>0</v>
      </c>
      <c r="AH192" t="s">
        <v>58</v>
      </c>
    </row>
    <row r="193" spans="1:34" x14ac:dyDescent="0.3">
      <c r="A193" t="s">
        <v>798</v>
      </c>
      <c r="B193">
        <v>62200080</v>
      </c>
      <c r="C193">
        <v>22425262</v>
      </c>
      <c r="D193" t="s">
        <v>80</v>
      </c>
      <c r="E193" t="s">
        <v>435</v>
      </c>
      <c r="F193" t="s">
        <v>432</v>
      </c>
      <c r="G193" t="s">
        <v>82</v>
      </c>
      <c r="H193" t="s">
        <v>82</v>
      </c>
      <c r="J193" t="s">
        <v>52</v>
      </c>
      <c r="K193" s="15">
        <v>500</v>
      </c>
      <c r="L193" s="15">
        <v>0</v>
      </c>
      <c r="M193" s="13">
        <v>44956</v>
      </c>
      <c r="O193">
        <v>0</v>
      </c>
      <c r="P193">
        <v>0</v>
      </c>
      <c r="Q193">
        <v>0</v>
      </c>
      <c r="R193">
        <v>1111</v>
      </c>
      <c r="S193">
        <v>12128.219178082192</v>
      </c>
      <c r="T193">
        <v>0</v>
      </c>
      <c r="U193">
        <v>0</v>
      </c>
      <c r="V193">
        <v>30000</v>
      </c>
      <c r="W193">
        <v>0</v>
      </c>
      <c r="X193">
        <v>0</v>
      </c>
      <c r="Y193">
        <v>43239.219178082189</v>
      </c>
      <c r="Z193">
        <v>0</v>
      </c>
      <c r="AA193">
        <v>43239.219178082189</v>
      </c>
      <c r="AB193" t="s">
        <v>242</v>
      </c>
      <c r="AC193">
        <v>1</v>
      </c>
      <c r="AD193">
        <v>500</v>
      </c>
      <c r="AE193">
        <v>0</v>
      </c>
      <c r="AF193">
        <v>0</v>
      </c>
      <c r="AG193">
        <v>0</v>
      </c>
      <c r="AH193" t="s">
        <v>72</v>
      </c>
    </row>
    <row r="194" spans="1:34" x14ac:dyDescent="0.3">
      <c r="A194" t="s">
        <v>798</v>
      </c>
      <c r="B194">
        <v>32200001</v>
      </c>
      <c r="C194" t="s">
        <v>368</v>
      </c>
      <c r="D194" t="s">
        <v>407</v>
      </c>
      <c r="E194" t="s">
        <v>435</v>
      </c>
      <c r="F194" t="s">
        <v>429</v>
      </c>
      <c r="G194" t="s">
        <v>82</v>
      </c>
      <c r="H194" t="s">
        <v>82</v>
      </c>
      <c r="J194" t="s">
        <v>416</v>
      </c>
      <c r="K194" s="15">
        <v>6.8024898098346109E-2</v>
      </c>
      <c r="L194" s="15">
        <v>0</v>
      </c>
      <c r="M194" s="13">
        <v>44956</v>
      </c>
      <c r="O194">
        <v>0</v>
      </c>
      <c r="P194">
        <v>0</v>
      </c>
      <c r="Q194">
        <v>0</v>
      </c>
      <c r="R194">
        <v>1203.1798565550353</v>
      </c>
      <c r="S194">
        <v>4407.5824019357406</v>
      </c>
      <c r="T194">
        <v>0</v>
      </c>
      <c r="U194">
        <v>0</v>
      </c>
      <c r="V194">
        <v>16389.237741509227</v>
      </c>
      <c r="W194">
        <v>0</v>
      </c>
      <c r="X194">
        <v>0</v>
      </c>
      <c r="Y194">
        <v>22000.000000000004</v>
      </c>
      <c r="Z194">
        <v>0</v>
      </c>
      <c r="AA194">
        <v>22000.000000000004</v>
      </c>
      <c r="AB194" t="s">
        <v>242</v>
      </c>
      <c r="AC194">
        <v>0</v>
      </c>
      <c r="AD194">
        <v>0</v>
      </c>
      <c r="AE194">
        <v>0</v>
      </c>
      <c r="AF194">
        <v>0</v>
      </c>
      <c r="AG194">
        <v>0</v>
      </c>
      <c r="AH194" t="s">
        <v>72</v>
      </c>
    </row>
    <row r="195" spans="1:34" x14ac:dyDescent="0.3">
      <c r="A195" t="s">
        <v>798</v>
      </c>
      <c r="B195">
        <v>32200001</v>
      </c>
      <c r="C195" t="s">
        <v>368</v>
      </c>
      <c r="D195" t="s">
        <v>407</v>
      </c>
      <c r="E195" t="s">
        <v>435</v>
      </c>
      <c r="F195" t="s">
        <v>429</v>
      </c>
      <c r="G195" t="s">
        <v>417</v>
      </c>
      <c r="H195" t="s">
        <v>82</v>
      </c>
      <c r="J195" t="s">
        <v>52</v>
      </c>
      <c r="K195" s="15">
        <v>22000</v>
      </c>
      <c r="L195" s="15">
        <v>0</v>
      </c>
      <c r="M195" s="13">
        <v>44956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242</v>
      </c>
      <c r="AC195">
        <v>1</v>
      </c>
      <c r="AD195">
        <v>22000</v>
      </c>
      <c r="AE195">
        <v>0</v>
      </c>
      <c r="AF195">
        <v>0</v>
      </c>
      <c r="AG195">
        <v>0</v>
      </c>
      <c r="AH195" t="s">
        <v>58</v>
      </c>
    </row>
    <row r="196" spans="1:34" x14ac:dyDescent="0.3">
      <c r="A196" t="s">
        <v>798</v>
      </c>
      <c r="B196">
        <v>82200027</v>
      </c>
      <c r="C196" t="s">
        <v>110</v>
      </c>
      <c r="D196" t="s">
        <v>535</v>
      </c>
      <c r="E196" t="s">
        <v>440</v>
      </c>
      <c r="F196" t="s">
        <v>433</v>
      </c>
      <c r="G196" t="s">
        <v>82</v>
      </c>
      <c r="H196" t="s">
        <v>83</v>
      </c>
      <c r="J196" t="s">
        <v>52</v>
      </c>
      <c r="K196" s="15">
        <v>30000</v>
      </c>
      <c r="L196" s="15">
        <v>0</v>
      </c>
      <c r="M196" s="13">
        <v>44956</v>
      </c>
      <c r="O196">
        <v>0</v>
      </c>
      <c r="P196">
        <v>0</v>
      </c>
      <c r="Q196">
        <v>76479.965136358413</v>
      </c>
      <c r="R196">
        <v>45329.380000000005</v>
      </c>
      <c r="S196">
        <v>156997.57576041276</v>
      </c>
      <c r="T196">
        <v>0</v>
      </c>
      <c r="U196">
        <v>0</v>
      </c>
      <c r="V196">
        <v>1284340.32</v>
      </c>
      <c r="W196">
        <v>0</v>
      </c>
      <c r="X196">
        <v>0</v>
      </c>
      <c r="Y196">
        <v>1563147.2408967712</v>
      </c>
      <c r="Z196">
        <v>100893.6527032289</v>
      </c>
      <c r="AA196">
        <v>1664040.8936000001</v>
      </c>
      <c r="AB196" t="s">
        <v>242</v>
      </c>
      <c r="AC196">
        <v>6</v>
      </c>
      <c r="AD196">
        <v>182000</v>
      </c>
      <c r="AE196">
        <v>0</v>
      </c>
      <c r="AF196">
        <v>0</v>
      </c>
      <c r="AG196">
        <v>10974.920896771109</v>
      </c>
      <c r="AH196" t="s">
        <v>58</v>
      </c>
    </row>
    <row r="197" spans="1:34" x14ac:dyDescent="0.3">
      <c r="A197" t="s">
        <v>798</v>
      </c>
      <c r="B197">
        <v>2200001</v>
      </c>
      <c r="C197" t="s">
        <v>630</v>
      </c>
      <c r="D197" t="s">
        <v>407</v>
      </c>
      <c r="E197" t="s">
        <v>435</v>
      </c>
      <c r="F197" t="s">
        <v>675</v>
      </c>
      <c r="G197" t="s">
        <v>235</v>
      </c>
      <c r="H197" t="s">
        <v>235</v>
      </c>
      <c r="J197" t="s">
        <v>672</v>
      </c>
      <c r="M197" s="13">
        <v>44956</v>
      </c>
      <c r="O197">
        <v>3000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66246.990000000005</v>
      </c>
      <c r="W197">
        <v>0</v>
      </c>
      <c r="X197">
        <v>0</v>
      </c>
      <c r="Y197">
        <v>69246.990000000005</v>
      </c>
      <c r="Z197">
        <v>0</v>
      </c>
      <c r="AA197">
        <v>69246.990000000005</v>
      </c>
      <c r="AB197" t="s">
        <v>242</v>
      </c>
      <c r="AC197">
        <v>0</v>
      </c>
      <c r="AD197">
        <v>0</v>
      </c>
      <c r="AE197">
        <v>0</v>
      </c>
      <c r="AF197">
        <v>0</v>
      </c>
      <c r="AG197">
        <v>0</v>
      </c>
      <c r="AH197" t="s">
        <v>72</v>
      </c>
    </row>
    <row r="198" spans="1:34" x14ac:dyDescent="0.3">
      <c r="A198" t="s">
        <v>798</v>
      </c>
      <c r="B198">
        <v>12200041</v>
      </c>
      <c r="C198">
        <v>23113175</v>
      </c>
      <c r="D198" t="s">
        <v>78</v>
      </c>
      <c r="E198" t="s">
        <v>435</v>
      </c>
      <c r="F198" t="s">
        <v>427</v>
      </c>
      <c r="G198" t="s">
        <v>82</v>
      </c>
      <c r="H198" t="s">
        <v>82</v>
      </c>
      <c r="J198" t="s">
        <v>52</v>
      </c>
      <c r="K198" s="15">
        <v>5000</v>
      </c>
      <c r="L198" s="15">
        <v>0</v>
      </c>
      <c r="M198" s="13">
        <v>44957</v>
      </c>
      <c r="O198">
        <v>0</v>
      </c>
      <c r="P198">
        <v>0</v>
      </c>
      <c r="Q198">
        <v>0</v>
      </c>
      <c r="R198">
        <v>0</v>
      </c>
      <c r="S198">
        <v>4812.6214257205538</v>
      </c>
      <c r="T198">
        <v>0</v>
      </c>
      <c r="U198">
        <v>0</v>
      </c>
      <c r="V198">
        <v>192752.41</v>
      </c>
      <c r="W198">
        <v>0</v>
      </c>
      <c r="X198">
        <v>0</v>
      </c>
      <c r="Y198">
        <v>197565.03142572055</v>
      </c>
      <c r="Z198">
        <v>0</v>
      </c>
      <c r="AA198">
        <v>197565.03142572055</v>
      </c>
      <c r="AB198" t="s">
        <v>242</v>
      </c>
      <c r="AC198">
        <v>7</v>
      </c>
      <c r="AD198">
        <v>25000</v>
      </c>
      <c r="AE198">
        <v>0</v>
      </c>
      <c r="AF198">
        <v>0</v>
      </c>
      <c r="AG198">
        <v>0</v>
      </c>
      <c r="AH198" t="s">
        <v>58</v>
      </c>
    </row>
    <row r="199" spans="1:34" x14ac:dyDescent="0.3">
      <c r="A199" t="s">
        <v>798</v>
      </c>
      <c r="B199">
        <v>12200047</v>
      </c>
      <c r="C199">
        <v>25275500</v>
      </c>
      <c r="D199" t="s">
        <v>88</v>
      </c>
      <c r="E199" t="s">
        <v>436</v>
      </c>
      <c r="F199" t="s">
        <v>427</v>
      </c>
      <c r="G199" t="s">
        <v>82</v>
      </c>
      <c r="H199" t="s">
        <v>82</v>
      </c>
      <c r="J199" t="s">
        <v>52</v>
      </c>
      <c r="K199" s="15">
        <v>1000</v>
      </c>
      <c r="L199" s="15">
        <v>0</v>
      </c>
      <c r="M199" s="13">
        <v>44957</v>
      </c>
      <c r="O199">
        <v>0</v>
      </c>
      <c r="P199">
        <v>0</v>
      </c>
      <c r="Q199">
        <v>0</v>
      </c>
      <c r="R199">
        <v>0</v>
      </c>
      <c r="S199">
        <v>57301.279504387319</v>
      </c>
      <c r="T199">
        <v>0</v>
      </c>
      <c r="U199">
        <v>0</v>
      </c>
      <c r="V199">
        <v>278431.83561643836</v>
      </c>
      <c r="W199">
        <v>0</v>
      </c>
      <c r="X199">
        <v>0</v>
      </c>
      <c r="Y199">
        <v>335733.11512082571</v>
      </c>
      <c r="Z199">
        <v>0</v>
      </c>
      <c r="AA199">
        <v>335733.11512082571</v>
      </c>
      <c r="AB199" t="s">
        <v>242</v>
      </c>
      <c r="AC199">
        <v>2</v>
      </c>
      <c r="AD199">
        <v>2000</v>
      </c>
      <c r="AE199">
        <v>0</v>
      </c>
      <c r="AF199">
        <v>0</v>
      </c>
      <c r="AG199">
        <v>0</v>
      </c>
      <c r="AH199" t="s">
        <v>58</v>
      </c>
    </row>
    <row r="200" spans="1:34" x14ac:dyDescent="0.3">
      <c r="A200" t="s">
        <v>798</v>
      </c>
      <c r="B200">
        <v>22200010</v>
      </c>
      <c r="C200">
        <v>18928437</v>
      </c>
      <c r="D200" t="s">
        <v>85</v>
      </c>
      <c r="E200" t="s">
        <v>435</v>
      </c>
      <c r="F200" t="s">
        <v>428</v>
      </c>
      <c r="G200" t="s">
        <v>82</v>
      </c>
      <c r="H200" t="s">
        <v>82</v>
      </c>
      <c r="J200" t="s">
        <v>52</v>
      </c>
      <c r="K200" s="15">
        <v>1000</v>
      </c>
      <c r="L200" s="15">
        <v>0</v>
      </c>
      <c r="M200" s="13">
        <v>44957</v>
      </c>
      <c r="O200">
        <v>0</v>
      </c>
      <c r="P200">
        <v>0</v>
      </c>
      <c r="Q200">
        <v>0</v>
      </c>
      <c r="R200">
        <v>0</v>
      </c>
      <c r="S200">
        <v>6431.76186550685</v>
      </c>
      <c r="T200">
        <v>0</v>
      </c>
      <c r="U200">
        <v>0</v>
      </c>
      <c r="V200">
        <v>18637.990000000002</v>
      </c>
      <c r="W200">
        <v>0</v>
      </c>
      <c r="X200">
        <v>0</v>
      </c>
      <c r="Y200">
        <v>25069.751865506852</v>
      </c>
      <c r="Z200">
        <v>0</v>
      </c>
      <c r="AA200">
        <v>25069.751865506852</v>
      </c>
      <c r="AB200" t="s">
        <v>242</v>
      </c>
      <c r="AC200">
        <v>5</v>
      </c>
      <c r="AD200">
        <v>3000</v>
      </c>
      <c r="AE200">
        <v>0</v>
      </c>
      <c r="AF200">
        <v>0</v>
      </c>
      <c r="AG200">
        <v>0</v>
      </c>
      <c r="AH200" t="s">
        <v>58</v>
      </c>
    </row>
    <row r="201" spans="1:34" x14ac:dyDescent="0.3">
      <c r="A201" t="s">
        <v>798</v>
      </c>
      <c r="B201">
        <v>52200239</v>
      </c>
      <c r="C201">
        <v>25091589</v>
      </c>
      <c r="D201" t="s">
        <v>844</v>
      </c>
      <c r="E201" t="s">
        <v>436</v>
      </c>
      <c r="F201" t="s">
        <v>431</v>
      </c>
      <c r="G201" t="s">
        <v>82</v>
      </c>
      <c r="H201" t="s">
        <v>83</v>
      </c>
      <c r="J201" t="s">
        <v>52</v>
      </c>
      <c r="K201" s="15">
        <v>2500</v>
      </c>
      <c r="L201" s="15">
        <v>0</v>
      </c>
      <c r="M201" s="13">
        <v>44957</v>
      </c>
      <c r="O201">
        <v>0</v>
      </c>
      <c r="P201">
        <v>0</v>
      </c>
      <c r="Q201">
        <v>0</v>
      </c>
      <c r="R201">
        <v>910.68710554572374</v>
      </c>
      <c r="S201">
        <v>31384.361153870268</v>
      </c>
      <c r="T201">
        <v>0</v>
      </c>
      <c r="U201">
        <v>0</v>
      </c>
      <c r="V201">
        <v>54126.211626342912</v>
      </c>
      <c r="W201">
        <v>0</v>
      </c>
      <c r="X201">
        <v>0</v>
      </c>
      <c r="Y201">
        <v>86421.259885758904</v>
      </c>
      <c r="Z201">
        <v>5985.7400946149228</v>
      </c>
      <c r="AA201">
        <v>92406.999980373832</v>
      </c>
      <c r="AB201" t="s">
        <v>242</v>
      </c>
      <c r="AC201">
        <v>4</v>
      </c>
      <c r="AD201">
        <v>7500</v>
      </c>
      <c r="AE201">
        <v>0</v>
      </c>
      <c r="AF201">
        <v>0</v>
      </c>
      <c r="AG201">
        <v>485.46551157775764</v>
      </c>
      <c r="AH201" t="s">
        <v>58</v>
      </c>
    </row>
    <row r="202" spans="1:34" x14ac:dyDescent="0.3">
      <c r="A202" t="s">
        <v>798</v>
      </c>
      <c r="B202">
        <v>52200412</v>
      </c>
      <c r="C202">
        <v>25145601</v>
      </c>
      <c r="D202" t="s">
        <v>86</v>
      </c>
      <c r="E202" t="s">
        <v>436</v>
      </c>
      <c r="F202" t="s">
        <v>431</v>
      </c>
      <c r="G202" t="s">
        <v>82</v>
      </c>
      <c r="H202" t="s">
        <v>83</v>
      </c>
      <c r="J202" t="s">
        <v>52</v>
      </c>
      <c r="K202" s="15">
        <v>1100</v>
      </c>
      <c r="L202" s="15">
        <v>0</v>
      </c>
      <c r="M202" s="13">
        <v>44957</v>
      </c>
      <c r="O202">
        <v>0</v>
      </c>
      <c r="P202">
        <v>0</v>
      </c>
      <c r="Q202">
        <v>0</v>
      </c>
      <c r="R202">
        <v>869.4526575411428</v>
      </c>
      <c r="S202">
        <v>31344.995947620733</v>
      </c>
      <c r="T202">
        <v>0</v>
      </c>
      <c r="U202">
        <v>0</v>
      </c>
      <c r="V202">
        <v>52616.263104201244</v>
      </c>
      <c r="W202">
        <v>0</v>
      </c>
      <c r="X202">
        <v>0</v>
      </c>
      <c r="Y202">
        <v>84830.711709363124</v>
      </c>
      <c r="Z202">
        <v>5877.2881336275395</v>
      </c>
      <c r="AA202">
        <v>90707.99984299067</v>
      </c>
      <c r="AB202" t="s">
        <v>242</v>
      </c>
      <c r="AC202">
        <v>3</v>
      </c>
      <c r="AD202">
        <v>2100</v>
      </c>
      <c r="AE202">
        <v>0</v>
      </c>
      <c r="AF202">
        <v>0</v>
      </c>
      <c r="AG202">
        <v>135.97353834381312</v>
      </c>
      <c r="AH202" t="s">
        <v>58</v>
      </c>
    </row>
    <row r="203" spans="1:34" x14ac:dyDescent="0.3">
      <c r="A203" t="s">
        <v>798</v>
      </c>
      <c r="B203">
        <v>32200011</v>
      </c>
      <c r="C203" t="s">
        <v>243</v>
      </c>
      <c r="D203" t="s">
        <v>315</v>
      </c>
      <c r="E203" t="s">
        <v>435</v>
      </c>
      <c r="F203" t="s">
        <v>429</v>
      </c>
      <c r="G203" t="s">
        <v>82</v>
      </c>
      <c r="H203" t="s">
        <v>82</v>
      </c>
      <c r="J203" t="s">
        <v>52</v>
      </c>
      <c r="K203" s="15">
        <v>1500</v>
      </c>
      <c r="L203" s="15">
        <v>0</v>
      </c>
      <c r="M203" s="13">
        <v>44957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2266.7036757041096</v>
      </c>
      <c r="W203">
        <v>0</v>
      </c>
      <c r="X203">
        <v>0</v>
      </c>
      <c r="Y203">
        <v>2266.7036757041096</v>
      </c>
      <c r="Z203">
        <v>0</v>
      </c>
      <c r="AA203">
        <v>2266.7036757041096</v>
      </c>
      <c r="AB203" t="s">
        <v>242</v>
      </c>
      <c r="AC203">
        <v>7</v>
      </c>
      <c r="AD203">
        <v>11000</v>
      </c>
      <c r="AE203">
        <v>0</v>
      </c>
      <c r="AF203">
        <v>0</v>
      </c>
      <c r="AG203">
        <v>0</v>
      </c>
      <c r="AH203" t="s">
        <v>58</v>
      </c>
    </row>
    <row r="204" spans="1:34" x14ac:dyDescent="0.3">
      <c r="A204" t="s">
        <v>798</v>
      </c>
      <c r="B204">
        <v>52200174</v>
      </c>
      <c r="C204" t="s">
        <v>457</v>
      </c>
      <c r="D204" t="s">
        <v>526</v>
      </c>
      <c r="E204" t="s">
        <v>436</v>
      </c>
      <c r="F204" t="s">
        <v>431</v>
      </c>
      <c r="G204" t="s">
        <v>82</v>
      </c>
      <c r="H204" t="s">
        <v>83</v>
      </c>
      <c r="J204" t="s">
        <v>416</v>
      </c>
      <c r="K204" s="15">
        <v>0.69820431525267534</v>
      </c>
      <c r="L204" s="15">
        <v>0</v>
      </c>
      <c r="M204" s="13">
        <v>44957</v>
      </c>
      <c r="O204">
        <v>0</v>
      </c>
      <c r="P204">
        <v>0</v>
      </c>
      <c r="Q204">
        <v>0</v>
      </c>
      <c r="R204">
        <v>140.11519491519539</v>
      </c>
      <c r="S204">
        <v>0</v>
      </c>
      <c r="T204">
        <v>0</v>
      </c>
      <c r="U204">
        <v>0</v>
      </c>
      <c r="V204">
        <v>12953.163369238137</v>
      </c>
      <c r="W204">
        <v>0</v>
      </c>
      <c r="X204">
        <v>0</v>
      </c>
      <c r="Y204">
        <v>13093.278564153332</v>
      </c>
      <c r="Z204">
        <v>906.72143584666969</v>
      </c>
      <c r="AA204">
        <v>14000.000000000002</v>
      </c>
      <c r="AB204" t="s">
        <v>242</v>
      </c>
      <c r="AC204">
        <v>2</v>
      </c>
      <c r="AD204">
        <v>34000</v>
      </c>
      <c r="AE204">
        <v>0</v>
      </c>
      <c r="AF204">
        <v>0</v>
      </c>
      <c r="AG204">
        <v>2199.6532886343684</v>
      </c>
      <c r="AH204" t="s">
        <v>58</v>
      </c>
    </row>
    <row r="205" spans="1:34" x14ac:dyDescent="0.3">
      <c r="A205" t="s">
        <v>798</v>
      </c>
      <c r="B205">
        <v>52200174</v>
      </c>
      <c r="C205" t="s">
        <v>457</v>
      </c>
      <c r="D205" t="s">
        <v>526</v>
      </c>
      <c r="E205" t="s">
        <v>436</v>
      </c>
      <c r="F205" t="s">
        <v>431</v>
      </c>
      <c r="G205" t="s">
        <v>417</v>
      </c>
      <c r="H205" t="s">
        <v>83</v>
      </c>
      <c r="J205" t="s">
        <v>52</v>
      </c>
      <c r="K205" s="15">
        <v>14000</v>
      </c>
      <c r="L205" s="15">
        <v>0</v>
      </c>
      <c r="M205" s="13">
        <v>44957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242</v>
      </c>
      <c r="AC205">
        <v>3</v>
      </c>
      <c r="AD205">
        <v>48000</v>
      </c>
      <c r="AE205">
        <v>0</v>
      </c>
      <c r="AF205">
        <v>0</v>
      </c>
      <c r="AG205">
        <v>3106.3747244810384</v>
      </c>
      <c r="AH205" t="s">
        <v>58</v>
      </c>
    </row>
    <row r="206" spans="1:34" x14ac:dyDescent="0.3">
      <c r="A206" t="s">
        <v>798</v>
      </c>
      <c r="B206">
        <v>82200006</v>
      </c>
      <c r="C206" t="s">
        <v>109</v>
      </c>
      <c r="D206" t="s">
        <v>532</v>
      </c>
      <c r="E206" t="s">
        <v>440</v>
      </c>
      <c r="F206" t="s">
        <v>433</v>
      </c>
      <c r="G206" t="s">
        <v>82</v>
      </c>
      <c r="H206" t="s">
        <v>83</v>
      </c>
      <c r="J206" t="s">
        <v>52</v>
      </c>
      <c r="K206" s="15">
        <v>22000</v>
      </c>
      <c r="L206" s="15">
        <v>0</v>
      </c>
      <c r="M206" s="13">
        <v>44957</v>
      </c>
      <c r="O206">
        <v>0</v>
      </c>
      <c r="P206">
        <v>0</v>
      </c>
      <c r="Q206">
        <v>31731.710087987838</v>
      </c>
      <c r="R206">
        <v>105608</v>
      </c>
      <c r="S206">
        <v>83980.358235525389</v>
      </c>
      <c r="T206">
        <v>0</v>
      </c>
      <c r="U206">
        <v>0</v>
      </c>
      <c r="V206">
        <v>535382.06000000006</v>
      </c>
      <c r="W206">
        <v>0</v>
      </c>
      <c r="X206">
        <v>0</v>
      </c>
      <c r="Y206">
        <v>756702.12832351332</v>
      </c>
      <c r="Z206">
        <v>43355.369276486788</v>
      </c>
      <c r="AA206">
        <v>800057.49760000012</v>
      </c>
      <c r="AB206" t="s">
        <v>242</v>
      </c>
      <c r="AC206">
        <v>2</v>
      </c>
      <c r="AD206">
        <v>38000</v>
      </c>
      <c r="AE206">
        <v>0</v>
      </c>
      <c r="AF206">
        <v>0</v>
      </c>
      <c r="AG206">
        <v>2033.868323513223</v>
      </c>
      <c r="AH206" t="s">
        <v>58</v>
      </c>
    </row>
    <row r="207" spans="1:34" x14ac:dyDescent="0.3">
      <c r="A207" t="s">
        <v>798</v>
      </c>
      <c r="B207">
        <v>42200023</v>
      </c>
      <c r="C207" t="s">
        <v>623</v>
      </c>
      <c r="D207" t="s">
        <v>622</v>
      </c>
      <c r="E207" t="s">
        <v>440</v>
      </c>
      <c r="F207" t="s">
        <v>433</v>
      </c>
      <c r="G207" t="s">
        <v>673</v>
      </c>
      <c r="H207" t="s">
        <v>83</v>
      </c>
      <c r="J207" t="s">
        <v>425</v>
      </c>
      <c r="K207" s="15">
        <v>87400</v>
      </c>
      <c r="L207" s="15">
        <v>5033</v>
      </c>
      <c r="M207" s="13">
        <v>44957</v>
      </c>
      <c r="O207">
        <v>5033</v>
      </c>
      <c r="P207">
        <v>0</v>
      </c>
      <c r="Q207">
        <v>113795.65</v>
      </c>
      <c r="R207">
        <v>80860.23</v>
      </c>
      <c r="S207">
        <v>298874.69479479769</v>
      </c>
      <c r="T207">
        <v>0</v>
      </c>
      <c r="U207">
        <v>0</v>
      </c>
      <c r="V207">
        <v>1540054.4252052023</v>
      </c>
      <c r="W207">
        <v>0</v>
      </c>
      <c r="X207">
        <v>0</v>
      </c>
      <c r="Y207">
        <v>2038618</v>
      </c>
      <c r="Z207">
        <v>128725.03840000002</v>
      </c>
      <c r="AA207">
        <v>2167343.0384</v>
      </c>
      <c r="AB207" t="s">
        <v>242</v>
      </c>
      <c r="AC207">
        <v>0</v>
      </c>
      <c r="AD207">
        <v>0</v>
      </c>
      <c r="AE207">
        <v>0</v>
      </c>
      <c r="AF207">
        <v>93518</v>
      </c>
      <c r="AG207">
        <v>6118</v>
      </c>
      <c r="AH207" t="s">
        <v>72</v>
      </c>
    </row>
    <row r="208" spans="1:34" x14ac:dyDescent="0.3">
      <c r="A208" t="s">
        <v>798</v>
      </c>
      <c r="B208">
        <v>42200024</v>
      </c>
      <c r="C208" t="s">
        <v>110</v>
      </c>
      <c r="D208" t="s">
        <v>622</v>
      </c>
      <c r="E208" t="s">
        <v>440</v>
      </c>
      <c r="F208" t="s">
        <v>433</v>
      </c>
      <c r="G208" t="s">
        <v>673</v>
      </c>
      <c r="H208" t="s">
        <v>83</v>
      </c>
      <c r="J208" t="s">
        <v>425</v>
      </c>
      <c r="K208" s="15">
        <v>87400</v>
      </c>
      <c r="L208" s="15">
        <v>5033</v>
      </c>
      <c r="M208" s="13">
        <v>44957</v>
      </c>
      <c r="O208">
        <v>5033</v>
      </c>
      <c r="P208">
        <v>0</v>
      </c>
      <c r="Q208">
        <v>152586.13999999998</v>
      </c>
      <c r="R208">
        <v>91391.47</v>
      </c>
      <c r="S208">
        <v>339761.20378281502</v>
      </c>
      <c r="T208">
        <v>0</v>
      </c>
      <c r="U208">
        <v>0</v>
      </c>
      <c r="V208">
        <v>2081783.6662171849</v>
      </c>
      <c r="W208">
        <v>0</v>
      </c>
      <c r="X208">
        <v>0</v>
      </c>
      <c r="Y208">
        <v>2670555.48</v>
      </c>
      <c r="Z208">
        <v>169508.14090000003</v>
      </c>
      <c r="AA208">
        <v>2840063.6209</v>
      </c>
      <c r="AB208" t="s">
        <v>242</v>
      </c>
      <c r="AC208">
        <v>0</v>
      </c>
      <c r="AD208">
        <v>0</v>
      </c>
      <c r="AE208">
        <v>0</v>
      </c>
      <c r="AF208">
        <v>93518</v>
      </c>
      <c r="AG208">
        <v>6118</v>
      </c>
      <c r="AH208" t="s">
        <v>72</v>
      </c>
    </row>
    <row r="209" spans="1:34" x14ac:dyDescent="0.3">
      <c r="A209" t="s">
        <v>798</v>
      </c>
      <c r="B209">
        <v>42200025</v>
      </c>
      <c r="C209" t="s">
        <v>110</v>
      </c>
      <c r="D209" t="s">
        <v>622</v>
      </c>
      <c r="E209" t="s">
        <v>440</v>
      </c>
      <c r="F209" t="s">
        <v>433</v>
      </c>
      <c r="G209" t="s">
        <v>673</v>
      </c>
      <c r="H209" t="s">
        <v>83</v>
      </c>
      <c r="J209" t="s">
        <v>425</v>
      </c>
      <c r="K209" s="15">
        <v>87400</v>
      </c>
      <c r="L209" s="15">
        <v>5033</v>
      </c>
      <c r="M209" s="13">
        <v>44957</v>
      </c>
      <c r="O209">
        <v>5033</v>
      </c>
      <c r="P209">
        <v>0</v>
      </c>
      <c r="Q209">
        <v>151240.81</v>
      </c>
      <c r="R209">
        <v>75091.31</v>
      </c>
      <c r="S209">
        <v>338746.33743767469</v>
      </c>
      <c r="T209">
        <v>0</v>
      </c>
      <c r="U209">
        <v>0</v>
      </c>
      <c r="V209">
        <v>2062992.2525623252</v>
      </c>
      <c r="W209">
        <v>0</v>
      </c>
      <c r="X209">
        <v>0</v>
      </c>
      <c r="Y209">
        <v>2633103.71</v>
      </c>
      <c r="Z209">
        <v>168121.70130000002</v>
      </c>
      <c r="AA209">
        <v>2801225.4112999998</v>
      </c>
      <c r="AB209" t="s">
        <v>242</v>
      </c>
      <c r="AC209">
        <v>0</v>
      </c>
      <c r="AD209">
        <v>0</v>
      </c>
      <c r="AE209">
        <v>0</v>
      </c>
      <c r="AF209">
        <v>93518</v>
      </c>
      <c r="AG209">
        <v>6118</v>
      </c>
      <c r="AH209" t="s">
        <v>72</v>
      </c>
    </row>
    <row r="210" spans="1:34" x14ac:dyDescent="0.3">
      <c r="A210" t="s">
        <v>798</v>
      </c>
      <c r="B210">
        <v>42200026</v>
      </c>
      <c r="C210" t="s">
        <v>110</v>
      </c>
      <c r="D210" t="s">
        <v>622</v>
      </c>
      <c r="E210" t="s">
        <v>440</v>
      </c>
      <c r="F210" t="s">
        <v>433</v>
      </c>
      <c r="G210" t="s">
        <v>673</v>
      </c>
      <c r="H210" t="s">
        <v>83</v>
      </c>
      <c r="J210" t="s">
        <v>425</v>
      </c>
      <c r="K210" s="15">
        <v>87400</v>
      </c>
      <c r="L210" s="15">
        <v>5033</v>
      </c>
      <c r="M210" s="13">
        <v>44957</v>
      </c>
      <c r="O210">
        <v>5033</v>
      </c>
      <c r="P210">
        <v>0</v>
      </c>
      <c r="Q210">
        <v>151238.31</v>
      </c>
      <c r="R210">
        <v>76157.440000000002</v>
      </c>
      <c r="S210">
        <v>338562.90382257767</v>
      </c>
      <c r="T210">
        <v>0</v>
      </c>
      <c r="U210">
        <v>0</v>
      </c>
      <c r="V210">
        <v>2062951.7561774226</v>
      </c>
      <c r="W210">
        <v>0</v>
      </c>
      <c r="X210">
        <v>0</v>
      </c>
      <c r="Y210">
        <v>2633943.41</v>
      </c>
      <c r="Z210">
        <v>168106.02620000002</v>
      </c>
      <c r="AA210">
        <v>2802049.4362000003</v>
      </c>
      <c r="AB210" t="s">
        <v>242</v>
      </c>
      <c r="AC210">
        <v>0</v>
      </c>
      <c r="AD210">
        <v>0</v>
      </c>
      <c r="AE210">
        <v>0</v>
      </c>
      <c r="AF210">
        <v>93518</v>
      </c>
      <c r="AG210">
        <v>6118</v>
      </c>
      <c r="AH210" t="s">
        <v>72</v>
      </c>
    </row>
    <row r="211" spans="1:34" x14ac:dyDescent="0.3">
      <c r="A211" t="s">
        <v>798</v>
      </c>
      <c r="B211">
        <v>52200390</v>
      </c>
      <c r="C211">
        <v>28031153</v>
      </c>
      <c r="D211" t="s">
        <v>853</v>
      </c>
      <c r="E211" t="s">
        <v>436</v>
      </c>
      <c r="F211" t="s">
        <v>431</v>
      </c>
      <c r="G211" t="s">
        <v>82</v>
      </c>
      <c r="H211" t="s">
        <v>83</v>
      </c>
      <c r="J211" t="s">
        <v>52</v>
      </c>
      <c r="K211" s="15">
        <v>500</v>
      </c>
      <c r="L211" s="15">
        <v>0</v>
      </c>
      <c r="M211" s="13">
        <v>44958</v>
      </c>
      <c r="O211">
        <v>0</v>
      </c>
      <c r="P211">
        <v>0</v>
      </c>
      <c r="Q211">
        <v>0</v>
      </c>
      <c r="R211">
        <v>924.51752911731046</v>
      </c>
      <c r="S211">
        <v>36824.531466367785</v>
      </c>
      <c r="T211">
        <v>0</v>
      </c>
      <c r="U211">
        <v>0</v>
      </c>
      <c r="V211">
        <v>51886.19999825312</v>
      </c>
      <c r="W211">
        <v>0</v>
      </c>
      <c r="X211">
        <v>0</v>
      </c>
      <c r="Y211">
        <v>89635.248993738205</v>
      </c>
      <c r="Z211">
        <v>6209.7512025234646</v>
      </c>
      <c r="AA211">
        <v>95845.000196261666</v>
      </c>
      <c r="AB211" t="s">
        <v>242</v>
      </c>
      <c r="AC211">
        <v>3</v>
      </c>
      <c r="AD211">
        <v>1500</v>
      </c>
      <c r="AE211">
        <v>0</v>
      </c>
      <c r="AF211">
        <v>0</v>
      </c>
      <c r="AG211">
        <v>97.117969194590387</v>
      </c>
      <c r="AH211" t="s">
        <v>58</v>
      </c>
    </row>
    <row r="212" spans="1:34" x14ac:dyDescent="0.3">
      <c r="A212" t="s">
        <v>798</v>
      </c>
      <c r="B212">
        <v>12200042</v>
      </c>
      <c r="C212" t="s">
        <v>625</v>
      </c>
      <c r="D212" t="s">
        <v>624</v>
      </c>
      <c r="E212" t="s">
        <v>435</v>
      </c>
      <c r="F212" t="s">
        <v>427</v>
      </c>
      <c r="G212" t="s">
        <v>230</v>
      </c>
      <c r="H212" t="s">
        <v>230</v>
      </c>
      <c r="J212" t="s">
        <v>52</v>
      </c>
      <c r="K212" s="15">
        <v>2000</v>
      </c>
      <c r="M212" s="13">
        <v>44958</v>
      </c>
      <c r="O212">
        <v>7200</v>
      </c>
      <c r="P212">
        <v>0</v>
      </c>
      <c r="Q212">
        <v>0</v>
      </c>
      <c r="R212">
        <v>0</v>
      </c>
      <c r="S212">
        <v>31573.699999999997</v>
      </c>
      <c r="T212">
        <v>0</v>
      </c>
      <c r="U212">
        <v>0</v>
      </c>
      <c r="V212">
        <v>80000</v>
      </c>
      <c r="W212">
        <v>0</v>
      </c>
      <c r="X212">
        <v>0</v>
      </c>
      <c r="Y212">
        <v>118773.7</v>
      </c>
      <c r="Z212">
        <v>0</v>
      </c>
      <c r="AA212">
        <v>118773.7</v>
      </c>
      <c r="AB212" t="s">
        <v>242</v>
      </c>
      <c r="AC212">
        <v>1</v>
      </c>
      <c r="AD212">
        <v>2000</v>
      </c>
      <c r="AE212">
        <v>0</v>
      </c>
      <c r="AF212">
        <v>0</v>
      </c>
      <c r="AG212">
        <v>0</v>
      </c>
      <c r="AH212" t="s">
        <v>58</v>
      </c>
    </row>
    <row r="213" spans="1:34" x14ac:dyDescent="0.3">
      <c r="A213" t="s">
        <v>798</v>
      </c>
      <c r="B213">
        <v>52200007</v>
      </c>
      <c r="C213" t="s">
        <v>627</v>
      </c>
      <c r="D213" t="s">
        <v>626</v>
      </c>
      <c r="E213" t="s">
        <v>435</v>
      </c>
      <c r="F213" t="s">
        <v>431</v>
      </c>
      <c r="G213" t="s">
        <v>82</v>
      </c>
      <c r="H213" t="s">
        <v>83</v>
      </c>
      <c r="J213" t="s">
        <v>52</v>
      </c>
      <c r="K213" s="15">
        <v>500</v>
      </c>
      <c r="M213" s="13">
        <v>44958</v>
      </c>
      <c r="O213">
        <v>0</v>
      </c>
      <c r="P213">
        <v>0</v>
      </c>
      <c r="Q213">
        <v>0</v>
      </c>
      <c r="R213">
        <v>737.82637400886222</v>
      </c>
      <c r="S213">
        <v>35349.690865412282</v>
      </c>
      <c r="T213">
        <v>0</v>
      </c>
      <c r="U213">
        <v>0</v>
      </c>
      <c r="V213">
        <v>52336.45</v>
      </c>
      <c r="W213">
        <v>0</v>
      </c>
      <c r="X213">
        <v>0</v>
      </c>
      <c r="Y213">
        <v>88423.967239421137</v>
      </c>
      <c r="Z213">
        <v>6138.0298605788603</v>
      </c>
      <c r="AA213">
        <v>94561.997099999993</v>
      </c>
      <c r="AB213" t="s">
        <v>242</v>
      </c>
      <c r="AC213">
        <v>1</v>
      </c>
      <c r="AD213">
        <v>500</v>
      </c>
      <c r="AE213">
        <v>0</v>
      </c>
      <c r="AF213">
        <v>0</v>
      </c>
      <c r="AG213">
        <v>32.437239421140532</v>
      </c>
      <c r="AH213" t="s">
        <v>72</v>
      </c>
    </row>
    <row r="214" spans="1:34" x14ac:dyDescent="0.3">
      <c r="A214" t="s">
        <v>798</v>
      </c>
      <c r="B214">
        <v>82200023</v>
      </c>
      <c r="C214" t="s">
        <v>109</v>
      </c>
      <c r="D214" t="s">
        <v>615</v>
      </c>
      <c r="E214" t="s">
        <v>440</v>
      </c>
      <c r="F214" t="s">
        <v>433</v>
      </c>
      <c r="G214" t="s">
        <v>82</v>
      </c>
      <c r="H214" t="s">
        <v>83</v>
      </c>
      <c r="J214" t="s">
        <v>52</v>
      </c>
      <c r="K214" s="15">
        <v>20000</v>
      </c>
      <c r="M214" s="13">
        <v>44958</v>
      </c>
      <c r="O214">
        <v>0</v>
      </c>
      <c r="P214">
        <v>0</v>
      </c>
      <c r="Q214">
        <v>121432.10831834341</v>
      </c>
      <c r="R214">
        <v>158917.17000000001</v>
      </c>
      <c r="S214">
        <v>345016.98091743607</v>
      </c>
      <c r="T214">
        <v>0</v>
      </c>
      <c r="U214">
        <v>0</v>
      </c>
      <c r="V214">
        <v>1747082.27</v>
      </c>
      <c r="W214">
        <v>0</v>
      </c>
      <c r="X214">
        <v>0</v>
      </c>
      <c r="Y214">
        <v>2372448.5292357793</v>
      </c>
      <c r="Z214">
        <v>146446.94756422055</v>
      </c>
      <c r="AA214">
        <v>2518895.4767999998</v>
      </c>
      <c r="AB214" t="s">
        <v>242</v>
      </c>
      <c r="AC214">
        <v>2</v>
      </c>
      <c r="AD214">
        <v>60000</v>
      </c>
      <c r="AE214">
        <v>0</v>
      </c>
      <c r="AF214">
        <v>0</v>
      </c>
      <c r="AG214">
        <v>3460.8692357794753</v>
      </c>
      <c r="AH214" t="s">
        <v>58</v>
      </c>
    </row>
    <row r="215" spans="1:34" x14ac:dyDescent="0.3">
      <c r="A215" t="s">
        <v>798</v>
      </c>
      <c r="B215">
        <v>12200071</v>
      </c>
      <c r="C215">
        <v>25700539</v>
      </c>
      <c r="D215" t="s">
        <v>809</v>
      </c>
      <c r="E215" t="s">
        <v>436</v>
      </c>
      <c r="F215" t="s">
        <v>427</v>
      </c>
      <c r="G215" t="s">
        <v>82</v>
      </c>
      <c r="H215" t="s">
        <v>82</v>
      </c>
      <c r="J215" t="s">
        <v>52</v>
      </c>
      <c r="K215" s="15">
        <v>500</v>
      </c>
      <c r="L215" s="15">
        <v>0</v>
      </c>
      <c r="M215" s="13">
        <v>44959</v>
      </c>
      <c r="O215">
        <v>0</v>
      </c>
      <c r="P215">
        <v>0</v>
      </c>
      <c r="Q215">
        <v>0</v>
      </c>
      <c r="R215">
        <v>589</v>
      </c>
      <c r="S215">
        <v>16088.865803435059</v>
      </c>
      <c r="T215">
        <v>0</v>
      </c>
      <c r="U215">
        <v>0</v>
      </c>
      <c r="V215">
        <v>88785.817371424288</v>
      </c>
      <c r="W215">
        <v>0</v>
      </c>
      <c r="X215">
        <v>0</v>
      </c>
      <c r="Y215">
        <v>105463.68317485935</v>
      </c>
      <c r="Z215">
        <v>0</v>
      </c>
      <c r="AA215">
        <v>105463.68317485935</v>
      </c>
      <c r="AB215" t="s">
        <v>242</v>
      </c>
      <c r="AC215">
        <v>1</v>
      </c>
      <c r="AD215">
        <v>500</v>
      </c>
      <c r="AE215">
        <v>0</v>
      </c>
      <c r="AF215">
        <v>0</v>
      </c>
      <c r="AG215">
        <v>0</v>
      </c>
      <c r="AH215" t="s">
        <v>72</v>
      </c>
    </row>
    <row r="216" spans="1:34" x14ac:dyDescent="0.3">
      <c r="A216" t="s">
        <v>798</v>
      </c>
      <c r="B216">
        <v>52200061</v>
      </c>
      <c r="C216">
        <v>28231012</v>
      </c>
      <c r="D216" t="s">
        <v>835</v>
      </c>
      <c r="E216" t="s">
        <v>436</v>
      </c>
      <c r="F216" t="s">
        <v>431</v>
      </c>
      <c r="G216" t="s">
        <v>82</v>
      </c>
      <c r="H216" t="s">
        <v>83</v>
      </c>
      <c r="J216" t="s">
        <v>52</v>
      </c>
      <c r="K216" s="15">
        <v>2000</v>
      </c>
      <c r="L216" s="15">
        <v>0</v>
      </c>
      <c r="M216" s="13">
        <v>44963</v>
      </c>
      <c r="O216">
        <v>0</v>
      </c>
      <c r="P216">
        <v>0</v>
      </c>
      <c r="Q216">
        <v>0</v>
      </c>
      <c r="R216">
        <v>845.38343279925141</v>
      </c>
      <c r="S216">
        <v>13915.568380561448</v>
      </c>
      <c r="T216">
        <v>0</v>
      </c>
      <c r="U216">
        <v>0</v>
      </c>
      <c r="V216">
        <v>57032.675233644863</v>
      </c>
      <c r="W216">
        <v>0</v>
      </c>
      <c r="X216">
        <v>0</v>
      </c>
      <c r="Y216">
        <v>71793.627047005561</v>
      </c>
      <c r="Z216">
        <v>4966.3770529944422</v>
      </c>
      <c r="AA216">
        <v>76760.004100000006</v>
      </c>
      <c r="AB216" t="s">
        <v>242</v>
      </c>
      <c r="AC216">
        <v>4</v>
      </c>
      <c r="AD216">
        <v>8000</v>
      </c>
      <c r="AE216">
        <v>0</v>
      </c>
      <c r="AF216">
        <v>0</v>
      </c>
      <c r="AG216">
        <v>517.17461709901659</v>
      </c>
      <c r="AH216" t="s">
        <v>58</v>
      </c>
    </row>
    <row r="217" spans="1:34" x14ac:dyDescent="0.3">
      <c r="A217" t="s">
        <v>798</v>
      </c>
      <c r="B217">
        <v>2200011</v>
      </c>
      <c r="C217" t="s">
        <v>612</v>
      </c>
      <c r="D217" t="s">
        <v>611</v>
      </c>
      <c r="E217" t="s">
        <v>435</v>
      </c>
      <c r="F217" t="s">
        <v>675</v>
      </c>
      <c r="G217" t="s">
        <v>235</v>
      </c>
      <c r="H217" t="s">
        <v>235</v>
      </c>
      <c r="J217" t="s">
        <v>672</v>
      </c>
      <c r="M217" s="13">
        <v>44963</v>
      </c>
      <c r="O217">
        <v>3858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29447.629999999997</v>
      </c>
      <c r="W217">
        <v>0</v>
      </c>
      <c r="X217">
        <v>0</v>
      </c>
      <c r="Y217">
        <v>33305.629999999997</v>
      </c>
      <c r="Z217">
        <v>0</v>
      </c>
      <c r="AA217">
        <v>33305.629999999997</v>
      </c>
      <c r="AB217" t="s">
        <v>242</v>
      </c>
      <c r="AC217">
        <v>0</v>
      </c>
      <c r="AD217">
        <v>0</v>
      </c>
      <c r="AE217">
        <v>0</v>
      </c>
      <c r="AF217">
        <v>0</v>
      </c>
      <c r="AG217">
        <v>0</v>
      </c>
      <c r="AH217" t="s">
        <v>72</v>
      </c>
    </row>
    <row r="218" spans="1:34" x14ac:dyDescent="0.3">
      <c r="A218" t="s">
        <v>798</v>
      </c>
      <c r="B218">
        <v>62200008</v>
      </c>
      <c r="C218" t="s">
        <v>613</v>
      </c>
      <c r="D218" t="s">
        <v>611</v>
      </c>
      <c r="E218" t="s">
        <v>435</v>
      </c>
      <c r="F218" t="s">
        <v>432</v>
      </c>
      <c r="G218" t="s">
        <v>235</v>
      </c>
      <c r="H218" t="s">
        <v>235</v>
      </c>
      <c r="J218" t="s">
        <v>672</v>
      </c>
      <c r="M218" s="13">
        <v>44963</v>
      </c>
      <c r="O218">
        <v>3000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41472.979999999996</v>
      </c>
      <c r="W218">
        <v>0</v>
      </c>
      <c r="X218">
        <v>0</v>
      </c>
      <c r="Y218">
        <v>44472.979999999996</v>
      </c>
      <c r="Z218">
        <v>0</v>
      </c>
      <c r="AA218">
        <v>44472.979999999996</v>
      </c>
      <c r="AB218" t="s">
        <v>242</v>
      </c>
      <c r="AC218">
        <v>0</v>
      </c>
      <c r="AD218">
        <v>0</v>
      </c>
      <c r="AE218">
        <v>0</v>
      </c>
      <c r="AF218">
        <v>0</v>
      </c>
      <c r="AG218">
        <v>0</v>
      </c>
      <c r="AH218" t="s">
        <v>72</v>
      </c>
    </row>
    <row r="219" spans="1:34" x14ac:dyDescent="0.3">
      <c r="A219" t="s">
        <v>798</v>
      </c>
      <c r="B219">
        <v>52200619</v>
      </c>
      <c r="C219">
        <v>6102060118</v>
      </c>
      <c r="D219" t="s">
        <v>138</v>
      </c>
      <c r="E219" t="s">
        <v>437</v>
      </c>
      <c r="F219" t="s">
        <v>431</v>
      </c>
      <c r="G219" t="s">
        <v>82</v>
      </c>
      <c r="H219" t="s">
        <v>83</v>
      </c>
      <c r="J219" t="s">
        <v>52</v>
      </c>
      <c r="K219" s="15">
        <v>500</v>
      </c>
      <c r="L219" s="15">
        <v>0</v>
      </c>
      <c r="M219" s="13">
        <v>44964</v>
      </c>
      <c r="O219">
        <v>0</v>
      </c>
      <c r="P219">
        <v>0</v>
      </c>
      <c r="Q219">
        <v>0</v>
      </c>
      <c r="R219">
        <v>0</v>
      </c>
      <c r="S219">
        <v>6098.7663551401874</v>
      </c>
      <c r="T219">
        <v>0</v>
      </c>
      <c r="U219">
        <v>0</v>
      </c>
      <c r="V219">
        <v>10196.728971962617</v>
      </c>
      <c r="W219">
        <v>0</v>
      </c>
      <c r="X219">
        <v>0</v>
      </c>
      <c r="Y219">
        <v>16295.495327102804</v>
      </c>
      <c r="Z219">
        <v>1140.6846728971964</v>
      </c>
      <c r="AA219">
        <v>17436.18</v>
      </c>
      <c r="AB219" t="s">
        <v>242</v>
      </c>
      <c r="AC219">
        <v>1</v>
      </c>
      <c r="AD219">
        <v>500</v>
      </c>
      <c r="AE219">
        <v>0</v>
      </c>
      <c r="AF219">
        <v>0</v>
      </c>
      <c r="AG219">
        <v>32.710280373831779</v>
      </c>
      <c r="AH219" t="s">
        <v>72</v>
      </c>
    </row>
    <row r="220" spans="1:34" x14ac:dyDescent="0.3">
      <c r="A220" t="s">
        <v>798</v>
      </c>
      <c r="B220">
        <v>2200011</v>
      </c>
      <c r="C220" t="s">
        <v>612</v>
      </c>
      <c r="D220" t="s">
        <v>611</v>
      </c>
      <c r="E220" t="s">
        <v>435</v>
      </c>
      <c r="F220" t="s">
        <v>675</v>
      </c>
      <c r="G220" t="s">
        <v>235</v>
      </c>
      <c r="H220" t="s">
        <v>235</v>
      </c>
      <c r="J220" t="s">
        <v>52</v>
      </c>
      <c r="K220" s="15">
        <v>3000</v>
      </c>
      <c r="M220" s="13">
        <v>44964</v>
      </c>
      <c r="O220">
        <v>858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29447.629999999997</v>
      </c>
      <c r="W220">
        <v>0</v>
      </c>
      <c r="X220">
        <v>0</v>
      </c>
      <c r="Y220">
        <v>30305.629999999997</v>
      </c>
      <c r="Z220">
        <v>0</v>
      </c>
      <c r="AA220">
        <v>30305.629999999997</v>
      </c>
      <c r="AB220" t="s">
        <v>242</v>
      </c>
      <c r="AC220">
        <v>2</v>
      </c>
      <c r="AD220">
        <v>6000</v>
      </c>
      <c r="AE220">
        <v>0</v>
      </c>
      <c r="AF220">
        <v>0</v>
      </c>
      <c r="AG220">
        <v>0</v>
      </c>
      <c r="AH220" t="s">
        <v>58</v>
      </c>
    </row>
    <row r="221" spans="1:34" x14ac:dyDescent="0.3">
      <c r="A221" t="s">
        <v>798</v>
      </c>
      <c r="B221">
        <v>62200008</v>
      </c>
      <c r="C221" t="s">
        <v>613</v>
      </c>
      <c r="D221" t="s">
        <v>611</v>
      </c>
      <c r="E221" t="s">
        <v>435</v>
      </c>
      <c r="F221" t="s">
        <v>432</v>
      </c>
      <c r="G221" t="s">
        <v>235</v>
      </c>
      <c r="H221" t="s">
        <v>235</v>
      </c>
      <c r="J221" t="s">
        <v>52</v>
      </c>
      <c r="K221" s="15">
        <v>3000</v>
      </c>
      <c r="M221" s="13">
        <v>44964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41472.979999999996</v>
      </c>
      <c r="W221">
        <v>0</v>
      </c>
      <c r="X221">
        <v>0</v>
      </c>
      <c r="Y221">
        <v>41472.979999999996</v>
      </c>
      <c r="Z221">
        <v>0</v>
      </c>
      <c r="AA221">
        <v>41472.979999999996</v>
      </c>
      <c r="AB221" t="s">
        <v>242</v>
      </c>
      <c r="AC221">
        <v>2</v>
      </c>
      <c r="AD221">
        <v>6000</v>
      </c>
      <c r="AE221">
        <v>0</v>
      </c>
      <c r="AF221">
        <v>0</v>
      </c>
      <c r="AG221">
        <v>0</v>
      </c>
      <c r="AH221" t="s">
        <v>58</v>
      </c>
    </row>
    <row r="222" spans="1:34" x14ac:dyDescent="0.3">
      <c r="A222" t="s">
        <v>798</v>
      </c>
      <c r="B222">
        <v>62200009</v>
      </c>
      <c r="C222" t="s">
        <v>614</v>
      </c>
      <c r="D222" t="s">
        <v>611</v>
      </c>
      <c r="E222" t="s">
        <v>435</v>
      </c>
      <c r="F222" t="s">
        <v>432</v>
      </c>
      <c r="G222" t="s">
        <v>82</v>
      </c>
      <c r="H222" t="s">
        <v>82</v>
      </c>
      <c r="J222" t="s">
        <v>52</v>
      </c>
      <c r="K222" s="15">
        <v>3000</v>
      </c>
      <c r="M222" s="13">
        <v>44964</v>
      </c>
      <c r="O222">
        <v>3000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47784.270000000004</v>
      </c>
      <c r="W222">
        <v>0</v>
      </c>
      <c r="X222">
        <v>0</v>
      </c>
      <c r="Y222">
        <v>50784.270000000004</v>
      </c>
      <c r="Z222">
        <v>0</v>
      </c>
      <c r="AA222">
        <v>50784.270000000004</v>
      </c>
      <c r="AB222" t="s">
        <v>242</v>
      </c>
      <c r="AC222">
        <v>2</v>
      </c>
      <c r="AD222">
        <v>6000</v>
      </c>
      <c r="AE222">
        <v>0</v>
      </c>
      <c r="AF222">
        <v>0</v>
      </c>
      <c r="AG222">
        <v>0</v>
      </c>
      <c r="AH222" t="s">
        <v>58</v>
      </c>
    </row>
    <row r="223" spans="1:34" x14ac:dyDescent="0.3">
      <c r="A223" t="s">
        <v>798</v>
      </c>
      <c r="B223">
        <v>2200015</v>
      </c>
      <c r="C223">
        <v>20972229</v>
      </c>
      <c r="D223" t="s">
        <v>76</v>
      </c>
      <c r="E223" t="s">
        <v>435</v>
      </c>
      <c r="F223" t="s">
        <v>426</v>
      </c>
      <c r="G223" t="s">
        <v>82</v>
      </c>
      <c r="H223" t="s">
        <v>82</v>
      </c>
      <c r="J223" t="s">
        <v>52</v>
      </c>
      <c r="K223" s="15">
        <v>1000</v>
      </c>
      <c r="L223" s="15">
        <v>0</v>
      </c>
      <c r="M223" s="13">
        <v>44965</v>
      </c>
      <c r="O223">
        <v>0</v>
      </c>
      <c r="P223">
        <v>0</v>
      </c>
      <c r="Q223">
        <v>0</v>
      </c>
      <c r="R223">
        <v>0</v>
      </c>
      <c r="S223">
        <v>12809.597532223273</v>
      </c>
      <c r="T223">
        <v>0</v>
      </c>
      <c r="U223">
        <v>0</v>
      </c>
      <c r="V223">
        <v>122323.98354815517</v>
      </c>
      <c r="W223">
        <v>0</v>
      </c>
      <c r="X223">
        <v>0</v>
      </c>
      <c r="Y223">
        <v>135133.58108037844</v>
      </c>
      <c r="Z223">
        <v>0</v>
      </c>
      <c r="AA223">
        <v>135133.58108037844</v>
      </c>
      <c r="AB223" t="s">
        <v>242</v>
      </c>
      <c r="AC223">
        <v>7</v>
      </c>
      <c r="AD223">
        <v>7000</v>
      </c>
      <c r="AE223">
        <v>0</v>
      </c>
      <c r="AF223">
        <v>0</v>
      </c>
      <c r="AG223">
        <v>0</v>
      </c>
      <c r="AH223" t="s">
        <v>58</v>
      </c>
    </row>
    <row r="224" spans="1:34" x14ac:dyDescent="0.3">
      <c r="A224" t="s">
        <v>798</v>
      </c>
      <c r="B224">
        <v>62200013</v>
      </c>
      <c r="C224">
        <v>20972385</v>
      </c>
      <c r="D224" t="s">
        <v>76</v>
      </c>
      <c r="E224" t="s">
        <v>435</v>
      </c>
      <c r="F224" t="s">
        <v>432</v>
      </c>
      <c r="G224" t="s">
        <v>82</v>
      </c>
      <c r="H224" t="s">
        <v>82</v>
      </c>
      <c r="J224" t="s">
        <v>52</v>
      </c>
      <c r="K224" s="15">
        <v>4000</v>
      </c>
      <c r="L224" s="15">
        <v>0</v>
      </c>
      <c r="M224" s="13">
        <v>44965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59665.191359418066</v>
      </c>
      <c r="W224">
        <v>0</v>
      </c>
      <c r="X224">
        <v>0</v>
      </c>
      <c r="Y224">
        <v>59665.191359418066</v>
      </c>
      <c r="Z224">
        <v>0</v>
      </c>
      <c r="AA224">
        <v>59665.191359418066</v>
      </c>
      <c r="AB224" t="s">
        <v>242</v>
      </c>
      <c r="AC224">
        <v>7</v>
      </c>
      <c r="AD224">
        <v>28000</v>
      </c>
      <c r="AE224">
        <v>0</v>
      </c>
      <c r="AF224">
        <v>0</v>
      </c>
      <c r="AG224">
        <v>0</v>
      </c>
      <c r="AH224" t="s">
        <v>58</v>
      </c>
    </row>
    <row r="225" spans="1:34" x14ac:dyDescent="0.3">
      <c r="A225" t="s">
        <v>798</v>
      </c>
      <c r="B225">
        <v>12200034</v>
      </c>
      <c r="C225" t="s">
        <v>335</v>
      </c>
      <c r="D225" t="s">
        <v>377</v>
      </c>
      <c r="E225" t="s">
        <v>435</v>
      </c>
      <c r="F225" t="s">
        <v>427</v>
      </c>
      <c r="G225" t="s">
        <v>82</v>
      </c>
      <c r="H225" t="s">
        <v>82</v>
      </c>
      <c r="J225" t="s">
        <v>52</v>
      </c>
      <c r="K225" s="15">
        <v>6000</v>
      </c>
      <c r="L225" s="15">
        <v>0</v>
      </c>
      <c r="M225" s="13">
        <v>44967</v>
      </c>
      <c r="O225">
        <v>0</v>
      </c>
      <c r="P225">
        <v>0</v>
      </c>
      <c r="Q225">
        <v>0</v>
      </c>
      <c r="R225">
        <v>0</v>
      </c>
      <c r="S225">
        <v>48661.198766627611</v>
      </c>
      <c r="T225">
        <v>0</v>
      </c>
      <c r="U225">
        <v>0</v>
      </c>
      <c r="V225">
        <v>217029.64307241238</v>
      </c>
      <c r="W225">
        <v>0</v>
      </c>
      <c r="X225">
        <v>0</v>
      </c>
      <c r="Y225">
        <v>265690.84183903999</v>
      </c>
      <c r="Z225">
        <v>0</v>
      </c>
      <c r="AA225">
        <v>265690.84183903999</v>
      </c>
      <c r="AB225" t="s">
        <v>242</v>
      </c>
      <c r="AC225">
        <v>5</v>
      </c>
      <c r="AD225">
        <v>22000</v>
      </c>
      <c r="AE225">
        <v>0</v>
      </c>
      <c r="AF225">
        <v>0</v>
      </c>
      <c r="AG225">
        <v>0</v>
      </c>
      <c r="AH225" t="s">
        <v>58</v>
      </c>
    </row>
    <row r="226" spans="1:34" x14ac:dyDescent="0.3">
      <c r="A226" t="s">
        <v>798</v>
      </c>
      <c r="B226">
        <v>42200017</v>
      </c>
      <c r="C226" t="s">
        <v>96</v>
      </c>
      <c r="D226" t="s">
        <v>519</v>
      </c>
      <c r="E226" t="s">
        <v>440</v>
      </c>
      <c r="F226" t="s">
        <v>433</v>
      </c>
      <c r="G226" t="s">
        <v>417</v>
      </c>
      <c r="H226" t="s">
        <v>83</v>
      </c>
      <c r="J226" t="s">
        <v>52</v>
      </c>
      <c r="K226" s="15">
        <v>436000</v>
      </c>
      <c r="L226" s="15">
        <v>0</v>
      </c>
      <c r="M226" s="13">
        <v>44967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242</v>
      </c>
      <c r="AC226">
        <v>3</v>
      </c>
      <c r="AD226">
        <v>506000</v>
      </c>
      <c r="AE226">
        <v>0</v>
      </c>
      <c r="AF226">
        <v>0</v>
      </c>
      <c r="AG226">
        <v>30983.64072293153</v>
      </c>
      <c r="AH226" t="s">
        <v>58</v>
      </c>
    </row>
    <row r="227" spans="1:34" x14ac:dyDescent="0.3">
      <c r="A227" t="s">
        <v>798</v>
      </c>
      <c r="B227">
        <v>82200004</v>
      </c>
      <c r="C227" t="s">
        <v>246</v>
      </c>
      <c r="D227" t="s">
        <v>519</v>
      </c>
      <c r="E227" t="s">
        <v>440</v>
      </c>
      <c r="F227" t="s">
        <v>433</v>
      </c>
      <c r="G227" t="s">
        <v>82</v>
      </c>
      <c r="H227" t="s">
        <v>83</v>
      </c>
      <c r="J227" t="s">
        <v>52</v>
      </c>
      <c r="K227" s="15">
        <v>20000</v>
      </c>
      <c r="L227" s="15">
        <v>0</v>
      </c>
      <c r="M227" s="13">
        <v>44967</v>
      </c>
      <c r="O227">
        <v>0</v>
      </c>
      <c r="P227">
        <v>0</v>
      </c>
      <c r="Q227">
        <v>156404.75522874921</v>
      </c>
      <c r="R227">
        <v>1423.76</v>
      </c>
      <c r="S227">
        <v>72465.336141355889</v>
      </c>
      <c r="T227">
        <v>0</v>
      </c>
      <c r="U227">
        <v>0</v>
      </c>
      <c r="V227">
        <v>2185344.7200000002</v>
      </c>
      <c r="W227">
        <v>0</v>
      </c>
      <c r="X227">
        <v>0</v>
      </c>
      <c r="Y227">
        <v>2415638.5713701053</v>
      </c>
      <c r="Z227">
        <v>158046.70392989492</v>
      </c>
      <c r="AA227">
        <v>2573685.2753000003</v>
      </c>
      <c r="AB227" t="s">
        <v>242</v>
      </c>
      <c r="AC227">
        <v>1</v>
      </c>
      <c r="AD227">
        <v>20000</v>
      </c>
      <c r="AE227">
        <v>0</v>
      </c>
      <c r="AF227">
        <v>0</v>
      </c>
      <c r="AG227">
        <v>1222.8813701050894</v>
      </c>
      <c r="AH227" t="s">
        <v>72</v>
      </c>
    </row>
    <row r="228" spans="1:34" x14ac:dyDescent="0.3">
      <c r="A228" t="s">
        <v>798</v>
      </c>
      <c r="B228">
        <v>52200360</v>
      </c>
      <c r="C228" t="s">
        <v>610</v>
      </c>
      <c r="D228" t="s">
        <v>609</v>
      </c>
      <c r="E228" t="s">
        <v>436</v>
      </c>
      <c r="F228" t="s">
        <v>431</v>
      </c>
      <c r="G228" t="s">
        <v>82</v>
      </c>
      <c r="H228" t="s">
        <v>83</v>
      </c>
      <c r="J228" t="s">
        <v>52</v>
      </c>
      <c r="K228" s="15">
        <v>500</v>
      </c>
      <c r="M228" s="13">
        <v>44967</v>
      </c>
      <c r="O228">
        <v>0</v>
      </c>
      <c r="P228">
        <v>0</v>
      </c>
      <c r="Q228">
        <v>0</v>
      </c>
      <c r="R228">
        <v>775.83422243587142</v>
      </c>
      <c r="S228">
        <v>32493.094306047347</v>
      </c>
      <c r="T228">
        <v>0</v>
      </c>
      <c r="U228">
        <v>0</v>
      </c>
      <c r="V228">
        <v>86822.012925146293</v>
      </c>
      <c r="W228">
        <v>0</v>
      </c>
      <c r="X228">
        <v>0</v>
      </c>
      <c r="Y228">
        <v>120090.94145362952</v>
      </c>
      <c r="Z228">
        <v>8352.0575061835552</v>
      </c>
      <c r="AA228">
        <v>128442.99895981308</v>
      </c>
      <c r="AB228" t="s">
        <v>242</v>
      </c>
      <c r="AC228">
        <v>3</v>
      </c>
      <c r="AD228">
        <v>2500</v>
      </c>
      <c r="AE228">
        <v>0</v>
      </c>
      <c r="AF228">
        <v>0</v>
      </c>
      <c r="AG228">
        <v>162.49382763599152</v>
      </c>
      <c r="AH228" t="s">
        <v>58</v>
      </c>
    </row>
    <row r="229" spans="1:34" x14ac:dyDescent="0.3">
      <c r="A229" t="s">
        <v>798</v>
      </c>
      <c r="B229">
        <v>82200021</v>
      </c>
      <c r="C229" t="s">
        <v>106</v>
      </c>
      <c r="D229" t="s">
        <v>87</v>
      </c>
      <c r="E229" t="s">
        <v>440</v>
      </c>
      <c r="F229" t="s">
        <v>433</v>
      </c>
      <c r="G229" t="s">
        <v>82</v>
      </c>
      <c r="H229" t="s">
        <v>83</v>
      </c>
      <c r="J229" t="s">
        <v>52</v>
      </c>
      <c r="K229" s="15">
        <v>20000</v>
      </c>
      <c r="L229" s="15">
        <v>0</v>
      </c>
      <c r="M229" s="13">
        <v>44971</v>
      </c>
      <c r="O229">
        <v>0</v>
      </c>
      <c r="P229">
        <v>0</v>
      </c>
      <c r="Q229">
        <v>87266.902561788869</v>
      </c>
      <c r="R229">
        <v>82.05</v>
      </c>
      <c r="S229">
        <v>48274.608166552469</v>
      </c>
      <c r="T229">
        <v>0</v>
      </c>
      <c r="U229">
        <v>0</v>
      </c>
      <c r="V229">
        <v>1289224.49</v>
      </c>
      <c r="W229">
        <v>0</v>
      </c>
      <c r="X229">
        <v>0</v>
      </c>
      <c r="Y229">
        <v>1424848.0507283413</v>
      </c>
      <c r="Z229">
        <v>93624.936871658676</v>
      </c>
      <c r="AA229">
        <v>1518472.9876000001</v>
      </c>
      <c r="AB229" t="s">
        <v>242</v>
      </c>
      <c r="AC229">
        <v>3</v>
      </c>
      <c r="AD229">
        <v>84000</v>
      </c>
      <c r="AE229">
        <v>0</v>
      </c>
      <c r="AF229">
        <v>0</v>
      </c>
      <c r="AG229">
        <v>5157.5707283413249</v>
      </c>
      <c r="AH229" t="s">
        <v>58</v>
      </c>
    </row>
    <row r="230" spans="1:34" x14ac:dyDescent="0.3">
      <c r="A230" t="s">
        <v>798</v>
      </c>
      <c r="B230">
        <v>12200017</v>
      </c>
      <c r="C230">
        <v>22099815</v>
      </c>
      <c r="D230" t="s">
        <v>807</v>
      </c>
      <c r="E230" t="s">
        <v>435</v>
      </c>
      <c r="F230" t="s">
        <v>427</v>
      </c>
      <c r="G230" t="s">
        <v>82</v>
      </c>
      <c r="H230" t="s">
        <v>82</v>
      </c>
      <c r="J230" t="s">
        <v>52</v>
      </c>
      <c r="K230" s="15">
        <v>2000</v>
      </c>
      <c r="L230" s="15">
        <v>0</v>
      </c>
      <c r="M230" s="13">
        <v>44974</v>
      </c>
      <c r="O230">
        <v>0</v>
      </c>
      <c r="P230">
        <v>0</v>
      </c>
      <c r="Q230">
        <v>0</v>
      </c>
      <c r="R230">
        <v>0</v>
      </c>
      <c r="S230">
        <v>34321.154535560141</v>
      </c>
      <c r="T230">
        <v>0</v>
      </c>
      <c r="U230">
        <v>0</v>
      </c>
      <c r="V230">
        <v>149162.46575342465</v>
      </c>
      <c r="W230">
        <v>0</v>
      </c>
      <c r="X230">
        <v>0</v>
      </c>
      <c r="Y230">
        <v>183483.62028898479</v>
      </c>
      <c r="Z230">
        <v>0</v>
      </c>
      <c r="AA230">
        <v>183483.62028898479</v>
      </c>
      <c r="AB230" t="s">
        <v>242</v>
      </c>
      <c r="AC230">
        <v>6</v>
      </c>
      <c r="AD230">
        <v>8000</v>
      </c>
      <c r="AE230">
        <v>0</v>
      </c>
      <c r="AF230">
        <v>0</v>
      </c>
      <c r="AG230">
        <v>0</v>
      </c>
      <c r="AH230" t="s">
        <v>58</v>
      </c>
    </row>
    <row r="231" spans="1:34" x14ac:dyDescent="0.3">
      <c r="A231" t="s">
        <v>798</v>
      </c>
      <c r="B231">
        <v>52200647</v>
      </c>
      <c r="C231">
        <v>29594859</v>
      </c>
      <c r="D231" t="s">
        <v>139</v>
      </c>
      <c r="E231" t="s">
        <v>438</v>
      </c>
      <c r="F231" t="s">
        <v>431</v>
      </c>
      <c r="G231" t="s">
        <v>82</v>
      </c>
      <c r="H231" t="s">
        <v>83</v>
      </c>
      <c r="J231" t="s">
        <v>52</v>
      </c>
      <c r="K231" s="15">
        <v>2000</v>
      </c>
      <c r="L231" s="15">
        <v>0</v>
      </c>
      <c r="M231" s="13">
        <v>44975</v>
      </c>
      <c r="O231">
        <v>0</v>
      </c>
      <c r="P231">
        <v>0</v>
      </c>
      <c r="Q231">
        <v>0</v>
      </c>
      <c r="R231">
        <v>1019.1501125398166</v>
      </c>
      <c r="S231">
        <v>43325.299801364657</v>
      </c>
      <c r="T231">
        <v>0</v>
      </c>
      <c r="U231">
        <v>0</v>
      </c>
      <c r="V231">
        <v>58470.824672897194</v>
      </c>
      <c r="W231">
        <v>0</v>
      </c>
      <c r="X231">
        <v>0</v>
      </c>
      <c r="Y231">
        <v>102815.27458680166</v>
      </c>
      <c r="Z231">
        <v>7125.7287131983312</v>
      </c>
      <c r="AA231">
        <v>109941.0033</v>
      </c>
      <c r="AB231" t="s">
        <v>242</v>
      </c>
      <c r="AC231">
        <v>1</v>
      </c>
      <c r="AD231">
        <v>2000</v>
      </c>
      <c r="AE231">
        <v>0</v>
      </c>
      <c r="AF231">
        <v>0</v>
      </c>
      <c r="AG231">
        <v>129.54253072690381</v>
      </c>
      <c r="AH231" t="s">
        <v>72</v>
      </c>
    </row>
    <row r="232" spans="1:34" x14ac:dyDescent="0.3">
      <c r="A232" t="s">
        <v>798</v>
      </c>
      <c r="B232">
        <v>52201828</v>
      </c>
      <c r="C232">
        <v>25536725</v>
      </c>
      <c r="D232" t="s">
        <v>166</v>
      </c>
      <c r="E232" t="s">
        <v>438</v>
      </c>
      <c r="F232" t="s">
        <v>431</v>
      </c>
      <c r="G232" t="s">
        <v>82</v>
      </c>
      <c r="H232" t="s">
        <v>83</v>
      </c>
      <c r="J232" t="s">
        <v>52</v>
      </c>
      <c r="K232" s="15">
        <v>2000</v>
      </c>
      <c r="L232" s="15">
        <v>0</v>
      </c>
      <c r="M232" s="13">
        <v>44978</v>
      </c>
      <c r="O232">
        <v>0</v>
      </c>
      <c r="P232">
        <v>0</v>
      </c>
      <c r="Q232">
        <v>0</v>
      </c>
      <c r="R232">
        <v>1011.6574672469869</v>
      </c>
      <c r="S232">
        <v>26843.181994058818</v>
      </c>
      <c r="T232">
        <v>0</v>
      </c>
      <c r="U232">
        <v>0</v>
      </c>
      <c r="V232">
        <v>46273.024665951423</v>
      </c>
      <c r="W232">
        <v>0</v>
      </c>
      <c r="X232">
        <v>0</v>
      </c>
      <c r="Y232">
        <v>74127.864127257228</v>
      </c>
      <c r="Z232">
        <v>5118.1344662007177</v>
      </c>
      <c r="AA232">
        <v>79245.998593457945</v>
      </c>
      <c r="AB232" t="s">
        <v>242</v>
      </c>
      <c r="AC232">
        <v>1</v>
      </c>
      <c r="AD232">
        <v>2000</v>
      </c>
      <c r="AE232">
        <v>0</v>
      </c>
      <c r="AF232">
        <v>0</v>
      </c>
      <c r="AG232">
        <v>129.05235767036356</v>
      </c>
      <c r="AH232" t="s">
        <v>72</v>
      </c>
    </row>
    <row r="233" spans="1:34" x14ac:dyDescent="0.3">
      <c r="A233" t="s">
        <v>798</v>
      </c>
      <c r="B233">
        <v>52200621</v>
      </c>
      <c r="C233" t="s">
        <v>461</v>
      </c>
      <c r="D233" t="s">
        <v>530</v>
      </c>
      <c r="E233" t="s">
        <v>437</v>
      </c>
      <c r="F233" t="s">
        <v>431</v>
      </c>
      <c r="G233" t="s">
        <v>82</v>
      </c>
      <c r="H233" t="s">
        <v>83</v>
      </c>
      <c r="J233" t="s">
        <v>416</v>
      </c>
      <c r="K233" s="15">
        <v>0.24980729424871018</v>
      </c>
      <c r="L233" s="15">
        <v>0</v>
      </c>
      <c r="M233" s="13">
        <v>44978</v>
      </c>
      <c r="O233">
        <v>0</v>
      </c>
      <c r="P233">
        <v>0</v>
      </c>
      <c r="Q233">
        <v>0</v>
      </c>
      <c r="R233">
        <v>0</v>
      </c>
      <c r="S233">
        <v>2762.3147097779893</v>
      </c>
      <c r="T233">
        <v>0</v>
      </c>
      <c r="U233">
        <v>0</v>
      </c>
      <c r="V233">
        <v>8452.6385612500471</v>
      </c>
      <c r="W233">
        <v>0</v>
      </c>
      <c r="X233">
        <v>0</v>
      </c>
      <c r="Y233">
        <v>11214.953271028036</v>
      </c>
      <c r="Z233">
        <v>785.04672897196258</v>
      </c>
      <c r="AA233">
        <v>11999.999999999998</v>
      </c>
      <c r="AB233" t="s">
        <v>242</v>
      </c>
      <c r="AC233">
        <v>0</v>
      </c>
      <c r="AD233">
        <v>0</v>
      </c>
      <c r="AE233">
        <v>0</v>
      </c>
      <c r="AF233">
        <v>0</v>
      </c>
      <c r="AG233">
        <v>0</v>
      </c>
      <c r="AH233" t="s">
        <v>72</v>
      </c>
    </row>
    <row r="234" spans="1:34" x14ac:dyDescent="0.3">
      <c r="A234" t="s">
        <v>798</v>
      </c>
      <c r="B234">
        <v>52200621</v>
      </c>
      <c r="C234" t="s">
        <v>461</v>
      </c>
      <c r="D234" t="s">
        <v>530</v>
      </c>
      <c r="E234" t="s">
        <v>437</v>
      </c>
      <c r="F234" t="s">
        <v>431</v>
      </c>
      <c r="G234" t="s">
        <v>417</v>
      </c>
      <c r="H234" t="s">
        <v>83</v>
      </c>
      <c r="J234" t="s">
        <v>52</v>
      </c>
      <c r="K234" s="15">
        <v>12000</v>
      </c>
      <c r="L234" s="15">
        <v>0</v>
      </c>
      <c r="M234" s="13">
        <v>44978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242</v>
      </c>
      <c r="AC234">
        <v>1</v>
      </c>
      <c r="AD234">
        <v>12000</v>
      </c>
      <c r="AE234">
        <v>0</v>
      </c>
      <c r="AF234">
        <v>0</v>
      </c>
      <c r="AG234">
        <v>785.0467289719636</v>
      </c>
      <c r="AH234" t="s">
        <v>58</v>
      </c>
    </row>
    <row r="235" spans="1:34" x14ac:dyDescent="0.3">
      <c r="A235" t="s">
        <v>798</v>
      </c>
      <c r="B235">
        <v>12200042</v>
      </c>
      <c r="C235" t="s">
        <v>625</v>
      </c>
      <c r="D235" t="s">
        <v>624</v>
      </c>
      <c r="E235" t="s">
        <v>435</v>
      </c>
      <c r="F235" t="s">
        <v>427</v>
      </c>
      <c r="G235" t="s">
        <v>230</v>
      </c>
      <c r="H235" t="s">
        <v>230</v>
      </c>
      <c r="J235" t="s">
        <v>672</v>
      </c>
      <c r="M235" s="13">
        <v>44979</v>
      </c>
      <c r="O235">
        <v>7200</v>
      </c>
      <c r="P235">
        <v>0</v>
      </c>
      <c r="Q235">
        <v>0</v>
      </c>
      <c r="R235">
        <v>0</v>
      </c>
      <c r="S235">
        <v>31573.699999999997</v>
      </c>
      <c r="T235">
        <v>0</v>
      </c>
      <c r="U235">
        <v>0</v>
      </c>
      <c r="V235">
        <v>80000</v>
      </c>
      <c r="W235">
        <v>0</v>
      </c>
      <c r="X235">
        <v>0</v>
      </c>
      <c r="Y235">
        <v>118773.7</v>
      </c>
      <c r="Z235">
        <v>0</v>
      </c>
      <c r="AA235">
        <v>118773.7</v>
      </c>
      <c r="AB235" t="s">
        <v>242</v>
      </c>
      <c r="AC235">
        <v>0</v>
      </c>
      <c r="AD235">
        <v>0</v>
      </c>
      <c r="AE235">
        <v>0</v>
      </c>
      <c r="AF235">
        <v>0</v>
      </c>
      <c r="AG235">
        <v>0</v>
      </c>
      <c r="AH235" t="s">
        <v>72</v>
      </c>
    </row>
    <row r="236" spans="1:34" x14ac:dyDescent="0.3">
      <c r="A236" t="s">
        <v>798</v>
      </c>
      <c r="B236">
        <v>52201857</v>
      </c>
      <c r="C236">
        <v>25727720</v>
      </c>
      <c r="D236" t="s">
        <v>888</v>
      </c>
      <c r="E236" t="s">
        <v>438</v>
      </c>
      <c r="F236" t="s">
        <v>431</v>
      </c>
      <c r="G236" t="s">
        <v>82</v>
      </c>
      <c r="H236" t="s">
        <v>83</v>
      </c>
      <c r="J236" t="s">
        <v>52</v>
      </c>
      <c r="K236" s="15">
        <v>500</v>
      </c>
      <c r="L236" s="15">
        <v>0</v>
      </c>
      <c r="M236" s="13">
        <v>44981</v>
      </c>
      <c r="O236">
        <v>0</v>
      </c>
      <c r="P236">
        <v>0</v>
      </c>
      <c r="Q236">
        <v>0</v>
      </c>
      <c r="R236">
        <v>885.83141496687324</v>
      </c>
      <c r="S236">
        <v>32044.313172046586</v>
      </c>
      <c r="T236">
        <v>0</v>
      </c>
      <c r="U236">
        <v>0</v>
      </c>
      <c r="V236">
        <v>52796.0305356881</v>
      </c>
      <c r="W236">
        <v>0</v>
      </c>
      <c r="X236">
        <v>0</v>
      </c>
      <c r="Y236">
        <v>85726.175122701563</v>
      </c>
      <c r="Z236">
        <v>5938.8240595414291</v>
      </c>
      <c r="AA236">
        <v>91664.999182242987</v>
      </c>
      <c r="AB236" t="s">
        <v>242</v>
      </c>
      <c r="AC236">
        <v>1</v>
      </c>
      <c r="AD236">
        <v>500</v>
      </c>
      <c r="AE236">
        <v>0</v>
      </c>
      <c r="AF236">
        <v>0</v>
      </c>
      <c r="AG236">
        <v>32.37214864269265</v>
      </c>
      <c r="AH236" t="s">
        <v>72</v>
      </c>
    </row>
    <row r="237" spans="1:34" x14ac:dyDescent="0.3">
      <c r="A237" t="s">
        <v>798</v>
      </c>
      <c r="B237">
        <v>12200028</v>
      </c>
      <c r="C237" t="s">
        <v>629</v>
      </c>
      <c r="D237" t="s">
        <v>628</v>
      </c>
      <c r="E237" t="s">
        <v>435</v>
      </c>
      <c r="F237" t="s">
        <v>427</v>
      </c>
      <c r="G237" t="s">
        <v>230</v>
      </c>
      <c r="H237" t="s">
        <v>230</v>
      </c>
      <c r="J237" t="s">
        <v>52</v>
      </c>
      <c r="K237" s="15">
        <v>5000</v>
      </c>
      <c r="M237" s="13">
        <v>44981</v>
      </c>
      <c r="O237">
        <v>8200</v>
      </c>
      <c r="P237">
        <v>0</v>
      </c>
      <c r="Q237">
        <v>0</v>
      </c>
      <c r="R237">
        <v>0</v>
      </c>
      <c r="S237">
        <v>82478.579999999987</v>
      </c>
      <c r="T237">
        <v>0</v>
      </c>
      <c r="U237">
        <v>0</v>
      </c>
      <c r="V237">
        <v>125859.78</v>
      </c>
      <c r="W237">
        <v>0</v>
      </c>
      <c r="X237">
        <v>0</v>
      </c>
      <c r="Y237">
        <v>216538.36</v>
      </c>
      <c r="Z237">
        <v>0</v>
      </c>
      <c r="AA237">
        <v>216538.36</v>
      </c>
      <c r="AB237" t="s">
        <v>242</v>
      </c>
      <c r="AC237">
        <v>1</v>
      </c>
      <c r="AD237">
        <v>5000</v>
      </c>
      <c r="AE237">
        <v>0</v>
      </c>
      <c r="AF237">
        <v>0</v>
      </c>
      <c r="AG237">
        <v>0</v>
      </c>
      <c r="AH237" t="s">
        <v>58</v>
      </c>
    </row>
    <row r="238" spans="1:34" x14ac:dyDescent="0.3">
      <c r="A238" t="s">
        <v>798</v>
      </c>
      <c r="B238">
        <v>12200038</v>
      </c>
      <c r="C238">
        <v>19668536</v>
      </c>
      <c r="D238" t="s">
        <v>808</v>
      </c>
      <c r="E238" t="s">
        <v>435</v>
      </c>
      <c r="F238" t="s">
        <v>427</v>
      </c>
      <c r="G238" t="s">
        <v>82</v>
      </c>
      <c r="H238" t="s">
        <v>82</v>
      </c>
      <c r="J238" t="s">
        <v>52</v>
      </c>
      <c r="K238" s="15">
        <v>1000</v>
      </c>
      <c r="L238" s="15">
        <v>0</v>
      </c>
      <c r="M238" s="13">
        <v>44983</v>
      </c>
      <c r="O238">
        <v>0</v>
      </c>
      <c r="P238">
        <v>0</v>
      </c>
      <c r="Q238">
        <v>0</v>
      </c>
      <c r="R238">
        <v>0</v>
      </c>
      <c r="S238">
        <v>18580.96446684932</v>
      </c>
      <c r="T238">
        <v>0</v>
      </c>
      <c r="U238">
        <v>0</v>
      </c>
      <c r="V238">
        <v>213784.64</v>
      </c>
      <c r="W238">
        <v>0</v>
      </c>
      <c r="X238">
        <v>0</v>
      </c>
      <c r="Y238">
        <v>232365.60446684933</v>
      </c>
      <c r="Z238">
        <v>0</v>
      </c>
      <c r="AA238">
        <v>232365.60446684933</v>
      </c>
      <c r="AB238" t="s">
        <v>242</v>
      </c>
      <c r="AC238">
        <v>7</v>
      </c>
      <c r="AD238">
        <v>18000</v>
      </c>
      <c r="AE238">
        <v>0</v>
      </c>
      <c r="AF238">
        <v>0</v>
      </c>
      <c r="AG238">
        <v>0</v>
      </c>
      <c r="AH238" t="s">
        <v>58</v>
      </c>
    </row>
    <row r="239" spans="1:34" x14ac:dyDescent="0.3">
      <c r="A239" t="s">
        <v>798</v>
      </c>
      <c r="B239">
        <v>4132300713</v>
      </c>
      <c r="C239" t="s">
        <v>247</v>
      </c>
      <c r="D239" t="s">
        <v>318</v>
      </c>
      <c r="E239" t="s">
        <v>441</v>
      </c>
      <c r="F239" t="s">
        <v>430</v>
      </c>
      <c r="G239" t="s">
        <v>233</v>
      </c>
      <c r="H239" t="s">
        <v>231</v>
      </c>
      <c r="J239" t="s">
        <v>52</v>
      </c>
      <c r="K239" s="15">
        <v>2000</v>
      </c>
      <c r="L239" s="15">
        <v>0</v>
      </c>
      <c r="M239" s="13">
        <v>44983</v>
      </c>
      <c r="O239">
        <v>0</v>
      </c>
      <c r="P239">
        <v>2100</v>
      </c>
      <c r="Q239">
        <v>0</v>
      </c>
      <c r="R239">
        <v>0</v>
      </c>
      <c r="S239">
        <v>7353.5616438356165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9453.5616438356155</v>
      </c>
      <c r="Z239">
        <v>0</v>
      </c>
      <c r="AA239">
        <v>9453.5616438356155</v>
      </c>
      <c r="AB239" t="s">
        <v>242</v>
      </c>
      <c r="AC239">
        <v>1</v>
      </c>
      <c r="AD239">
        <v>2000</v>
      </c>
      <c r="AE239">
        <v>0</v>
      </c>
      <c r="AF239">
        <v>0</v>
      </c>
      <c r="AG239">
        <v>0</v>
      </c>
      <c r="AH239" t="s">
        <v>72</v>
      </c>
    </row>
    <row r="240" spans="1:34" x14ac:dyDescent="0.3">
      <c r="A240" t="s">
        <v>798</v>
      </c>
      <c r="B240">
        <v>22200050</v>
      </c>
      <c r="C240">
        <v>20757954</v>
      </c>
      <c r="D240" t="s">
        <v>120</v>
      </c>
      <c r="E240" t="s">
        <v>435</v>
      </c>
      <c r="F240" t="s">
        <v>428</v>
      </c>
      <c r="G240" t="s">
        <v>82</v>
      </c>
      <c r="H240" t="s">
        <v>82</v>
      </c>
      <c r="J240" t="s">
        <v>52</v>
      </c>
      <c r="K240" s="15">
        <v>500</v>
      </c>
      <c r="L240" s="15">
        <v>0</v>
      </c>
      <c r="M240" s="13">
        <v>44984</v>
      </c>
      <c r="O240">
        <v>0</v>
      </c>
      <c r="P240">
        <v>0</v>
      </c>
      <c r="Q240">
        <v>0</v>
      </c>
      <c r="R240">
        <v>611</v>
      </c>
      <c r="S240">
        <v>4321.2079698630132</v>
      </c>
      <c r="T240">
        <v>0</v>
      </c>
      <c r="U240">
        <v>0</v>
      </c>
      <c r="V240">
        <v>14084.08</v>
      </c>
      <c r="W240">
        <v>0</v>
      </c>
      <c r="X240">
        <v>0</v>
      </c>
      <c r="Y240">
        <v>19016.287969863013</v>
      </c>
      <c r="Z240">
        <v>0</v>
      </c>
      <c r="AA240">
        <v>19016.287969863013</v>
      </c>
      <c r="AB240" t="s">
        <v>242</v>
      </c>
      <c r="AC240">
        <v>2</v>
      </c>
      <c r="AD240">
        <v>1000</v>
      </c>
      <c r="AE240">
        <v>0</v>
      </c>
      <c r="AF240">
        <v>0</v>
      </c>
      <c r="AG240">
        <v>0</v>
      </c>
      <c r="AH240" t="s">
        <v>58</v>
      </c>
    </row>
    <row r="241" spans="1:34" x14ac:dyDescent="0.3">
      <c r="A241" t="s">
        <v>798</v>
      </c>
      <c r="B241">
        <v>32200045</v>
      </c>
      <c r="C241">
        <v>20758058</v>
      </c>
      <c r="D241" t="s">
        <v>120</v>
      </c>
      <c r="E241" t="s">
        <v>435</v>
      </c>
      <c r="F241" t="s">
        <v>429</v>
      </c>
      <c r="G241" t="s">
        <v>82</v>
      </c>
      <c r="H241" t="s">
        <v>82</v>
      </c>
      <c r="J241" t="s">
        <v>52</v>
      </c>
      <c r="K241" s="15">
        <v>500</v>
      </c>
      <c r="L241" s="15">
        <v>0</v>
      </c>
      <c r="M241" s="13">
        <v>44984</v>
      </c>
      <c r="O241">
        <v>0</v>
      </c>
      <c r="P241">
        <v>0</v>
      </c>
      <c r="Q241">
        <v>0</v>
      </c>
      <c r="R241">
        <v>451</v>
      </c>
      <c r="S241">
        <v>5973.0488810958905</v>
      </c>
      <c r="T241">
        <v>0</v>
      </c>
      <c r="U241">
        <v>0</v>
      </c>
      <c r="V241">
        <v>18314.54</v>
      </c>
      <c r="W241">
        <v>0</v>
      </c>
      <c r="X241">
        <v>0</v>
      </c>
      <c r="Y241">
        <v>24738.588881095893</v>
      </c>
      <c r="Z241">
        <v>0</v>
      </c>
      <c r="AA241">
        <v>24738.588881095893</v>
      </c>
      <c r="AB241" t="s">
        <v>242</v>
      </c>
      <c r="AC241">
        <v>2</v>
      </c>
      <c r="AD241">
        <v>1000</v>
      </c>
      <c r="AE241">
        <v>0</v>
      </c>
      <c r="AF241">
        <v>0</v>
      </c>
      <c r="AG241">
        <v>0</v>
      </c>
      <c r="AH241" t="s">
        <v>58</v>
      </c>
    </row>
    <row r="242" spans="1:34" x14ac:dyDescent="0.3">
      <c r="A242" t="s">
        <v>798</v>
      </c>
      <c r="B242">
        <v>42200090</v>
      </c>
      <c r="C242">
        <v>6001720069</v>
      </c>
      <c r="D242" t="s">
        <v>823</v>
      </c>
      <c r="E242" t="s">
        <v>437</v>
      </c>
      <c r="F242" t="s">
        <v>430</v>
      </c>
      <c r="G242" t="s">
        <v>82</v>
      </c>
      <c r="H242" t="s">
        <v>83</v>
      </c>
      <c r="J242" t="s">
        <v>52</v>
      </c>
      <c r="K242" s="15">
        <v>3000</v>
      </c>
      <c r="L242" s="15">
        <v>0</v>
      </c>
      <c r="M242" s="13">
        <v>44984</v>
      </c>
      <c r="O242">
        <v>0</v>
      </c>
      <c r="P242">
        <v>0</v>
      </c>
      <c r="Q242">
        <v>0</v>
      </c>
      <c r="R242">
        <v>0</v>
      </c>
      <c r="S242">
        <v>6491.9813084112129</v>
      </c>
      <c r="T242">
        <v>0</v>
      </c>
      <c r="U242">
        <v>0</v>
      </c>
      <c r="V242">
        <v>21898.439252336451</v>
      </c>
      <c r="W242">
        <v>0</v>
      </c>
      <c r="X242">
        <v>0</v>
      </c>
      <c r="Y242">
        <v>28390.420560747665</v>
      </c>
      <c r="Z242">
        <v>1987.3294392523367</v>
      </c>
      <c r="AA242">
        <v>30377.75</v>
      </c>
      <c r="AB242" t="s">
        <v>242</v>
      </c>
      <c r="AC242">
        <v>1</v>
      </c>
      <c r="AD242">
        <v>3000</v>
      </c>
      <c r="AE242">
        <v>0</v>
      </c>
      <c r="AF242">
        <v>0</v>
      </c>
      <c r="AG242">
        <v>196.2616822429909</v>
      </c>
      <c r="AH242" t="s">
        <v>72</v>
      </c>
    </row>
    <row r="243" spans="1:34" x14ac:dyDescent="0.3">
      <c r="A243" t="s">
        <v>798</v>
      </c>
      <c r="B243">
        <v>52201323</v>
      </c>
      <c r="C243">
        <v>26835889</v>
      </c>
      <c r="D243" t="s">
        <v>877</v>
      </c>
      <c r="E243" t="s">
        <v>438</v>
      </c>
      <c r="F243" t="s">
        <v>431</v>
      </c>
      <c r="G243" t="s">
        <v>82</v>
      </c>
      <c r="H243" t="s">
        <v>83</v>
      </c>
      <c r="J243" t="s">
        <v>52</v>
      </c>
      <c r="K243" s="15">
        <v>1000</v>
      </c>
      <c r="L243" s="15">
        <v>0</v>
      </c>
      <c r="M243" s="13">
        <v>44984</v>
      </c>
      <c r="O243">
        <v>0</v>
      </c>
      <c r="P243">
        <v>0</v>
      </c>
      <c r="Q243">
        <v>0</v>
      </c>
      <c r="R243">
        <v>975.73915130859825</v>
      </c>
      <c r="S243">
        <v>19400.502657855246</v>
      </c>
      <c r="T243">
        <v>0</v>
      </c>
      <c r="U243">
        <v>0</v>
      </c>
      <c r="V243">
        <v>48109.079118336827</v>
      </c>
      <c r="W243">
        <v>0</v>
      </c>
      <c r="X243">
        <v>0</v>
      </c>
      <c r="Y243">
        <v>68485.320927500667</v>
      </c>
      <c r="Z243">
        <v>4725.6707243334458</v>
      </c>
      <c r="AA243">
        <v>73210.991651834105</v>
      </c>
      <c r="AB243" t="s">
        <v>242</v>
      </c>
      <c r="AC243">
        <v>1</v>
      </c>
      <c r="AD243">
        <v>1000</v>
      </c>
      <c r="AE243">
        <v>0</v>
      </c>
      <c r="AF243">
        <v>0</v>
      </c>
      <c r="AG243">
        <v>64.487608029534499</v>
      </c>
      <c r="AH243" t="s">
        <v>72</v>
      </c>
    </row>
    <row r="244" spans="1:34" x14ac:dyDescent="0.3">
      <c r="A244" t="s">
        <v>798</v>
      </c>
      <c r="B244">
        <v>62200025</v>
      </c>
      <c r="C244">
        <v>9001302</v>
      </c>
      <c r="D244" t="s">
        <v>79</v>
      </c>
      <c r="E244" t="s">
        <v>435</v>
      </c>
      <c r="F244" t="s">
        <v>432</v>
      </c>
      <c r="G244" t="s">
        <v>82</v>
      </c>
      <c r="H244" t="s">
        <v>82</v>
      </c>
      <c r="J244" t="s">
        <v>52</v>
      </c>
      <c r="K244" s="15">
        <v>1000</v>
      </c>
      <c r="L244" s="15">
        <v>0</v>
      </c>
      <c r="M244" s="13">
        <v>44984</v>
      </c>
      <c r="O244">
        <v>0</v>
      </c>
      <c r="P244">
        <v>0</v>
      </c>
      <c r="Q244">
        <v>0</v>
      </c>
      <c r="R244">
        <v>0</v>
      </c>
      <c r="S244">
        <v>6985.2332638356165</v>
      </c>
      <c r="T244">
        <v>0</v>
      </c>
      <c r="U244">
        <v>0</v>
      </c>
      <c r="V244">
        <v>16839.61</v>
      </c>
      <c r="W244">
        <v>0</v>
      </c>
      <c r="X244">
        <v>0</v>
      </c>
      <c r="Y244">
        <v>23824.843263835617</v>
      </c>
      <c r="Z244">
        <v>0</v>
      </c>
      <c r="AA244">
        <v>23824.843263835617</v>
      </c>
      <c r="AB244" t="s">
        <v>242</v>
      </c>
      <c r="AC244">
        <v>6</v>
      </c>
      <c r="AD244">
        <v>6370</v>
      </c>
      <c r="AE244">
        <v>0</v>
      </c>
      <c r="AF244">
        <v>0</v>
      </c>
      <c r="AG244">
        <v>0</v>
      </c>
      <c r="AH244" t="s">
        <v>58</v>
      </c>
    </row>
    <row r="245" spans="1:34" x14ac:dyDescent="0.3">
      <c r="A245" t="s">
        <v>798</v>
      </c>
      <c r="B245">
        <v>62200028</v>
      </c>
      <c r="C245">
        <v>23104128</v>
      </c>
      <c r="D245" t="s">
        <v>892</v>
      </c>
      <c r="E245" t="s">
        <v>435</v>
      </c>
      <c r="F245" t="s">
        <v>432</v>
      </c>
      <c r="G245" t="s">
        <v>82</v>
      </c>
      <c r="H245" t="s">
        <v>82</v>
      </c>
      <c r="J245" t="s">
        <v>52</v>
      </c>
      <c r="K245" s="15">
        <v>2000</v>
      </c>
      <c r="L245" s="15">
        <v>0</v>
      </c>
      <c r="M245" s="13">
        <v>44984</v>
      </c>
      <c r="O245">
        <v>0</v>
      </c>
      <c r="P245">
        <v>0</v>
      </c>
      <c r="Q245">
        <v>0</v>
      </c>
      <c r="R245">
        <v>0</v>
      </c>
      <c r="S245">
        <v>10859.438356164384</v>
      </c>
      <c r="T245">
        <v>0</v>
      </c>
      <c r="U245">
        <v>0</v>
      </c>
      <c r="V245">
        <v>33000</v>
      </c>
      <c r="W245">
        <v>0</v>
      </c>
      <c r="X245">
        <v>0</v>
      </c>
      <c r="Y245">
        <v>43859.438356164384</v>
      </c>
      <c r="Z245">
        <v>0</v>
      </c>
      <c r="AA245">
        <v>43859.438356164384</v>
      </c>
      <c r="AB245" t="s">
        <v>242</v>
      </c>
      <c r="AC245">
        <v>2</v>
      </c>
      <c r="AD245">
        <v>3000</v>
      </c>
      <c r="AE245">
        <v>0</v>
      </c>
      <c r="AF245">
        <v>0</v>
      </c>
      <c r="AG245">
        <v>0</v>
      </c>
      <c r="AH245" t="s">
        <v>58</v>
      </c>
    </row>
    <row r="246" spans="1:34" x14ac:dyDescent="0.3">
      <c r="A246" t="s">
        <v>798</v>
      </c>
      <c r="B246">
        <v>52200058</v>
      </c>
      <c r="C246" t="s">
        <v>456</v>
      </c>
      <c r="D246" t="s">
        <v>525</v>
      </c>
      <c r="E246" t="s">
        <v>436</v>
      </c>
      <c r="F246" t="s">
        <v>431</v>
      </c>
      <c r="G246" t="s">
        <v>82</v>
      </c>
      <c r="H246" t="s">
        <v>83</v>
      </c>
      <c r="J246" t="s">
        <v>52</v>
      </c>
      <c r="K246" s="15">
        <v>30000</v>
      </c>
      <c r="L246" s="15">
        <v>0</v>
      </c>
      <c r="M246" s="13">
        <v>44984</v>
      </c>
      <c r="O246">
        <v>0</v>
      </c>
      <c r="P246">
        <v>0</v>
      </c>
      <c r="Q246">
        <v>0</v>
      </c>
      <c r="R246">
        <v>85.430254682617573</v>
      </c>
      <c r="S246">
        <v>0</v>
      </c>
      <c r="T246">
        <v>0</v>
      </c>
      <c r="U246">
        <v>0</v>
      </c>
      <c r="V246">
        <v>19826.70069655832</v>
      </c>
      <c r="W246">
        <v>0</v>
      </c>
      <c r="X246">
        <v>0</v>
      </c>
      <c r="Y246">
        <v>19912.130951240939</v>
      </c>
      <c r="Z246">
        <v>1387.8690487590825</v>
      </c>
      <c r="AA246">
        <v>21300.000000000022</v>
      </c>
      <c r="AB246" t="s">
        <v>242</v>
      </c>
      <c r="AC246">
        <v>2</v>
      </c>
      <c r="AD246">
        <v>70000</v>
      </c>
      <c r="AE246">
        <v>0</v>
      </c>
      <c r="AF246">
        <v>0</v>
      </c>
      <c r="AG246">
        <v>4556.9402561738316</v>
      </c>
      <c r="AH246" t="s">
        <v>58</v>
      </c>
    </row>
    <row r="247" spans="1:34" x14ac:dyDescent="0.3">
      <c r="A247" t="s">
        <v>798</v>
      </c>
      <c r="B247">
        <v>2200001</v>
      </c>
      <c r="C247" t="s">
        <v>630</v>
      </c>
      <c r="D247" t="s">
        <v>407</v>
      </c>
      <c r="E247" t="s">
        <v>435</v>
      </c>
      <c r="F247" t="s">
        <v>675</v>
      </c>
      <c r="G247" t="s">
        <v>235</v>
      </c>
      <c r="H247" t="s">
        <v>235</v>
      </c>
      <c r="J247" t="s">
        <v>52</v>
      </c>
      <c r="K247" s="15">
        <v>3000</v>
      </c>
      <c r="M247" s="13">
        <v>44984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66246.990000000005</v>
      </c>
      <c r="W247">
        <v>0</v>
      </c>
      <c r="X247">
        <v>0</v>
      </c>
      <c r="Y247">
        <v>66246.990000000005</v>
      </c>
      <c r="Z247">
        <v>0</v>
      </c>
      <c r="AA247">
        <v>66246.990000000005</v>
      </c>
      <c r="AB247" t="s">
        <v>242</v>
      </c>
      <c r="AC247">
        <v>1</v>
      </c>
      <c r="AD247">
        <v>3000</v>
      </c>
      <c r="AE247">
        <v>0</v>
      </c>
      <c r="AF247">
        <v>0</v>
      </c>
      <c r="AG247">
        <v>0</v>
      </c>
      <c r="AH247" t="s">
        <v>58</v>
      </c>
    </row>
    <row r="248" spans="1:34" x14ac:dyDescent="0.3">
      <c r="A248" t="s">
        <v>798</v>
      </c>
      <c r="B248">
        <v>52200023</v>
      </c>
      <c r="C248" t="s">
        <v>636</v>
      </c>
      <c r="D248" t="s">
        <v>635</v>
      </c>
      <c r="E248" t="s">
        <v>435</v>
      </c>
      <c r="F248" t="s">
        <v>431</v>
      </c>
      <c r="G248" t="s">
        <v>230</v>
      </c>
      <c r="H248" t="s">
        <v>231</v>
      </c>
      <c r="J248" t="s">
        <v>672</v>
      </c>
      <c r="M248" s="13">
        <v>44984</v>
      </c>
      <c r="O248">
        <v>3000</v>
      </c>
      <c r="P248">
        <v>0</v>
      </c>
      <c r="Q248">
        <v>0</v>
      </c>
      <c r="R248">
        <v>0</v>
      </c>
      <c r="S248">
        <v>0</v>
      </c>
      <c r="T248">
        <v>35327.102803738315</v>
      </c>
      <c r="U248">
        <v>0</v>
      </c>
      <c r="V248">
        <v>0</v>
      </c>
      <c r="W248">
        <v>39897.196261682242</v>
      </c>
      <c r="X248">
        <v>0</v>
      </c>
      <c r="Y248">
        <v>78224.29906542055</v>
      </c>
      <c r="Z248">
        <v>5265.7009345794386</v>
      </c>
      <c r="AA248">
        <v>83489.999999999985</v>
      </c>
      <c r="AB248" t="s">
        <v>242</v>
      </c>
      <c r="AC248">
        <v>0</v>
      </c>
      <c r="AD248">
        <v>0</v>
      </c>
      <c r="AE248">
        <v>0</v>
      </c>
      <c r="AF248">
        <v>0</v>
      </c>
      <c r="AG248">
        <v>0</v>
      </c>
      <c r="AH248" t="s">
        <v>72</v>
      </c>
    </row>
    <row r="249" spans="1:34" x14ac:dyDescent="0.3">
      <c r="A249" t="s">
        <v>798</v>
      </c>
      <c r="B249">
        <v>2200009</v>
      </c>
      <c r="C249">
        <v>19887094</v>
      </c>
      <c r="D249" t="s">
        <v>77</v>
      </c>
      <c r="E249" t="s">
        <v>435</v>
      </c>
      <c r="F249" t="s">
        <v>426</v>
      </c>
      <c r="G249" t="s">
        <v>82</v>
      </c>
      <c r="H249" t="s">
        <v>82</v>
      </c>
      <c r="J249" t="s">
        <v>52</v>
      </c>
      <c r="K249" s="15">
        <v>900</v>
      </c>
      <c r="L249" s="15">
        <v>0</v>
      </c>
      <c r="M249" s="13">
        <v>44985</v>
      </c>
      <c r="O249">
        <v>0</v>
      </c>
      <c r="P249">
        <v>0</v>
      </c>
      <c r="Q249">
        <v>0</v>
      </c>
      <c r="R249">
        <v>0</v>
      </c>
      <c r="S249">
        <v>20601.616180538298</v>
      </c>
      <c r="T249">
        <v>0</v>
      </c>
      <c r="U249">
        <v>0</v>
      </c>
      <c r="V249">
        <v>107102.9400910782</v>
      </c>
      <c r="W249">
        <v>0</v>
      </c>
      <c r="X249">
        <v>0</v>
      </c>
      <c r="Y249">
        <v>127704.5562716165</v>
      </c>
      <c r="Z249">
        <v>0</v>
      </c>
      <c r="AA249">
        <v>127704.5562716165</v>
      </c>
      <c r="AB249" t="s">
        <v>242</v>
      </c>
      <c r="AC249">
        <v>7</v>
      </c>
      <c r="AD249">
        <v>6300</v>
      </c>
      <c r="AE249">
        <v>0</v>
      </c>
      <c r="AF249">
        <v>0</v>
      </c>
      <c r="AG249">
        <v>0</v>
      </c>
      <c r="AH249" t="s">
        <v>58</v>
      </c>
    </row>
    <row r="250" spans="1:34" x14ac:dyDescent="0.3">
      <c r="A250" t="s">
        <v>798</v>
      </c>
      <c r="B250">
        <v>12200198</v>
      </c>
      <c r="C250">
        <v>21155200</v>
      </c>
      <c r="D250" t="s">
        <v>815</v>
      </c>
      <c r="E250" t="s">
        <v>438</v>
      </c>
      <c r="F250" t="s">
        <v>427</v>
      </c>
      <c r="G250" t="s">
        <v>82</v>
      </c>
      <c r="H250" t="s">
        <v>82</v>
      </c>
      <c r="J250" t="s">
        <v>52</v>
      </c>
      <c r="K250" s="15">
        <v>2000</v>
      </c>
      <c r="L250" s="15">
        <v>0</v>
      </c>
      <c r="M250" s="13">
        <v>44985</v>
      </c>
      <c r="O250">
        <v>0</v>
      </c>
      <c r="P250">
        <v>0</v>
      </c>
      <c r="Q250">
        <v>0</v>
      </c>
      <c r="R250">
        <v>0</v>
      </c>
      <c r="S250">
        <v>37252.267691327819</v>
      </c>
      <c r="T250">
        <v>0</v>
      </c>
      <c r="U250">
        <v>0</v>
      </c>
      <c r="V250">
        <v>142102.18304325169</v>
      </c>
      <c r="W250">
        <v>0</v>
      </c>
      <c r="X250">
        <v>0</v>
      </c>
      <c r="Y250">
        <v>179354.4507345795</v>
      </c>
      <c r="Z250">
        <v>0</v>
      </c>
      <c r="AA250">
        <v>179354.4507345795</v>
      </c>
      <c r="AB250" t="s">
        <v>242</v>
      </c>
      <c r="AC250">
        <v>1</v>
      </c>
      <c r="AD250">
        <v>2000</v>
      </c>
      <c r="AE250">
        <v>0</v>
      </c>
      <c r="AF250">
        <v>0</v>
      </c>
      <c r="AG250">
        <v>0</v>
      </c>
      <c r="AH250" t="s">
        <v>72</v>
      </c>
    </row>
    <row r="251" spans="1:34" x14ac:dyDescent="0.3">
      <c r="A251" t="s">
        <v>798</v>
      </c>
      <c r="B251">
        <v>22200061</v>
      </c>
      <c r="C251">
        <v>19290575</v>
      </c>
      <c r="D251" t="s">
        <v>84</v>
      </c>
      <c r="E251" t="s">
        <v>435</v>
      </c>
      <c r="F251" t="s">
        <v>428</v>
      </c>
      <c r="G251" t="s">
        <v>82</v>
      </c>
      <c r="H251" t="s">
        <v>82</v>
      </c>
      <c r="J251" t="s">
        <v>52</v>
      </c>
      <c r="K251" s="15">
        <v>1000</v>
      </c>
      <c r="L251" s="15">
        <v>0</v>
      </c>
      <c r="M251" s="13">
        <v>44985</v>
      </c>
      <c r="O251">
        <v>0</v>
      </c>
      <c r="P251">
        <v>0</v>
      </c>
      <c r="Q251">
        <v>0</v>
      </c>
      <c r="R251">
        <v>0</v>
      </c>
      <c r="S251">
        <v>5625.7709089598566</v>
      </c>
      <c r="T251">
        <v>0</v>
      </c>
      <c r="U251">
        <v>0</v>
      </c>
      <c r="V251">
        <v>22341.817670062115</v>
      </c>
      <c r="W251">
        <v>0</v>
      </c>
      <c r="X251">
        <v>0</v>
      </c>
      <c r="Y251">
        <v>27967.588579021973</v>
      </c>
      <c r="Z251">
        <v>0</v>
      </c>
      <c r="AA251">
        <v>27967.588579021973</v>
      </c>
      <c r="AB251" t="s">
        <v>242</v>
      </c>
      <c r="AC251">
        <v>3</v>
      </c>
      <c r="AD251">
        <v>2500</v>
      </c>
      <c r="AE251">
        <v>0</v>
      </c>
      <c r="AF251">
        <v>0</v>
      </c>
      <c r="AG251">
        <v>0</v>
      </c>
      <c r="AH251" t="s">
        <v>58</v>
      </c>
    </row>
    <row r="252" spans="1:34" x14ac:dyDescent="0.3">
      <c r="A252" t="s">
        <v>798</v>
      </c>
      <c r="B252">
        <v>22200068</v>
      </c>
      <c r="C252">
        <v>20579132</v>
      </c>
      <c r="D252" t="s">
        <v>80</v>
      </c>
      <c r="E252" t="s">
        <v>435</v>
      </c>
      <c r="F252" t="s">
        <v>428</v>
      </c>
      <c r="G252" t="s">
        <v>82</v>
      </c>
      <c r="H252" t="s">
        <v>82</v>
      </c>
      <c r="J252" t="s">
        <v>52</v>
      </c>
      <c r="K252" s="15">
        <v>500</v>
      </c>
      <c r="L252" s="15">
        <v>0</v>
      </c>
      <c r="M252" s="13">
        <v>44985</v>
      </c>
      <c r="O252">
        <v>0</v>
      </c>
      <c r="P252">
        <v>0</v>
      </c>
      <c r="Q252">
        <v>0</v>
      </c>
      <c r="R252">
        <v>0</v>
      </c>
      <c r="S252">
        <v>5057.3615921232877</v>
      </c>
      <c r="T252">
        <v>0</v>
      </c>
      <c r="U252">
        <v>0</v>
      </c>
      <c r="V252">
        <v>21133.91</v>
      </c>
      <c r="W252">
        <v>0</v>
      </c>
      <c r="X252">
        <v>0</v>
      </c>
      <c r="Y252">
        <v>26191.271592123288</v>
      </c>
      <c r="Z252">
        <v>0</v>
      </c>
      <c r="AA252">
        <v>26191.271592123288</v>
      </c>
      <c r="AB252" t="s">
        <v>242</v>
      </c>
      <c r="AC252">
        <v>4</v>
      </c>
      <c r="AD252">
        <v>3500</v>
      </c>
      <c r="AE252">
        <v>0</v>
      </c>
      <c r="AF252">
        <v>0</v>
      </c>
      <c r="AG252">
        <v>0</v>
      </c>
      <c r="AH252" t="s">
        <v>58</v>
      </c>
    </row>
    <row r="253" spans="1:34" x14ac:dyDescent="0.3">
      <c r="A253" t="s">
        <v>798</v>
      </c>
      <c r="B253">
        <v>22200070</v>
      </c>
      <c r="C253">
        <v>20608378</v>
      </c>
      <c r="D253" t="s">
        <v>817</v>
      </c>
      <c r="E253" t="s">
        <v>435</v>
      </c>
      <c r="F253" t="s">
        <v>428</v>
      </c>
      <c r="G253" t="s">
        <v>82</v>
      </c>
      <c r="H253" t="s">
        <v>82</v>
      </c>
      <c r="J253" t="s">
        <v>52</v>
      </c>
      <c r="K253" s="15">
        <v>300</v>
      </c>
      <c r="L253" s="15">
        <v>0</v>
      </c>
      <c r="M253" s="13">
        <v>44985</v>
      </c>
      <c r="O253">
        <v>0</v>
      </c>
      <c r="P253">
        <v>0</v>
      </c>
      <c r="Q253">
        <v>0</v>
      </c>
      <c r="R253">
        <v>1191</v>
      </c>
      <c r="S253">
        <v>2325.0903958904109</v>
      </c>
      <c r="T253">
        <v>0</v>
      </c>
      <c r="U253">
        <v>0</v>
      </c>
      <c r="V253">
        <v>7055.98</v>
      </c>
      <c r="W253">
        <v>0</v>
      </c>
      <c r="X253">
        <v>0</v>
      </c>
      <c r="Y253">
        <v>10572.070395890411</v>
      </c>
      <c r="Z253">
        <v>0</v>
      </c>
      <c r="AA253">
        <v>10572.070395890411</v>
      </c>
      <c r="AB253" t="s">
        <v>242</v>
      </c>
      <c r="AC253">
        <v>2</v>
      </c>
      <c r="AD253">
        <v>600</v>
      </c>
      <c r="AE253">
        <v>0</v>
      </c>
      <c r="AF253">
        <v>0</v>
      </c>
      <c r="AG253">
        <v>0</v>
      </c>
      <c r="AH253" t="s">
        <v>58</v>
      </c>
    </row>
    <row r="254" spans="1:34" x14ac:dyDescent="0.3">
      <c r="A254" t="s">
        <v>798</v>
      </c>
      <c r="B254">
        <v>32200060</v>
      </c>
      <c r="C254">
        <v>20609000</v>
      </c>
      <c r="D254" t="s">
        <v>817</v>
      </c>
      <c r="E254" t="s">
        <v>435</v>
      </c>
      <c r="F254" t="s">
        <v>429</v>
      </c>
      <c r="G254" t="s">
        <v>82</v>
      </c>
      <c r="H254" t="s">
        <v>82</v>
      </c>
      <c r="J254" t="s">
        <v>52</v>
      </c>
      <c r="K254" s="15">
        <v>300</v>
      </c>
      <c r="L254" s="15">
        <v>0</v>
      </c>
      <c r="M254" s="13">
        <v>44985</v>
      </c>
      <c r="O254">
        <v>0</v>
      </c>
      <c r="P254">
        <v>0</v>
      </c>
      <c r="Q254">
        <v>0</v>
      </c>
      <c r="R254">
        <v>1091</v>
      </c>
      <c r="S254">
        <v>1970.1638136986301</v>
      </c>
      <c r="T254">
        <v>0</v>
      </c>
      <c r="U254">
        <v>0</v>
      </c>
      <c r="V254">
        <v>5293.8</v>
      </c>
      <c r="W254">
        <v>0</v>
      </c>
      <c r="X254">
        <v>0</v>
      </c>
      <c r="Y254">
        <v>8354.9638136986305</v>
      </c>
      <c r="Z254">
        <v>0</v>
      </c>
      <c r="AA254">
        <v>8354.9638136986305</v>
      </c>
      <c r="AB254" t="s">
        <v>242</v>
      </c>
      <c r="AC254">
        <v>2</v>
      </c>
      <c r="AD254">
        <v>600</v>
      </c>
      <c r="AE254">
        <v>0</v>
      </c>
      <c r="AF254">
        <v>0</v>
      </c>
      <c r="AG254">
        <v>0</v>
      </c>
      <c r="AH254" t="s">
        <v>58</v>
      </c>
    </row>
    <row r="255" spans="1:34" x14ac:dyDescent="0.3">
      <c r="A255" t="s">
        <v>798</v>
      </c>
      <c r="B255">
        <v>52200412</v>
      </c>
      <c r="C255">
        <v>25145601</v>
      </c>
      <c r="D255" t="s">
        <v>86</v>
      </c>
      <c r="E255" t="s">
        <v>436</v>
      </c>
      <c r="F255" t="s">
        <v>431</v>
      </c>
      <c r="G255" t="s">
        <v>82</v>
      </c>
      <c r="H255" t="s">
        <v>83</v>
      </c>
      <c r="J255" t="s">
        <v>52</v>
      </c>
      <c r="K255" s="15">
        <v>1000</v>
      </c>
      <c r="L255" s="15">
        <v>0</v>
      </c>
      <c r="M255" s="13">
        <v>44985</v>
      </c>
      <c r="O255">
        <v>0</v>
      </c>
      <c r="P255">
        <v>0</v>
      </c>
      <c r="Q255">
        <v>0</v>
      </c>
      <c r="R255">
        <v>859.20339002916012</v>
      </c>
      <c r="S255">
        <v>30419.995263052493</v>
      </c>
      <c r="T255">
        <v>0</v>
      </c>
      <c r="U255">
        <v>0</v>
      </c>
      <c r="V255">
        <v>52616.263104201244</v>
      </c>
      <c r="W255">
        <v>0</v>
      </c>
      <c r="X255">
        <v>0</v>
      </c>
      <c r="Y255">
        <v>83895.461757282901</v>
      </c>
      <c r="Z255">
        <v>5812.5380857077616</v>
      </c>
      <c r="AA255">
        <v>89707.999842990655</v>
      </c>
      <c r="AB255" t="s">
        <v>242</v>
      </c>
      <c r="AC255">
        <v>4</v>
      </c>
      <c r="AD255">
        <v>3100</v>
      </c>
      <c r="AE255">
        <v>0</v>
      </c>
      <c r="AF255">
        <v>0</v>
      </c>
      <c r="AG255">
        <v>200.72358626358999</v>
      </c>
      <c r="AH255" t="s">
        <v>58</v>
      </c>
    </row>
    <row r="256" spans="1:34" x14ac:dyDescent="0.3">
      <c r="A256" t="s">
        <v>798</v>
      </c>
      <c r="B256">
        <v>52201222</v>
      </c>
      <c r="C256">
        <v>25649443</v>
      </c>
      <c r="D256" t="s">
        <v>151</v>
      </c>
      <c r="E256" t="s">
        <v>438</v>
      </c>
      <c r="F256" t="s">
        <v>431</v>
      </c>
      <c r="G256" t="s">
        <v>82</v>
      </c>
      <c r="H256" t="s">
        <v>83</v>
      </c>
      <c r="J256" t="s">
        <v>52</v>
      </c>
      <c r="K256" s="15">
        <v>1217</v>
      </c>
      <c r="L256" s="15">
        <v>0</v>
      </c>
      <c r="M256" s="13">
        <v>44985</v>
      </c>
      <c r="O256">
        <v>0</v>
      </c>
      <c r="P256">
        <v>0</v>
      </c>
      <c r="Q256">
        <v>0</v>
      </c>
      <c r="R256">
        <v>973.53832481976417</v>
      </c>
      <c r="S256">
        <v>19360.770862359837</v>
      </c>
      <c r="T256">
        <v>0</v>
      </c>
      <c r="U256">
        <v>0</v>
      </c>
      <c r="V256">
        <v>51717.230311928623</v>
      </c>
      <c r="W256">
        <v>0</v>
      </c>
      <c r="X256">
        <v>0</v>
      </c>
      <c r="Y256">
        <v>72051.539499108228</v>
      </c>
      <c r="Z256">
        <v>4975.4600822001921</v>
      </c>
      <c r="AA256">
        <v>77026.999581308424</v>
      </c>
      <c r="AB256" t="s">
        <v>242</v>
      </c>
      <c r="AC256">
        <v>1</v>
      </c>
      <c r="AD256">
        <v>1217</v>
      </c>
      <c r="AE256">
        <v>0</v>
      </c>
      <c r="AF256">
        <v>0</v>
      </c>
      <c r="AG256">
        <v>78.539890408769679</v>
      </c>
      <c r="AH256" t="s">
        <v>72</v>
      </c>
    </row>
    <row r="257" spans="1:34" x14ac:dyDescent="0.3">
      <c r="A257" t="s">
        <v>798</v>
      </c>
      <c r="B257">
        <v>52201809</v>
      </c>
      <c r="C257">
        <v>28380987</v>
      </c>
      <c r="D257" t="s">
        <v>164</v>
      </c>
      <c r="E257" t="s">
        <v>438</v>
      </c>
      <c r="F257" t="s">
        <v>431</v>
      </c>
      <c r="G257" t="s">
        <v>82</v>
      </c>
      <c r="H257" t="s">
        <v>83</v>
      </c>
      <c r="J257" t="s">
        <v>52</v>
      </c>
      <c r="K257" s="15">
        <v>500</v>
      </c>
      <c r="L257" s="15">
        <v>0</v>
      </c>
      <c r="M257" s="13">
        <v>44985</v>
      </c>
      <c r="O257">
        <v>0</v>
      </c>
      <c r="P257">
        <v>0</v>
      </c>
      <c r="Q257">
        <v>0</v>
      </c>
      <c r="R257">
        <v>1033.2036854401022</v>
      </c>
      <c r="S257">
        <v>36257.442440906656</v>
      </c>
      <c r="T257">
        <v>0</v>
      </c>
      <c r="U257">
        <v>0</v>
      </c>
      <c r="V257">
        <v>51867.600635850336</v>
      </c>
      <c r="W257">
        <v>0</v>
      </c>
      <c r="X257">
        <v>0</v>
      </c>
      <c r="Y257">
        <v>89158.246762197086</v>
      </c>
      <c r="Z257">
        <v>6168.7530153729904</v>
      </c>
      <c r="AA257">
        <v>95326.999777570076</v>
      </c>
      <c r="AB257" t="s">
        <v>242</v>
      </c>
      <c r="AC257">
        <v>1</v>
      </c>
      <c r="AD257">
        <v>500</v>
      </c>
      <c r="AE257">
        <v>0</v>
      </c>
      <c r="AF257">
        <v>0</v>
      </c>
      <c r="AG257">
        <v>32.331082225053422</v>
      </c>
      <c r="AH257" t="s">
        <v>72</v>
      </c>
    </row>
    <row r="258" spans="1:34" x14ac:dyDescent="0.3">
      <c r="A258" t="s">
        <v>798</v>
      </c>
      <c r="B258">
        <v>52201828</v>
      </c>
      <c r="C258">
        <v>25536725</v>
      </c>
      <c r="D258" t="s">
        <v>166</v>
      </c>
      <c r="E258" t="s">
        <v>438</v>
      </c>
      <c r="F258" t="s">
        <v>431</v>
      </c>
      <c r="G258" t="s">
        <v>82</v>
      </c>
      <c r="H258" t="s">
        <v>83</v>
      </c>
      <c r="J258" t="s">
        <v>52</v>
      </c>
      <c r="K258" s="15">
        <v>2000</v>
      </c>
      <c r="L258" s="15">
        <v>0</v>
      </c>
      <c r="M258" s="13">
        <v>44985</v>
      </c>
      <c r="O258">
        <v>0</v>
      </c>
      <c r="P258">
        <v>0</v>
      </c>
      <c r="Q258">
        <v>0</v>
      </c>
      <c r="R258">
        <v>984.36253627446501</v>
      </c>
      <c r="S258">
        <v>24999.532396836876</v>
      </c>
      <c r="T258">
        <v>0</v>
      </c>
      <c r="U258">
        <v>0</v>
      </c>
      <c r="V258">
        <v>46273.024665951423</v>
      </c>
      <c r="W258">
        <v>0</v>
      </c>
      <c r="X258">
        <v>0</v>
      </c>
      <c r="Y258">
        <v>72256.919599062763</v>
      </c>
      <c r="Z258">
        <v>4989.0789943951813</v>
      </c>
      <c r="AA258">
        <v>77245.998593457945</v>
      </c>
      <c r="AB258" t="s">
        <v>242</v>
      </c>
      <c r="AC258">
        <v>2</v>
      </c>
      <c r="AD258">
        <v>4000</v>
      </c>
      <c r="AE258">
        <v>0</v>
      </c>
      <c r="AF258">
        <v>0</v>
      </c>
      <c r="AG258">
        <v>258.10782947589951</v>
      </c>
      <c r="AH258" t="s">
        <v>58</v>
      </c>
    </row>
    <row r="259" spans="1:34" x14ac:dyDescent="0.3">
      <c r="A259" t="s">
        <v>798</v>
      </c>
      <c r="B259">
        <v>62200005</v>
      </c>
      <c r="C259">
        <v>19887124</v>
      </c>
      <c r="D259" t="s">
        <v>77</v>
      </c>
      <c r="E259" t="s">
        <v>435</v>
      </c>
      <c r="F259" t="s">
        <v>432</v>
      </c>
      <c r="G259" t="s">
        <v>82</v>
      </c>
      <c r="H259" t="s">
        <v>82</v>
      </c>
      <c r="J259" t="s">
        <v>52</v>
      </c>
      <c r="K259" s="15">
        <v>1800</v>
      </c>
      <c r="L259" s="15">
        <v>0</v>
      </c>
      <c r="M259" s="13">
        <v>44985</v>
      </c>
      <c r="O259">
        <v>0</v>
      </c>
      <c r="P259">
        <v>0</v>
      </c>
      <c r="Q259">
        <v>0</v>
      </c>
      <c r="R259">
        <v>0</v>
      </c>
      <c r="S259">
        <v>13825.601058092285</v>
      </c>
      <c r="T259">
        <v>0</v>
      </c>
      <c r="U259">
        <v>0</v>
      </c>
      <c r="V259">
        <v>59598.02512483739</v>
      </c>
      <c r="W259">
        <v>0</v>
      </c>
      <c r="X259">
        <v>0</v>
      </c>
      <c r="Y259">
        <v>73423.626182929671</v>
      </c>
      <c r="Z259">
        <v>0</v>
      </c>
      <c r="AA259">
        <v>73423.626182929671</v>
      </c>
      <c r="AB259" t="s">
        <v>242</v>
      </c>
      <c r="AC259">
        <v>7</v>
      </c>
      <c r="AD259">
        <v>12600</v>
      </c>
      <c r="AE259">
        <v>0</v>
      </c>
      <c r="AF259">
        <v>0</v>
      </c>
      <c r="AG259">
        <v>0</v>
      </c>
      <c r="AH259" t="s">
        <v>58</v>
      </c>
    </row>
    <row r="260" spans="1:34" x14ac:dyDescent="0.3">
      <c r="A260" t="s">
        <v>798</v>
      </c>
      <c r="B260">
        <v>62200006</v>
      </c>
      <c r="C260">
        <v>19887213</v>
      </c>
      <c r="D260" t="s">
        <v>77</v>
      </c>
      <c r="E260" t="s">
        <v>435</v>
      </c>
      <c r="F260" t="s">
        <v>432</v>
      </c>
      <c r="G260" t="s">
        <v>82</v>
      </c>
      <c r="H260" t="s">
        <v>82</v>
      </c>
      <c r="J260" t="s">
        <v>52</v>
      </c>
      <c r="K260" s="15">
        <v>1800</v>
      </c>
      <c r="L260" s="15">
        <v>0</v>
      </c>
      <c r="M260" s="13">
        <v>44985</v>
      </c>
      <c r="O260">
        <v>0</v>
      </c>
      <c r="P260">
        <v>0</v>
      </c>
      <c r="Q260">
        <v>0</v>
      </c>
      <c r="R260">
        <v>0</v>
      </c>
      <c r="S260">
        <v>3804.9954212797929</v>
      </c>
      <c r="T260">
        <v>0</v>
      </c>
      <c r="U260">
        <v>0</v>
      </c>
      <c r="V260">
        <v>29690.410958904111</v>
      </c>
      <c r="W260">
        <v>0</v>
      </c>
      <c r="X260">
        <v>0</v>
      </c>
      <c r="Y260">
        <v>33495.406380183907</v>
      </c>
      <c r="Z260">
        <v>0</v>
      </c>
      <c r="AA260">
        <v>33495.406380183907</v>
      </c>
      <c r="AB260" t="s">
        <v>242</v>
      </c>
      <c r="AC260">
        <v>7</v>
      </c>
      <c r="AD260">
        <v>12600</v>
      </c>
      <c r="AE260">
        <v>0</v>
      </c>
      <c r="AF260">
        <v>0</v>
      </c>
      <c r="AG260">
        <v>0</v>
      </c>
      <c r="AH260" t="s">
        <v>58</v>
      </c>
    </row>
    <row r="261" spans="1:34" x14ac:dyDescent="0.3">
      <c r="A261" t="s">
        <v>798</v>
      </c>
      <c r="B261">
        <v>62200080</v>
      </c>
      <c r="C261">
        <v>22425262</v>
      </c>
      <c r="D261" t="s">
        <v>80</v>
      </c>
      <c r="E261" t="s">
        <v>435</v>
      </c>
      <c r="F261" t="s">
        <v>432</v>
      </c>
      <c r="G261" t="s">
        <v>82</v>
      </c>
      <c r="H261" t="s">
        <v>82</v>
      </c>
      <c r="J261" t="s">
        <v>52</v>
      </c>
      <c r="K261" s="15">
        <v>500</v>
      </c>
      <c r="L261" s="15">
        <v>0</v>
      </c>
      <c r="M261" s="13">
        <v>44985</v>
      </c>
      <c r="O261">
        <v>0</v>
      </c>
      <c r="P261">
        <v>0</v>
      </c>
      <c r="Q261">
        <v>0</v>
      </c>
      <c r="R261">
        <v>611</v>
      </c>
      <c r="S261">
        <v>12128.219178082192</v>
      </c>
      <c r="T261">
        <v>0</v>
      </c>
      <c r="U261">
        <v>0</v>
      </c>
      <c r="V261">
        <v>30000</v>
      </c>
      <c r="W261">
        <v>0</v>
      </c>
      <c r="X261">
        <v>0</v>
      </c>
      <c r="Y261">
        <v>42739.219178082189</v>
      </c>
      <c r="Z261">
        <v>0</v>
      </c>
      <c r="AA261">
        <v>42739.219178082189</v>
      </c>
      <c r="AB261" t="s">
        <v>242</v>
      </c>
      <c r="AC261">
        <v>2</v>
      </c>
      <c r="AD261">
        <v>1000</v>
      </c>
      <c r="AE261">
        <v>0</v>
      </c>
      <c r="AF261">
        <v>0</v>
      </c>
      <c r="AG261">
        <v>0</v>
      </c>
      <c r="AH261" t="s">
        <v>58</v>
      </c>
    </row>
    <row r="262" spans="1:34" x14ac:dyDescent="0.3">
      <c r="A262" t="s">
        <v>798</v>
      </c>
      <c r="B262">
        <v>32200011</v>
      </c>
      <c r="C262" t="s">
        <v>243</v>
      </c>
      <c r="D262" t="s">
        <v>315</v>
      </c>
      <c r="E262" t="s">
        <v>435</v>
      </c>
      <c r="F262" t="s">
        <v>429</v>
      </c>
      <c r="G262" t="s">
        <v>82</v>
      </c>
      <c r="H262" t="s">
        <v>82</v>
      </c>
      <c r="J262" t="s">
        <v>52</v>
      </c>
      <c r="K262" s="15">
        <v>1500</v>
      </c>
      <c r="L262" s="15">
        <v>0</v>
      </c>
      <c r="M262" s="13">
        <v>44985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766.70367570410963</v>
      </c>
      <c r="W262">
        <v>0</v>
      </c>
      <c r="X262">
        <v>0</v>
      </c>
      <c r="Y262">
        <v>766.70367570410963</v>
      </c>
      <c r="Z262">
        <v>0</v>
      </c>
      <c r="AA262">
        <v>766.70367570410963</v>
      </c>
      <c r="AB262" t="s">
        <v>242</v>
      </c>
      <c r="AC262">
        <v>8</v>
      </c>
      <c r="AD262">
        <v>12500</v>
      </c>
      <c r="AE262">
        <v>0</v>
      </c>
      <c r="AF262">
        <v>0</v>
      </c>
      <c r="AG262">
        <v>0</v>
      </c>
      <c r="AH262" t="s">
        <v>58</v>
      </c>
    </row>
    <row r="263" spans="1:34" x14ac:dyDescent="0.3">
      <c r="A263" t="s">
        <v>798</v>
      </c>
      <c r="B263">
        <v>62200104</v>
      </c>
      <c r="C263" t="s">
        <v>245</v>
      </c>
      <c r="D263" t="s">
        <v>316</v>
      </c>
      <c r="E263" t="s">
        <v>435</v>
      </c>
      <c r="F263" t="s">
        <v>432</v>
      </c>
      <c r="G263" t="s">
        <v>82</v>
      </c>
      <c r="H263" t="s">
        <v>82</v>
      </c>
      <c r="J263" t="s">
        <v>52</v>
      </c>
      <c r="K263" s="15">
        <v>2000</v>
      </c>
      <c r="L263" s="15">
        <v>0</v>
      </c>
      <c r="M263" s="13">
        <v>44985</v>
      </c>
      <c r="O263">
        <v>0</v>
      </c>
      <c r="P263">
        <v>0</v>
      </c>
      <c r="Q263">
        <v>0</v>
      </c>
      <c r="R263">
        <v>0</v>
      </c>
      <c r="S263">
        <v>1295.8737114652049</v>
      </c>
      <c r="T263">
        <v>0</v>
      </c>
      <c r="U263">
        <v>0</v>
      </c>
      <c r="V263">
        <v>22299.012967342856</v>
      </c>
      <c r="W263">
        <v>0</v>
      </c>
      <c r="X263">
        <v>0</v>
      </c>
      <c r="Y263">
        <v>23594.886678808063</v>
      </c>
      <c r="Z263">
        <v>0</v>
      </c>
      <c r="AA263">
        <v>23594.886678808063</v>
      </c>
      <c r="AB263" t="s">
        <v>242</v>
      </c>
      <c r="AC263">
        <v>7</v>
      </c>
      <c r="AD263">
        <v>14000</v>
      </c>
      <c r="AE263">
        <v>0</v>
      </c>
      <c r="AF263">
        <v>0</v>
      </c>
      <c r="AG263">
        <v>0</v>
      </c>
      <c r="AH263" t="s">
        <v>58</v>
      </c>
    </row>
    <row r="264" spans="1:34" x14ac:dyDescent="0.3">
      <c r="A264" t="s">
        <v>798</v>
      </c>
      <c r="B264">
        <v>82200024</v>
      </c>
      <c r="C264" t="s">
        <v>246</v>
      </c>
      <c r="D264" t="s">
        <v>317</v>
      </c>
      <c r="E264" t="s">
        <v>440</v>
      </c>
      <c r="F264" t="s">
        <v>433</v>
      </c>
      <c r="G264" t="s">
        <v>82</v>
      </c>
      <c r="H264" t="s">
        <v>83</v>
      </c>
      <c r="J264" t="s">
        <v>52</v>
      </c>
      <c r="K264" s="15">
        <v>10000</v>
      </c>
      <c r="L264" s="15">
        <v>0</v>
      </c>
      <c r="M264" s="13">
        <v>44985</v>
      </c>
      <c r="O264">
        <v>0</v>
      </c>
      <c r="P264">
        <v>0</v>
      </c>
      <c r="Q264">
        <v>24571.084996877227</v>
      </c>
      <c r="R264">
        <v>4997.25</v>
      </c>
      <c r="S264">
        <v>0</v>
      </c>
      <c r="T264">
        <v>0</v>
      </c>
      <c r="U264">
        <v>0</v>
      </c>
      <c r="V264">
        <v>276340.63775992783</v>
      </c>
      <c r="W264">
        <v>0</v>
      </c>
      <c r="X264">
        <v>0</v>
      </c>
      <c r="Y264">
        <v>305908.97275680507</v>
      </c>
      <c r="Z264">
        <v>19343.844643194949</v>
      </c>
      <c r="AA264">
        <v>325252.8174</v>
      </c>
      <c r="AB264" t="s">
        <v>242</v>
      </c>
      <c r="AC264">
        <v>3</v>
      </c>
      <c r="AD264">
        <v>60000</v>
      </c>
      <c r="AE264">
        <v>0</v>
      </c>
      <c r="AF264">
        <v>0</v>
      </c>
      <c r="AG264">
        <v>3542.6427568050549</v>
      </c>
      <c r="AH264" t="s">
        <v>58</v>
      </c>
    </row>
    <row r="265" spans="1:34" x14ac:dyDescent="0.3">
      <c r="A265" t="s">
        <v>798</v>
      </c>
      <c r="B265">
        <v>42200038</v>
      </c>
      <c r="C265" t="s">
        <v>452</v>
      </c>
      <c r="D265" t="s">
        <v>521</v>
      </c>
      <c r="E265" t="s">
        <v>437</v>
      </c>
      <c r="F265" t="s">
        <v>430</v>
      </c>
      <c r="G265" t="s">
        <v>230</v>
      </c>
      <c r="H265" t="s">
        <v>231</v>
      </c>
      <c r="J265" t="s">
        <v>52</v>
      </c>
      <c r="K265" s="15">
        <v>4000</v>
      </c>
      <c r="L265" s="15">
        <v>0</v>
      </c>
      <c r="M265" s="13">
        <v>44985</v>
      </c>
      <c r="O265">
        <v>0</v>
      </c>
      <c r="P265">
        <v>0</v>
      </c>
      <c r="Q265">
        <v>0</v>
      </c>
      <c r="R265">
        <v>0</v>
      </c>
      <c r="S265">
        <v>22910.218453471796</v>
      </c>
      <c r="T265">
        <v>22656.46374211444</v>
      </c>
      <c r="U265">
        <v>22429.906542056076</v>
      </c>
      <c r="V265">
        <v>0</v>
      </c>
      <c r="W265">
        <v>310280.37383177568</v>
      </c>
      <c r="X265">
        <v>0</v>
      </c>
      <c r="Y265">
        <v>378276.96256941801</v>
      </c>
      <c r="Z265">
        <v>24875.672088116233</v>
      </c>
      <c r="AA265">
        <v>403152.63465753425</v>
      </c>
      <c r="AB265" t="s">
        <v>242</v>
      </c>
      <c r="AC265">
        <v>1</v>
      </c>
      <c r="AD265">
        <v>4000</v>
      </c>
      <c r="AE265">
        <v>0</v>
      </c>
      <c r="AF265">
        <v>0</v>
      </c>
      <c r="AG265">
        <v>245.82323898656841</v>
      </c>
      <c r="AH265" t="s">
        <v>72</v>
      </c>
    </row>
    <row r="266" spans="1:34" x14ac:dyDescent="0.3">
      <c r="A266" t="s">
        <v>798</v>
      </c>
      <c r="B266">
        <v>82200027</v>
      </c>
      <c r="C266" t="s">
        <v>110</v>
      </c>
      <c r="D266" t="s">
        <v>535</v>
      </c>
      <c r="E266" t="s">
        <v>440</v>
      </c>
      <c r="F266" t="s">
        <v>433</v>
      </c>
      <c r="G266" t="s">
        <v>82</v>
      </c>
      <c r="H266" t="s">
        <v>83</v>
      </c>
      <c r="J266" t="s">
        <v>52</v>
      </c>
      <c r="K266" s="15">
        <v>15000</v>
      </c>
      <c r="L266" s="15">
        <v>0</v>
      </c>
      <c r="M266" s="13">
        <v>44985</v>
      </c>
      <c r="O266">
        <v>0</v>
      </c>
      <c r="P266">
        <v>0</v>
      </c>
      <c r="Q266">
        <v>75311.079615377574</v>
      </c>
      <c r="R266">
        <v>45329.380000000005</v>
      </c>
      <c r="S266">
        <v>144071.30054637615</v>
      </c>
      <c r="T266">
        <v>0</v>
      </c>
      <c r="U266">
        <v>0</v>
      </c>
      <c r="V266">
        <v>1284340.32</v>
      </c>
      <c r="W266">
        <v>0</v>
      </c>
      <c r="X266">
        <v>0</v>
      </c>
      <c r="Y266">
        <v>1549052.0801617538</v>
      </c>
      <c r="Z266">
        <v>99988.813438246347</v>
      </c>
      <c r="AA266">
        <v>1649040.8936000001</v>
      </c>
      <c r="AB266" t="s">
        <v>242</v>
      </c>
      <c r="AC266">
        <v>7</v>
      </c>
      <c r="AD266">
        <v>197000</v>
      </c>
      <c r="AE266">
        <v>0</v>
      </c>
      <c r="AF266">
        <v>0</v>
      </c>
      <c r="AG266">
        <v>11879.760161753671</v>
      </c>
      <c r="AH266" t="s">
        <v>58</v>
      </c>
    </row>
    <row r="267" spans="1:34" x14ac:dyDescent="0.3">
      <c r="A267" t="s">
        <v>798</v>
      </c>
      <c r="B267">
        <v>82200034</v>
      </c>
      <c r="C267" t="s">
        <v>107</v>
      </c>
      <c r="D267" t="s">
        <v>536</v>
      </c>
      <c r="E267" t="s">
        <v>440</v>
      </c>
      <c r="F267" t="s">
        <v>433</v>
      </c>
      <c r="G267" t="s">
        <v>82</v>
      </c>
      <c r="H267" t="s">
        <v>83</v>
      </c>
      <c r="J267" t="s">
        <v>52</v>
      </c>
      <c r="K267" s="15">
        <v>5000</v>
      </c>
      <c r="L267" s="15">
        <v>0</v>
      </c>
      <c r="M267" s="13">
        <v>44985</v>
      </c>
      <c r="O267">
        <v>0</v>
      </c>
      <c r="P267">
        <v>0</v>
      </c>
      <c r="Q267">
        <v>59210.507987876685</v>
      </c>
      <c r="R267">
        <v>36551.300000000003</v>
      </c>
      <c r="S267">
        <v>98879.657674881586</v>
      </c>
      <c r="T267">
        <v>0</v>
      </c>
      <c r="U267">
        <v>0</v>
      </c>
      <c r="V267">
        <v>567309.68000000005</v>
      </c>
      <c r="W267">
        <v>0</v>
      </c>
      <c r="X267">
        <v>0</v>
      </c>
      <c r="Y267">
        <v>761951.14566275827</v>
      </c>
      <c r="Z267">
        <v>46633.253637241723</v>
      </c>
      <c r="AA267">
        <v>808584.39929999993</v>
      </c>
      <c r="AB267" t="s">
        <v>242</v>
      </c>
      <c r="AC267">
        <v>3</v>
      </c>
      <c r="AD267">
        <v>23000</v>
      </c>
      <c r="AE267">
        <v>0</v>
      </c>
      <c r="AF267">
        <v>0</v>
      </c>
      <c r="AG267">
        <v>1315.3456627582877</v>
      </c>
      <c r="AH267" t="s">
        <v>58</v>
      </c>
    </row>
    <row r="268" spans="1:34" x14ac:dyDescent="0.3">
      <c r="A268" t="s">
        <v>798</v>
      </c>
      <c r="B268">
        <v>12200035</v>
      </c>
      <c r="C268" t="s">
        <v>632</v>
      </c>
      <c r="D268" t="s">
        <v>631</v>
      </c>
      <c r="E268" t="s">
        <v>435</v>
      </c>
      <c r="F268" t="s">
        <v>427</v>
      </c>
      <c r="G268" t="s">
        <v>230</v>
      </c>
      <c r="H268" t="s">
        <v>230</v>
      </c>
      <c r="J268" t="s">
        <v>52</v>
      </c>
      <c r="K268" s="15">
        <v>1500</v>
      </c>
      <c r="M268" s="13">
        <v>44985</v>
      </c>
      <c r="O268">
        <v>5600</v>
      </c>
      <c r="P268">
        <v>0</v>
      </c>
      <c r="Q268">
        <v>0</v>
      </c>
      <c r="R268">
        <v>0</v>
      </c>
      <c r="S268">
        <v>70999.029999999984</v>
      </c>
      <c r="T268">
        <v>0</v>
      </c>
      <c r="U268">
        <v>0</v>
      </c>
      <c r="V268">
        <v>79907.710000000006</v>
      </c>
      <c r="W268">
        <v>0</v>
      </c>
      <c r="X268">
        <v>0</v>
      </c>
      <c r="Y268">
        <v>156506.74</v>
      </c>
      <c r="Z268">
        <v>0</v>
      </c>
      <c r="AA268">
        <v>156506.74</v>
      </c>
      <c r="AB268" t="s">
        <v>242</v>
      </c>
      <c r="AC268">
        <v>1</v>
      </c>
      <c r="AD268">
        <v>1500</v>
      </c>
      <c r="AE268">
        <v>0</v>
      </c>
      <c r="AF268">
        <v>0</v>
      </c>
      <c r="AG268">
        <v>0</v>
      </c>
      <c r="AH268" t="s">
        <v>58</v>
      </c>
    </row>
    <row r="269" spans="1:34" x14ac:dyDescent="0.3">
      <c r="A269" t="s">
        <v>798</v>
      </c>
      <c r="B269">
        <v>12200042</v>
      </c>
      <c r="C269" t="s">
        <v>625</v>
      </c>
      <c r="D269" t="s">
        <v>624</v>
      </c>
      <c r="E269" t="s">
        <v>435</v>
      </c>
      <c r="F269" t="s">
        <v>427</v>
      </c>
      <c r="G269" t="s">
        <v>230</v>
      </c>
      <c r="H269" t="s">
        <v>230</v>
      </c>
      <c r="J269" t="s">
        <v>52</v>
      </c>
      <c r="K269" s="15">
        <v>2000</v>
      </c>
      <c r="M269" s="13">
        <v>44985</v>
      </c>
      <c r="O269">
        <v>5200</v>
      </c>
      <c r="P269">
        <v>0</v>
      </c>
      <c r="Q269">
        <v>0</v>
      </c>
      <c r="R269">
        <v>0</v>
      </c>
      <c r="S269">
        <v>31573.699999999997</v>
      </c>
      <c r="T269">
        <v>0</v>
      </c>
      <c r="U269">
        <v>0</v>
      </c>
      <c r="V269">
        <v>80000</v>
      </c>
      <c r="W269">
        <v>0</v>
      </c>
      <c r="X269">
        <v>0</v>
      </c>
      <c r="Y269">
        <v>116773.7</v>
      </c>
      <c r="Z269">
        <v>0</v>
      </c>
      <c r="AA269">
        <v>116773.7</v>
      </c>
      <c r="AB269" t="s">
        <v>242</v>
      </c>
      <c r="AC269">
        <v>2</v>
      </c>
      <c r="AD269">
        <v>4000</v>
      </c>
      <c r="AE269">
        <v>0</v>
      </c>
      <c r="AF269">
        <v>0</v>
      </c>
      <c r="AG269">
        <v>0</v>
      </c>
      <c r="AH269" t="s">
        <v>58</v>
      </c>
    </row>
    <row r="270" spans="1:34" x14ac:dyDescent="0.3">
      <c r="A270" t="s">
        <v>798</v>
      </c>
      <c r="B270">
        <v>52200005</v>
      </c>
      <c r="C270" t="s">
        <v>634</v>
      </c>
      <c r="D270" t="s">
        <v>633</v>
      </c>
      <c r="E270" t="s">
        <v>435</v>
      </c>
      <c r="F270" t="s">
        <v>431</v>
      </c>
      <c r="G270" t="s">
        <v>230</v>
      </c>
      <c r="H270" t="s">
        <v>231</v>
      </c>
      <c r="J270" t="s">
        <v>52</v>
      </c>
      <c r="K270" s="15">
        <v>2000</v>
      </c>
      <c r="M270" s="13">
        <v>44985</v>
      </c>
      <c r="O270">
        <v>4700</v>
      </c>
      <c r="P270">
        <v>0</v>
      </c>
      <c r="Q270">
        <v>0</v>
      </c>
      <c r="R270">
        <v>0</v>
      </c>
      <c r="S270">
        <v>0</v>
      </c>
      <c r="T270">
        <v>18971.962616822431</v>
      </c>
      <c r="U270">
        <v>0</v>
      </c>
      <c r="V270">
        <v>0</v>
      </c>
      <c r="W270">
        <v>39636.775700934581</v>
      </c>
      <c r="X270">
        <v>0</v>
      </c>
      <c r="Y270">
        <v>63308.738317757015</v>
      </c>
      <c r="Z270">
        <v>4102.6116822429913</v>
      </c>
      <c r="AA270">
        <v>67411.350000000006</v>
      </c>
      <c r="AB270" t="s">
        <v>242</v>
      </c>
      <c r="AC270">
        <v>1</v>
      </c>
      <c r="AD270">
        <v>2000</v>
      </c>
      <c r="AE270">
        <v>0</v>
      </c>
      <c r="AF270">
        <v>0</v>
      </c>
      <c r="AG270">
        <v>129.379298233393</v>
      </c>
      <c r="AH270" t="s">
        <v>58</v>
      </c>
    </row>
    <row r="271" spans="1:34" x14ac:dyDescent="0.3">
      <c r="A271" t="s">
        <v>798</v>
      </c>
      <c r="B271">
        <v>22200010</v>
      </c>
      <c r="C271">
        <v>18928437</v>
      </c>
      <c r="D271" t="s">
        <v>85</v>
      </c>
      <c r="E271" t="s">
        <v>435</v>
      </c>
      <c r="F271" t="s">
        <v>428</v>
      </c>
      <c r="G271" t="s">
        <v>82</v>
      </c>
      <c r="H271" t="s">
        <v>82</v>
      </c>
      <c r="J271" t="s">
        <v>52</v>
      </c>
      <c r="K271" s="15">
        <v>1000</v>
      </c>
      <c r="L271" s="15">
        <v>0</v>
      </c>
      <c r="M271" s="13">
        <v>44986</v>
      </c>
      <c r="O271">
        <v>0</v>
      </c>
      <c r="P271">
        <v>0</v>
      </c>
      <c r="Q271">
        <v>0</v>
      </c>
      <c r="R271">
        <v>0</v>
      </c>
      <c r="S271">
        <v>5431.76186550685</v>
      </c>
      <c r="T271">
        <v>0</v>
      </c>
      <c r="U271">
        <v>0</v>
      </c>
      <c r="V271">
        <v>18637.990000000002</v>
      </c>
      <c r="W271">
        <v>0</v>
      </c>
      <c r="X271">
        <v>0</v>
      </c>
      <c r="Y271">
        <v>24069.751865506852</v>
      </c>
      <c r="Z271">
        <v>0</v>
      </c>
      <c r="AA271">
        <v>24069.751865506852</v>
      </c>
      <c r="AB271" t="s">
        <v>242</v>
      </c>
      <c r="AC271">
        <v>6</v>
      </c>
      <c r="AD271">
        <v>4000</v>
      </c>
      <c r="AE271">
        <v>0</v>
      </c>
      <c r="AF271">
        <v>0</v>
      </c>
      <c r="AG271">
        <v>0</v>
      </c>
      <c r="AH271" t="s">
        <v>58</v>
      </c>
    </row>
    <row r="272" spans="1:34" x14ac:dyDescent="0.3">
      <c r="A272" t="s">
        <v>798</v>
      </c>
      <c r="B272">
        <v>52200023</v>
      </c>
      <c r="C272" t="s">
        <v>636</v>
      </c>
      <c r="D272" t="s">
        <v>635</v>
      </c>
      <c r="E272" t="s">
        <v>435</v>
      </c>
      <c r="F272" t="s">
        <v>431</v>
      </c>
      <c r="G272" t="s">
        <v>230</v>
      </c>
      <c r="H272" t="s">
        <v>231</v>
      </c>
      <c r="J272" t="s">
        <v>52</v>
      </c>
      <c r="K272" s="15">
        <v>3000</v>
      </c>
      <c r="M272" s="13">
        <v>44986</v>
      </c>
      <c r="O272">
        <v>2884.9462365591398</v>
      </c>
      <c r="P272">
        <v>0</v>
      </c>
      <c r="Q272">
        <v>0</v>
      </c>
      <c r="R272">
        <v>0</v>
      </c>
      <c r="S272">
        <v>0</v>
      </c>
      <c r="T272">
        <v>32630.891367701734</v>
      </c>
      <c r="U272">
        <v>0</v>
      </c>
      <c r="V272">
        <v>0</v>
      </c>
      <c r="W272">
        <v>39897.196261682242</v>
      </c>
      <c r="X272">
        <v>0</v>
      </c>
      <c r="Y272">
        <v>75413.033865943115</v>
      </c>
      <c r="Z272">
        <v>5076.9661340568791</v>
      </c>
      <c r="AA272">
        <v>80490</v>
      </c>
      <c r="AB272" t="s">
        <v>242</v>
      </c>
      <c r="AC272">
        <v>1</v>
      </c>
      <c r="AD272">
        <v>3000</v>
      </c>
      <c r="AE272">
        <v>0</v>
      </c>
      <c r="AF272">
        <v>0</v>
      </c>
      <c r="AG272">
        <v>188.73480052256036</v>
      </c>
      <c r="AH272" t="s">
        <v>58</v>
      </c>
    </row>
    <row r="273" spans="1:34" x14ac:dyDescent="0.3">
      <c r="A273" t="s">
        <v>798</v>
      </c>
      <c r="B273">
        <v>12200041</v>
      </c>
      <c r="C273">
        <v>23113175</v>
      </c>
      <c r="D273" t="s">
        <v>78</v>
      </c>
      <c r="E273" t="s">
        <v>435</v>
      </c>
      <c r="F273" t="s">
        <v>427</v>
      </c>
      <c r="G273" t="s">
        <v>82</v>
      </c>
      <c r="H273" t="s">
        <v>82</v>
      </c>
      <c r="J273" t="s">
        <v>52</v>
      </c>
      <c r="K273" s="15">
        <v>2000</v>
      </c>
      <c r="L273" s="15">
        <v>0</v>
      </c>
      <c r="M273" s="13">
        <v>44987</v>
      </c>
      <c r="O273">
        <v>0</v>
      </c>
      <c r="P273">
        <v>0</v>
      </c>
      <c r="Q273">
        <v>0</v>
      </c>
      <c r="R273">
        <v>0</v>
      </c>
      <c r="S273">
        <v>2812.6214257205538</v>
      </c>
      <c r="T273">
        <v>0</v>
      </c>
      <c r="U273">
        <v>0</v>
      </c>
      <c r="V273">
        <v>192752.41</v>
      </c>
      <c r="W273">
        <v>0</v>
      </c>
      <c r="X273">
        <v>0</v>
      </c>
      <c r="Y273">
        <v>195565.03142572055</v>
      </c>
      <c r="Z273">
        <v>0</v>
      </c>
      <c r="AA273">
        <v>195565.03142572055</v>
      </c>
      <c r="AB273" t="s">
        <v>242</v>
      </c>
      <c r="AC273">
        <v>8</v>
      </c>
      <c r="AD273">
        <v>27000</v>
      </c>
      <c r="AE273">
        <v>0</v>
      </c>
      <c r="AF273">
        <v>0</v>
      </c>
      <c r="AG273">
        <v>0</v>
      </c>
      <c r="AH273" t="s">
        <v>58</v>
      </c>
    </row>
    <row r="274" spans="1:34" x14ac:dyDescent="0.3">
      <c r="A274" t="s">
        <v>798</v>
      </c>
      <c r="B274">
        <v>52200239</v>
      </c>
      <c r="C274">
        <v>25091589</v>
      </c>
      <c r="D274" t="s">
        <v>844</v>
      </c>
      <c r="E274" t="s">
        <v>436</v>
      </c>
      <c r="F274" t="s">
        <v>431</v>
      </c>
      <c r="G274" t="s">
        <v>82</v>
      </c>
      <c r="H274" t="s">
        <v>83</v>
      </c>
      <c r="J274" t="s">
        <v>52</v>
      </c>
      <c r="K274" s="15">
        <v>1000</v>
      </c>
      <c r="L274" s="15">
        <v>0</v>
      </c>
      <c r="M274" s="13">
        <v>44987</v>
      </c>
      <c r="O274">
        <v>0</v>
      </c>
      <c r="P274">
        <v>0</v>
      </c>
      <c r="Q274">
        <v>0</v>
      </c>
      <c r="R274">
        <v>900.14933848759972</v>
      </c>
      <c r="S274">
        <v>30459.630095046086</v>
      </c>
      <c r="T274">
        <v>0</v>
      </c>
      <c r="U274">
        <v>0</v>
      </c>
      <c r="V274">
        <v>54126.211626342912</v>
      </c>
      <c r="W274">
        <v>0</v>
      </c>
      <c r="X274">
        <v>0</v>
      </c>
      <c r="Y274">
        <v>85485.9910598766</v>
      </c>
      <c r="Z274">
        <v>5921.008920497231</v>
      </c>
      <c r="AA274">
        <v>91406.999980373832</v>
      </c>
      <c r="AB274" t="s">
        <v>242</v>
      </c>
      <c r="AC274">
        <v>5</v>
      </c>
      <c r="AD274">
        <v>8500</v>
      </c>
      <c r="AE274">
        <v>0</v>
      </c>
      <c r="AF274">
        <v>0</v>
      </c>
      <c r="AG274">
        <v>550.19668569545047</v>
      </c>
      <c r="AH274" t="s">
        <v>58</v>
      </c>
    </row>
    <row r="275" spans="1:34" x14ac:dyDescent="0.3">
      <c r="A275" t="s">
        <v>798</v>
      </c>
      <c r="B275">
        <v>52200061</v>
      </c>
      <c r="C275">
        <v>28231012</v>
      </c>
      <c r="D275" t="s">
        <v>835</v>
      </c>
      <c r="E275" t="s">
        <v>436</v>
      </c>
      <c r="F275" t="s">
        <v>431</v>
      </c>
      <c r="G275" t="s">
        <v>82</v>
      </c>
      <c r="H275" t="s">
        <v>83</v>
      </c>
      <c r="J275" t="s">
        <v>52</v>
      </c>
      <c r="K275" s="15">
        <v>2000</v>
      </c>
      <c r="L275" s="15">
        <v>0</v>
      </c>
      <c r="M275" s="13">
        <v>44990</v>
      </c>
      <c r="O275">
        <v>0</v>
      </c>
      <c r="P275">
        <v>0</v>
      </c>
      <c r="Q275">
        <v>0</v>
      </c>
      <c r="R275">
        <v>821.83305743666506</v>
      </c>
      <c r="S275">
        <v>12068.419198657322</v>
      </c>
      <c r="T275">
        <v>0</v>
      </c>
      <c r="U275">
        <v>0</v>
      </c>
      <c r="V275">
        <v>57032.675233644863</v>
      </c>
      <c r="W275">
        <v>0</v>
      </c>
      <c r="X275">
        <v>0</v>
      </c>
      <c r="Y275">
        <v>69922.927489738853</v>
      </c>
      <c r="Z275">
        <v>4837.0766102611533</v>
      </c>
      <c r="AA275">
        <v>74760.004100000006</v>
      </c>
      <c r="AB275" t="s">
        <v>242</v>
      </c>
      <c r="AC275">
        <v>5</v>
      </c>
      <c r="AD275">
        <v>10000</v>
      </c>
      <c r="AE275">
        <v>0</v>
      </c>
      <c r="AF275">
        <v>0</v>
      </c>
      <c r="AG275">
        <v>646.47505983230531</v>
      </c>
      <c r="AH275" t="s">
        <v>58</v>
      </c>
    </row>
    <row r="276" spans="1:34" x14ac:dyDescent="0.3">
      <c r="A276" t="s">
        <v>798</v>
      </c>
      <c r="B276">
        <v>52200619</v>
      </c>
      <c r="C276">
        <v>6102060118</v>
      </c>
      <c r="D276" t="s">
        <v>138</v>
      </c>
      <c r="E276" t="s">
        <v>437</v>
      </c>
      <c r="F276" t="s">
        <v>431</v>
      </c>
      <c r="G276" t="s">
        <v>82</v>
      </c>
      <c r="H276" t="s">
        <v>83</v>
      </c>
      <c r="J276" t="s">
        <v>52</v>
      </c>
      <c r="K276" s="15">
        <v>500</v>
      </c>
      <c r="L276" s="15">
        <v>0</v>
      </c>
      <c r="M276" s="13">
        <v>44992</v>
      </c>
      <c r="O276">
        <v>0</v>
      </c>
      <c r="P276">
        <v>0</v>
      </c>
      <c r="Q276">
        <v>0</v>
      </c>
      <c r="R276">
        <v>0</v>
      </c>
      <c r="S276">
        <v>5631.4766355140191</v>
      </c>
      <c r="T276">
        <v>0</v>
      </c>
      <c r="U276">
        <v>0</v>
      </c>
      <c r="V276">
        <v>10196.728971962617</v>
      </c>
      <c r="W276">
        <v>0</v>
      </c>
      <c r="X276">
        <v>0</v>
      </c>
      <c r="Y276">
        <v>15828.205607476637</v>
      </c>
      <c r="Z276">
        <v>1107.9743925233647</v>
      </c>
      <c r="AA276">
        <v>16936.18</v>
      </c>
      <c r="AB276" t="s">
        <v>242</v>
      </c>
      <c r="AC276">
        <v>2</v>
      </c>
      <c r="AD276">
        <v>1000</v>
      </c>
      <c r="AE276">
        <v>0</v>
      </c>
      <c r="AF276">
        <v>0</v>
      </c>
      <c r="AG276">
        <v>65.420560747663558</v>
      </c>
      <c r="AH276" t="s">
        <v>58</v>
      </c>
    </row>
    <row r="277" spans="1:34" x14ac:dyDescent="0.3">
      <c r="A277" t="s">
        <v>798</v>
      </c>
      <c r="B277">
        <v>12200035</v>
      </c>
      <c r="C277" t="s">
        <v>632</v>
      </c>
      <c r="D277" t="s">
        <v>631</v>
      </c>
      <c r="E277" t="s">
        <v>435</v>
      </c>
      <c r="F277" t="s">
        <v>427</v>
      </c>
      <c r="G277" t="s">
        <v>230</v>
      </c>
      <c r="H277" t="s">
        <v>230</v>
      </c>
      <c r="J277" t="s">
        <v>672</v>
      </c>
      <c r="M277" s="13">
        <v>44992</v>
      </c>
      <c r="O277">
        <v>5600</v>
      </c>
      <c r="P277">
        <v>0</v>
      </c>
      <c r="Q277">
        <v>0</v>
      </c>
      <c r="R277">
        <v>0</v>
      </c>
      <c r="S277">
        <v>70999.029999999984</v>
      </c>
      <c r="T277">
        <v>0</v>
      </c>
      <c r="U277">
        <v>0</v>
      </c>
      <c r="V277">
        <v>79907.710000000006</v>
      </c>
      <c r="W277">
        <v>0</v>
      </c>
      <c r="X277">
        <v>0</v>
      </c>
      <c r="Y277">
        <v>156506.74</v>
      </c>
      <c r="Z277">
        <v>0</v>
      </c>
      <c r="AA277">
        <v>156506.74</v>
      </c>
      <c r="AB277" t="s">
        <v>242</v>
      </c>
      <c r="AC277">
        <v>0</v>
      </c>
      <c r="AD277">
        <v>0</v>
      </c>
      <c r="AE277">
        <v>0</v>
      </c>
      <c r="AF277">
        <v>0</v>
      </c>
      <c r="AG277">
        <v>0</v>
      </c>
      <c r="AH277" t="s">
        <v>72</v>
      </c>
    </row>
    <row r="278" spans="1:34" x14ac:dyDescent="0.3">
      <c r="A278" t="s">
        <v>798</v>
      </c>
      <c r="B278">
        <v>52200005</v>
      </c>
      <c r="C278" t="s">
        <v>634</v>
      </c>
      <c r="D278" t="s">
        <v>633</v>
      </c>
      <c r="E278" t="s">
        <v>435</v>
      </c>
      <c r="F278" t="s">
        <v>431</v>
      </c>
      <c r="G278" t="s">
        <v>230</v>
      </c>
      <c r="H278" t="s">
        <v>231</v>
      </c>
      <c r="J278" t="s">
        <v>672</v>
      </c>
      <c r="M278" s="13">
        <v>44992</v>
      </c>
      <c r="O278">
        <v>4700</v>
      </c>
      <c r="P278">
        <v>0</v>
      </c>
      <c r="Q278">
        <v>0</v>
      </c>
      <c r="R278">
        <v>0</v>
      </c>
      <c r="S278">
        <v>0</v>
      </c>
      <c r="T278">
        <v>18971.962616822431</v>
      </c>
      <c r="U278">
        <v>0</v>
      </c>
      <c r="V278">
        <v>0</v>
      </c>
      <c r="W278">
        <v>39636.775700934581</v>
      </c>
      <c r="X278">
        <v>0</v>
      </c>
      <c r="Y278">
        <v>63308.738317757015</v>
      </c>
      <c r="Z278">
        <v>4102.6116822429913</v>
      </c>
      <c r="AA278">
        <v>67411.350000000006</v>
      </c>
      <c r="AB278" t="s">
        <v>242</v>
      </c>
      <c r="AC278">
        <v>0</v>
      </c>
      <c r="AD278">
        <v>0</v>
      </c>
      <c r="AE278">
        <v>0</v>
      </c>
      <c r="AF278">
        <v>0</v>
      </c>
      <c r="AG278">
        <v>0</v>
      </c>
      <c r="AH278" t="s">
        <v>72</v>
      </c>
    </row>
    <row r="279" spans="1:34" x14ac:dyDescent="0.3">
      <c r="A279" t="s">
        <v>798</v>
      </c>
      <c r="B279">
        <v>52200012</v>
      </c>
      <c r="C279" t="s">
        <v>638</v>
      </c>
      <c r="D279" t="s">
        <v>637</v>
      </c>
      <c r="E279" t="s">
        <v>435</v>
      </c>
      <c r="F279" t="s">
        <v>431</v>
      </c>
      <c r="G279" t="s">
        <v>230</v>
      </c>
      <c r="H279" t="s">
        <v>231</v>
      </c>
      <c r="J279" t="s">
        <v>672</v>
      </c>
      <c r="M279" s="13">
        <v>44992</v>
      </c>
      <c r="O279">
        <v>5800</v>
      </c>
      <c r="P279">
        <v>0</v>
      </c>
      <c r="Q279">
        <v>0</v>
      </c>
      <c r="R279">
        <v>0</v>
      </c>
      <c r="S279">
        <v>0</v>
      </c>
      <c r="T279">
        <v>37233.644859813081</v>
      </c>
      <c r="U279">
        <v>0</v>
      </c>
      <c r="V279">
        <v>0</v>
      </c>
      <c r="W279">
        <v>42990.654205607476</v>
      </c>
      <c r="X279">
        <v>0</v>
      </c>
      <c r="Y279">
        <v>86024.29906542055</v>
      </c>
      <c r="Z279">
        <v>5615.7009345794386</v>
      </c>
      <c r="AA279">
        <v>91639.999999999985</v>
      </c>
      <c r="AB279" t="s">
        <v>242</v>
      </c>
      <c r="AC279">
        <v>0</v>
      </c>
      <c r="AD279">
        <v>0</v>
      </c>
      <c r="AE279">
        <v>0</v>
      </c>
      <c r="AF279">
        <v>0</v>
      </c>
      <c r="AG279">
        <v>0</v>
      </c>
      <c r="AH279" t="s">
        <v>72</v>
      </c>
    </row>
    <row r="280" spans="1:34" x14ac:dyDescent="0.3">
      <c r="A280" t="s">
        <v>798</v>
      </c>
      <c r="B280">
        <v>82200028</v>
      </c>
      <c r="C280" t="s">
        <v>451</v>
      </c>
      <c r="D280" t="s">
        <v>535</v>
      </c>
      <c r="E280" t="s">
        <v>440</v>
      </c>
      <c r="F280" t="s">
        <v>433</v>
      </c>
      <c r="G280" t="s">
        <v>82</v>
      </c>
      <c r="H280" t="s">
        <v>83</v>
      </c>
      <c r="J280" t="s">
        <v>425</v>
      </c>
      <c r="K280" s="15">
        <v>1900000</v>
      </c>
      <c r="L280" s="15">
        <v>4070</v>
      </c>
      <c r="M280" s="13">
        <v>44992</v>
      </c>
      <c r="O280">
        <v>4070</v>
      </c>
      <c r="P280">
        <v>0</v>
      </c>
      <c r="Q280">
        <v>283047.06</v>
      </c>
      <c r="R280">
        <v>129650.36</v>
      </c>
      <c r="S280">
        <v>569572.66874300409</v>
      </c>
      <c r="T280">
        <v>0</v>
      </c>
      <c r="U280">
        <v>0</v>
      </c>
      <c r="V280">
        <v>2357337.1012569964</v>
      </c>
      <c r="W280">
        <v>0</v>
      </c>
      <c r="X280">
        <v>0</v>
      </c>
      <c r="Y280">
        <v>3343677.1900000004</v>
      </c>
      <c r="Z280">
        <v>204883.68390000006</v>
      </c>
      <c r="AA280">
        <v>3548560.8739000005</v>
      </c>
      <c r="AB280" t="s">
        <v>242</v>
      </c>
      <c r="AC280">
        <v>0</v>
      </c>
      <c r="AD280">
        <v>0</v>
      </c>
      <c r="AE280">
        <v>0</v>
      </c>
      <c r="AF280">
        <v>2033000</v>
      </c>
      <c r="AG280">
        <v>133000</v>
      </c>
      <c r="AH280" t="s">
        <v>72</v>
      </c>
    </row>
    <row r="281" spans="1:34" x14ac:dyDescent="0.3">
      <c r="A281" t="s">
        <v>798</v>
      </c>
      <c r="B281">
        <v>2200015</v>
      </c>
      <c r="C281">
        <v>20972229</v>
      </c>
      <c r="D281" t="s">
        <v>76</v>
      </c>
      <c r="E281" t="s">
        <v>435</v>
      </c>
      <c r="F281" t="s">
        <v>426</v>
      </c>
      <c r="G281" t="s">
        <v>82</v>
      </c>
      <c r="H281" t="s">
        <v>82</v>
      </c>
      <c r="J281" t="s">
        <v>52</v>
      </c>
      <c r="K281" s="15">
        <v>1000</v>
      </c>
      <c r="L281" s="15">
        <v>0</v>
      </c>
      <c r="M281" s="13">
        <v>44993</v>
      </c>
      <c r="O281">
        <v>0</v>
      </c>
      <c r="P281">
        <v>0</v>
      </c>
      <c r="Q281">
        <v>0</v>
      </c>
      <c r="R281">
        <v>0</v>
      </c>
      <c r="S281">
        <v>11809.597532223273</v>
      </c>
      <c r="T281">
        <v>0</v>
      </c>
      <c r="U281">
        <v>0</v>
      </c>
      <c r="V281">
        <v>122323.98354815517</v>
      </c>
      <c r="W281">
        <v>0</v>
      </c>
      <c r="X281">
        <v>0</v>
      </c>
      <c r="Y281">
        <v>134133.58108037844</v>
      </c>
      <c r="Z281">
        <v>0</v>
      </c>
      <c r="AA281">
        <v>134133.58108037844</v>
      </c>
      <c r="AB281" t="s">
        <v>242</v>
      </c>
      <c r="AC281">
        <v>8</v>
      </c>
      <c r="AD281">
        <v>8000</v>
      </c>
      <c r="AE281">
        <v>0</v>
      </c>
      <c r="AF281">
        <v>0</v>
      </c>
      <c r="AG281">
        <v>0</v>
      </c>
      <c r="AH281" t="s">
        <v>58</v>
      </c>
    </row>
    <row r="282" spans="1:34" x14ac:dyDescent="0.3">
      <c r="A282" t="s">
        <v>798</v>
      </c>
      <c r="B282">
        <v>52200046</v>
      </c>
      <c r="C282">
        <v>25363376</v>
      </c>
      <c r="D282" t="s">
        <v>834</v>
      </c>
      <c r="E282" t="s">
        <v>435</v>
      </c>
      <c r="F282" t="s">
        <v>431</v>
      </c>
      <c r="G282" t="s">
        <v>82</v>
      </c>
      <c r="H282" t="s">
        <v>83</v>
      </c>
      <c r="J282" t="s">
        <v>52</v>
      </c>
      <c r="K282" s="15">
        <v>500</v>
      </c>
      <c r="L282" s="15">
        <v>0</v>
      </c>
      <c r="M282" s="13">
        <v>44993</v>
      </c>
      <c r="O282">
        <v>0</v>
      </c>
      <c r="P282">
        <v>0</v>
      </c>
      <c r="Q282">
        <v>0</v>
      </c>
      <c r="R282">
        <v>986.66060135856753</v>
      </c>
      <c r="S282">
        <v>38887.780185646196</v>
      </c>
      <c r="T282">
        <v>0</v>
      </c>
      <c r="U282">
        <v>0</v>
      </c>
      <c r="V282">
        <v>73844.314392523374</v>
      </c>
      <c r="W282">
        <v>0</v>
      </c>
      <c r="X282">
        <v>0</v>
      </c>
      <c r="Y282">
        <v>113718.75517952815</v>
      </c>
      <c r="Z282">
        <v>7891.2466204718712</v>
      </c>
      <c r="AA282">
        <v>121610.00180000001</v>
      </c>
      <c r="AB282" t="s">
        <v>242</v>
      </c>
      <c r="AC282">
        <v>1</v>
      </c>
      <c r="AD282">
        <v>500</v>
      </c>
      <c r="AE282">
        <v>0</v>
      </c>
      <c r="AF282">
        <v>0</v>
      </c>
      <c r="AG282">
        <v>32.426394481401587</v>
      </c>
      <c r="AH282" t="s">
        <v>72</v>
      </c>
    </row>
    <row r="283" spans="1:34" x14ac:dyDescent="0.3">
      <c r="A283" t="s">
        <v>798</v>
      </c>
      <c r="B283">
        <v>62200013</v>
      </c>
      <c r="C283">
        <v>20972385</v>
      </c>
      <c r="D283" t="s">
        <v>76</v>
      </c>
      <c r="E283" t="s">
        <v>435</v>
      </c>
      <c r="F283" t="s">
        <v>432</v>
      </c>
      <c r="G283" t="s">
        <v>82</v>
      </c>
      <c r="H283" t="s">
        <v>82</v>
      </c>
      <c r="J283" t="s">
        <v>52</v>
      </c>
      <c r="K283" s="15">
        <v>4000</v>
      </c>
      <c r="L283" s="15">
        <v>0</v>
      </c>
      <c r="M283" s="13">
        <v>44993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55665.191359418066</v>
      </c>
      <c r="W283">
        <v>0</v>
      </c>
      <c r="X283">
        <v>0</v>
      </c>
      <c r="Y283">
        <v>55665.191359418066</v>
      </c>
      <c r="Z283">
        <v>0</v>
      </c>
      <c r="AA283">
        <v>55665.191359418066</v>
      </c>
      <c r="AB283" t="s">
        <v>242</v>
      </c>
      <c r="AC283">
        <v>8</v>
      </c>
      <c r="AD283">
        <v>32000</v>
      </c>
      <c r="AE283">
        <v>0</v>
      </c>
      <c r="AF283">
        <v>0</v>
      </c>
      <c r="AG283">
        <v>0</v>
      </c>
      <c r="AH283" t="s">
        <v>58</v>
      </c>
    </row>
    <row r="284" spans="1:34" x14ac:dyDescent="0.3">
      <c r="A284" t="s">
        <v>798</v>
      </c>
      <c r="B284">
        <v>82200001</v>
      </c>
      <c r="C284" t="s">
        <v>246</v>
      </c>
      <c r="D284" t="s">
        <v>595</v>
      </c>
      <c r="E284" t="s">
        <v>440</v>
      </c>
      <c r="F284" t="s">
        <v>433</v>
      </c>
      <c r="G284" t="s">
        <v>82</v>
      </c>
      <c r="H284" t="s">
        <v>83</v>
      </c>
      <c r="J284" t="s">
        <v>52</v>
      </c>
      <c r="K284" s="15">
        <v>25000</v>
      </c>
      <c r="M284" s="13">
        <v>44993</v>
      </c>
      <c r="O284">
        <v>0</v>
      </c>
      <c r="P284">
        <v>0</v>
      </c>
      <c r="Q284">
        <v>116911.65294180116</v>
      </c>
      <c r="R284">
        <v>13743.86</v>
      </c>
      <c r="S284">
        <v>60662.421175886739</v>
      </c>
      <c r="T284">
        <v>0</v>
      </c>
      <c r="U284">
        <v>0</v>
      </c>
      <c r="V284">
        <v>1715376.1</v>
      </c>
      <c r="W284">
        <v>0</v>
      </c>
      <c r="X284">
        <v>0</v>
      </c>
      <c r="Y284">
        <v>1906694.034117688</v>
      </c>
      <c r="Z284">
        <v>124322.69648231208</v>
      </c>
      <c r="AA284">
        <v>2031016.7306000001</v>
      </c>
      <c r="AB284" t="s">
        <v>242</v>
      </c>
      <c r="AC284">
        <v>5</v>
      </c>
      <c r="AD284">
        <v>105000</v>
      </c>
      <c r="AE284">
        <v>0</v>
      </c>
      <c r="AF284">
        <v>0</v>
      </c>
      <c r="AG284">
        <v>6397.5141176879297</v>
      </c>
      <c r="AH284" t="s">
        <v>58</v>
      </c>
    </row>
    <row r="285" spans="1:34" x14ac:dyDescent="0.3">
      <c r="A285" t="s">
        <v>798</v>
      </c>
      <c r="B285">
        <v>12200001</v>
      </c>
      <c r="C285">
        <v>11371109</v>
      </c>
      <c r="D285" t="s">
        <v>111</v>
      </c>
      <c r="E285" t="s">
        <v>435</v>
      </c>
      <c r="F285" t="s">
        <v>427</v>
      </c>
      <c r="G285" t="s">
        <v>82</v>
      </c>
      <c r="H285" t="s">
        <v>82</v>
      </c>
      <c r="J285" t="s">
        <v>52</v>
      </c>
      <c r="K285" s="15">
        <v>1500</v>
      </c>
      <c r="L285" s="15">
        <v>0</v>
      </c>
      <c r="M285" s="13">
        <v>44995</v>
      </c>
      <c r="O285">
        <v>0</v>
      </c>
      <c r="P285">
        <v>0</v>
      </c>
      <c r="Q285">
        <v>0</v>
      </c>
      <c r="R285">
        <v>0</v>
      </c>
      <c r="S285">
        <v>38774.413513237239</v>
      </c>
      <c r="T285">
        <v>0</v>
      </c>
      <c r="U285">
        <v>0</v>
      </c>
      <c r="V285">
        <v>107144.0766813306</v>
      </c>
      <c r="W285">
        <v>0</v>
      </c>
      <c r="X285">
        <v>0</v>
      </c>
      <c r="Y285">
        <v>145918.49019456783</v>
      </c>
      <c r="Z285">
        <v>0</v>
      </c>
      <c r="AA285">
        <v>145918.49019456783</v>
      </c>
      <c r="AB285" t="s">
        <v>242</v>
      </c>
      <c r="AC285">
        <v>3</v>
      </c>
      <c r="AD285">
        <v>4500</v>
      </c>
      <c r="AE285">
        <v>0</v>
      </c>
      <c r="AF285">
        <v>0</v>
      </c>
      <c r="AG285">
        <v>0</v>
      </c>
      <c r="AH285" t="s">
        <v>58</v>
      </c>
    </row>
    <row r="286" spans="1:34" x14ac:dyDescent="0.3">
      <c r="A286" t="s">
        <v>798</v>
      </c>
      <c r="B286">
        <v>12200071</v>
      </c>
      <c r="C286">
        <v>25700539</v>
      </c>
      <c r="D286" t="s">
        <v>809</v>
      </c>
      <c r="E286" t="s">
        <v>436</v>
      </c>
      <c r="F286" t="s">
        <v>427</v>
      </c>
      <c r="G286" t="s">
        <v>82</v>
      </c>
      <c r="H286" t="s">
        <v>82</v>
      </c>
      <c r="J286" t="s">
        <v>52</v>
      </c>
      <c r="K286" s="15">
        <v>500</v>
      </c>
      <c r="L286" s="15">
        <v>0</v>
      </c>
      <c r="M286" s="13">
        <v>44995</v>
      </c>
      <c r="O286">
        <v>0</v>
      </c>
      <c r="P286">
        <v>0</v>
      </c>
      <c r="Q286">
        <v>0</v>
      </c>
      <c r="R286">
        <v>89</v>
      </c>
      <c r="S286">
        <v>16088.865803435059</v>
      </c>
      <c r="T286">
        <v>0</v>
      </c>
      <c r="U286">
        <v>0</v>
      </c>
      <c r="V286">
        <v>88785.817371424288</v>
      </c>
      <c r="W286">
        <v>0</v>
      </c>
      <c r="X286">
        <v>0</v>
      </c>
      <c r="Y286">
        <v>104963.68317485935</v>
      </c>
      <c r="Z286">
        <v>0</v>
      </c>
      <c r="AA286">
        <v>104963.68317485935</v>
      </c>
      <c r="AB286" t="s">
        <v>242</v>
      </c>
      <c r="AC286">
        <v>2</v>
      </c>
      <c r="AD286">
        <v>1000</v>
      </c>
      <c r="AE286">
        <v>0</v>
      </c>
      <c r="AF286">
        <v>0</v>
      </c>
      <c r="AG286">
        <v>0</v>
      </c>
      <c r="AH286" t="s">
        <v>58</v>
      </c>
    </row>
    <row r="287" spans="1:34" x14ac:dyDescent="0.3">
      <c r="A287" t="s">
        <v>798</v>
      </c>
      <c r="B287">
        <v>52200239</v>
      </c>
      <c r="C287">
        <v>25091589</v>
      </c>
      <c r="D287" t="s">
        <v>844</v>
      </c>
      <c r="E287" t="s">
        <v>436</v>
      </c>
      <c r="F287" t="s">
        <v>431</v>
      </c>
      <c r="G287" t="s">
        <v>82</v>
      </c>
      <c r="H287" t="s">
        <v>83</v>
      </c>
      <c r="J287" t="s">
        <v>52</v>
      </c>
      <c r="K287" s="15">
        <v>1500</v>
      </c>
      <c r="L287" s="15">
        <v>0</v>
      </c>
      <c r="M287" s="13">
        <v>44995</v>
      </c>
      <c r="O287">
        <v>0</v>
      </c>
      <c r="P287">
        <v>0</v>
      </c>
      <c r="Q287">
        <v>0</v>
      </c>
      <c r="R287">
        <v>884.35465691473644</v>
      </c>
      <c r="S287">
        <v>29072.522320815118</v>
      </c>
      <c r="T287">
        <v>0</v>
      </c>
      <c r="U287">
        <v>0</v>
      </c>
      <c r="V287">
        <v>54126.211626342912</v>
      </c>
      <c r="W287">
        <v>0</v>
      </c>
      <c r="X287">
        <v>0</v>
      </c>
      <c r="Y287">
        <v>84083.088604072764</v>
      </c>
      <c r="Z287">
        <v>5823.9113763010628</v>
      </c>
      <c r="AA287">
        <v>89906.999980373832</v>
      </c>
      <c r="AB287" t="s">
        <v>242</v>
      </c>
      <c r="AC287">
        <v>6</v>
      </c>
      <c r="AD287">
        <v>10000</v>
      </c>
      <c r="AE287">
        <v>0</v>
      </c>
      <c r="AF287">
        <v>0</v>
      </c>
      <c r="AG287">
        <v>647.29422989161822</v>
      </c>
      <c r="AH287" t="s">
        <v>58</v>
      </c>
    </row>
    <row r="288" spans="1:34" x14ac:dyDescent="0.3">
      <c r="A288" t="s">
        <v>798</v>
      </c>
      <c r="B288">
        <v>52200238</v>
      </c>
      <c r="C288" t="s">
        <v>648</v>
      </c>
      <c r="D288" t="s">
        <v>647</v>
      </c>
      <c r="E288" t="s">
        <v>436</v>
      </c>
      <c r="F288" t="s">
        <v>431</v>
      </c>
      <c r="G288" t="s">
        <v>674</v>
      </c>
      <c r="H288" t="s">
        <v>83</v>
      </c>
      <c r="J288" t="s">
        <v>52</v>
      </c>
      <c r="K288" s="15">
        <v>1500</v>
      </c>
      <c r="M288" s="13">
        <v>44995</v>
      </c>
      <c r="O288">
        <v>0</v>
      </c>
      <c r="P288">
        <v>0</v>
      </c>
      <c r="Q288">
        <v>0</v>
      </c>
      <c r="R288">
        <v>782.16666138131154</v>
      </c>
      <c r="S288">
        <v>41947.026294280717</v>
      </c>
      <c r="T288">
        <v>0</v>
      </c>
      <c r="U288">
        <v>0</v>
      </c>
      <c r="V288">
        <v>76681.788968468842</v>
      </c>
      <c r="W288">
        <v>0</v>
      </c>
      <c r="X288">
        <v>0</v>
      </c>
      <c r="Y288">
        <v>119410.98192413087</v>
      </c>
      <c r="Z288">
        <v>8304.0170683924698</v>
      </c>
      <c r="AA288">
        <v>127714.99899252334</v>
      </c>
      <c r="AB288" t="s">
        <v>242</v>
      </c>
      <c r="AC288">
        <v>1</v>
      </c>
      <c r="AD288">
        <v>1500</v>
      </c>
      <c r="AE288">
        <v>0</v>
      </c>
      <c r="AF288">
        <v>0</v>
      </c>
      <c r="AG288">
        <v>97.487538595039041</v>
      </c>
      <c r="AH288" t="s">
        <v>72</v>
      </c>
    </row>
    <row r="289" spans="1:34" x14ac:dyDescent="0.3">
      <c r="A289" t="s">
        <v>798</v>
      </c>
      <c r="B289">
        <v>12200041</v>
      </c>
      <c r="C289">
        <v>23113175</v>
      </c>
      <c r="D289" t="s">
        <v>78</v>
      </c>
      <c r="E289" t="s">
        <v>435</v>
      </c>
      <c r="F289" t="s">
        <v>427</v>
      </c>
      <c r="G289" t="s">
        <v>82</v>
      </c>
      <c r="H289" t="s">
        <v>82</v>
      </c>
      <c r="J289" t="s">
        <v>52</v>
      </c>
      <c r="K289" s="15">
        <v>3000</v>
      </c>
      <c r="L289" s="15">
        <v>0</v>
      </c>
      <c r="M289" s="13">
        <v>44998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192565.03142572055</v>
      </c>
      <c r="W289">
        <v>0</v>
      </c>
      <c r="X289">
        <v>0</v>
      </c>
      <c r="Y289">
        <v>192565.03142572055</v>
      </c>
      <c r="Z289">
        <v>0</v>
      </c>
      <c r="AA289">
        <v>192565.03142572055</v>
      </c>
      <c r="AB289" t="s">
        <v>242</v>
      </c>
      <c r="AC289">
        <v>9</v>
      </c>
      <c r="AD289">
        <v>30000</v>
      </c>
      <c r="AE289">
        <v>0</v>
      </c>
      <c r="AF289">
        <v>0</v>
      </c>
      <c r="AG289">
        <v>0</v>
      </c>
      <c r="AH289" t="s">
        <v>58</v>
      </c>
    </row>
    <row r="290" spans="1:34" x14ac:dyDescent="0.3">
      <c r="A290" t="s">
        <v>798</v>
      </c>
      <c r="B290">
        <v>52201220</v>
      </c>
      <c r="C290">
        <v>25378599</v>
      </c>
      <c r="D290" t="s">
        <v>150</v>
      </c>
      <c r="E290" t="s">
        <v>438</v>
      </c>
      <c r="F290" t="s">
        <v>431</v>
      </c>
      <c r="G290" t="s">
        <v>82</v>
      </c>
      <c r="H290" t="s">
        <v>83</v>
      </c>
      <c r="J290" t="s">
        <v>52</v>
      </c>
      <c r="K290" s="15">
        <v>2000</v>
      </c>
      <c r="L290" s="15">
        <v>0</v>
      </c>
      <c r="M290" s="13">
        <v>44998</v>
      </c>
      <c r="O290">
        <v>0</v>
      </c>
      <c r="P290">
        <v>0</v>
      </c>
      <c r="Q290">
        <v>0</v>
      </c>
      <c r="R290">
        <v>777.22252011187163</v>
      </c>
      <c r="S290">
        <v>24824.401528857368</v>
      </c>
      <c r="T290">
        <v>0</v>
      </c>
      <c r="U290">
        <v>0</v>
      </c>
      <c r="V290">
        <v>79718.38097920474</v>
      </c>
      <c r="W290">
        <v>0</v>
      </c>
      <c r="X290">
        <v>0</v>
      </c>
      <c r="Y290">
        <v>105320.00502817398</v>
      </c>
      <c r="Z290">
        <v>7317.9947755643489</v>
      </c>
      <c r="AA290">
        <v>112637.99980373833</v>
      </c>
      <c r="AB290" t="s">
        <v>242</v>
      </c>
      <c r="AC290">
        <v>1</v>
      </c>
      <c r="AD290">
        <v>2000</v>
      </c>
      <c r="AE290">
        <v>0</v>
      </c>
      <c r="AF290">
        <v>0</v>
      </c>
      <c r="AG290">
        <v>129.87437047460844</v>
      </c>
      <c r="AH290" t="s">
        <v>72</v>
      </c>
    </row>
    <row r="291" spans="1:34" x14ac:dyDescent="0.3">
      <c r="A291" t="s">
        <v>798</v>
      </c>
      <c r="B291">
        <v>82200006</v>
      </c>
      <c r="C291" t="s">
        <v>109</v>
      </c>
      <c r="D291" t="s">
        <v>532</v>
      </c>
      <c r="E291" t="s">
        <v>440</v>
      </c>
      <c r="F291" t="s">
        <v>433</v>
      </c>
      <c r="G291" t="s">
        <v>82</v>
      </c>
      <c r="H291" t="s">
        <v>83</v>
      </c>
      <c r="J291" t="s">
        <v>52</v>
      </c>
      <c r="K291" s="15">
        <v>5000</v>
      </c>
      <c r="L291" s="15">
        <v>0</v>
      </c>
      <c r="M291" s="13">
        <v>44998</v>
      </c>
      <c r="O291">
        <v>0</v>
      </c>
      <c r="P291">
        <v>0</v>
      </c>
      <c r="Q291">
        <v>30824.221494079255</v>
      </c>
      <c r="R291">
        <v>105608</v>
      </c>
      <c r="S291">
        <v>80155.581220486682</v>
      </c>
      <c r="T291">
        <v>0</v>
      </c>
      <c r="U291">
        <v>0</v>
      </c>
      <c r="V291">
        <v>535382.06000000006</v>
      </c>
      <c r="W291">
        <v>0</v>
      </c>
      <c r="X291">
        <v>0</v>
      </c>
      <c r="Y291">
        <v>751969.86271456606</v>
      </c>
      <c r="Z291">
        <v>43087.634885434076</v>
      </c>
      <c r="AA291">
        <v>795057.49760000012</v>
      </c>
      <c r="AB291" t="s">
        <v>242</v>
      </c>
      <c r="AC291">
        <v>3</v>
      </c>
      <c r="AD291">
        <v>43000</v>
      </c>
      <c r="AE291">
        <v>0</v>
      </c>
      <c r="AF291">
        <v>0</v>
      </c>
      <c r="AG291">
        <v>2301.6027145659323</v>
      </c>
      <c r="AH291" t="s">
        <v>58</v>
      </c>
    </row>
    <row r="292" spans="1:34" x14ac:dyDescent="0.3">
      <c r="A292" t="s">
        <v>798</v>
      </c>
      <c r="B292">
        <v>52200750</v>
      </c>
      <c r="C292">
        <v>26151957</v>
      </c>
      <c r="D292" t="s">
        <v>141</v>
      </c>
      <c r="E292" t="s">
        <v>438</v>
      </c>
      <c r="F292" t="s">
        <v>431</v>
      </c>
      <c r="G292" t="s">
        <v>82</v>
      </c>
      <c r="H292" t="s">
        <v>83</v>
      </c>
      <c r="J292" t="s">
        <v>52</v>
      </c>
      <c r="K292" s="15">
        <v>1500</v>
      </c>
      <c r="L292" s="15">
        <v>0</v>
      </c>
      <c r="M292" s="13">
        <v>45000</v>
      </c>
      <c r="O292">
        <v>0</v>
      </c>
      <c r="P292">
        <v>0</v>
      </c>
      <c r="Q292">
        <v>0</v>
      </c>
      <c r="R292">
        <v>971.85390620435828</v>
      </c>
      <c r="S292">
        <v>31704.744905840158</v>
      </c>
      <c r="T292">
        <v>0</v>
      </c>
      <c r="U292">
        <v>0</v>
      </c>
      <c r="V292">
        <v>47756.1392450563</v>
      </c>
      <c r="W292">
        <v>0</v>
      </c>
      <c r="X292">
        <v>0</v>
      </c>
      <c r="Y292">
        <v>80432.738057100825</v>
      </c>
      <c r="Z292">
        <v>5562.2618905627523</v>
      </c>
      <c r="AA292">
        <v>85994.999947663571</v>
      </c>
      <c r="AB292" t="s">
        <v>242</v>
      </c>
      <c r="AC292">
        <v>1</v>
      </c>
      <c r="AD292">
        <v>1500</v>
      </c>
      <c r="AE292">
        <v>0</v>
      </c>
      <c r="AF292">
        <v>0</v>
      </c>
      <c r="AG292">
        <v>96.943713490004711</v>
      </c>
      <c r="AH292" t="s">
        <v>72</v>
      </c>
    </row>
    <row r="293" spans="1:34" x14ac:dyDescent="0.3">
      <c r="A293" t="s">
        <v>798</v>
      </c>
      <c r="B293">
        <v>52200522</v>
      </c>
      <c r="C293" t="s">
        <v>248</v>
      </c>
      <c r="D293" t="s">
        <v>319</v>
      </c>
      <c r="E293" t="s">
        <v>437</v>
      </c>
      <c r="F293" t="s">
        <v>431</v>
      </c>
      <c r="G293" t="s">
        <v>328</v>
      </c>
      <c r="H293" t="s">
        <v>83</v>
      </c>
      <c r="J293" t="s">
        <v>52</v>
      </c>
      <c r="K293" s="15">
        <v>1366.65</v>
      </c>
      <c r="L293" s="15">
        <v>0</v>
      </c>
      <c r="M293" s="13">
        <v>45001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">
        <v>242</v>
      </c>
      <c r="AC293">
        <v>1</v>
      </c>
      <c r="AD293">
        <v>1366.65</v>
      </c>
      <c r="AE293">
        <v>0</v>
      </c>
      <c r="AF293">
        <v>0</v>
      </c>
      <c r="AG293">
        <v>89.407009345794449</v>
      </c>
      <c r="AH293" t="s">
        <v>72</v>
      </c>
    </row>
    <row r="294" spans="1:34" x14ac:dyDescent="0.3">
      <c r="A294" t="s">
        <v>798</v>
      </c>
      <c r="B294">
        <v>12200198</v>
      </c>
      <c r="C294">
        <v>21155200</v>
      </c>
      <c r="D294" t="s">
        <v>815</v>
      </c>
      <c r="E294" t="s">
        <v>438</v>
      </c>
      <c r="F294" t="s">
        <v>427</v>
      </c>
      <c r="G294" t="s">
        <v>82</v>
      </c>
      <c r="H294" t="s">
        <v>82</v>
      </c>
      <c r="J294" t="s">
        <v>52</v>
      </c>
      <c r="K294" s="15">
        <v>2000</v>
      </c>
      <c r="L294" s="15">
        <v>0</v>
      </c>
      <c r="M294" s="13">
        <v>45002</v>
      </c>
      <c r="O294">
        <v>0</v>
      </c>
      <c r="P294">
        <v>0</v>
      </c>
      <c r="Q294">
        <v>0</v>
      </c>
      <c r="R294">
        <v>0</v>
      </c>
      <c r="S294">
        <v>35252.267691327819</v>
      </c>
      <c r="T294">
        <v>0</v>
      </c>
      <c r="U294">
        <v>0</v>
      </c>
      <c r="V294">
        <v>142102.18304325169</v>
      </c>
      <c r="W294">
        <v>0</v>
      </c>
      <c r="X294">
        <v>0</v>
      </c>
      <c r="Y294">
        <v>177354.4507345795</v>
      </c>
      <c r="Z294">
        <v>0</v>
      </c>
      <c r="AA294">
        <v>177354.4507345795</v>
      </c>
      <c r="AB294" t="s">
        <v>242</v>
      </c>
      <c r="AC294">
        <v>2</v>
      </c>
      <c r="AD294">
        <v>4000</v>
      </c>
      <c r="AE294">
        <v>0</v>
      </c>
      <c r="AF294">
        <v>0</v>
      </c>
      <c r="AG294">
        <v>0</v>
      </c>
      <c r="AH294" t="s">
        <v>58</v>
      </c>
    </row>
    <row r="295" spans="1:34" x14ac:dyDescent="0.3">
      <c r="A295" t="s">
        <v>798</v>
      </c>
      <c r="B295">
        <v>52201974</v>
      </c>
      <c r="C295">
        <v>28121068</v>
      </c>
      <c r="D295" t="s">
        <v>890</v>
      </c>
      <c r="E295" t="s">
        <v>438</v>
      </c>
      <c r="F295" t="s">
        <v>431</v>
      </c>
      <c r="G295" t="s">
        <v>82</v>
      </c>
      <c r="H295" t="s">
        <v>83</v>
      </c>
      <c r="J295" t="s">
        <v>52</v>
      </c>
      <c r="K295" s="15">
        <v>1500</v>
      </c>
      <c r="L295" s="15">
        <v>0</v>
      </c>
      <c r="M295" s="13">
        <v>45005</v>
      </c>
      <c r="O295">
        <v>0</v>
      </c>
      <c r="P295">
        <v>0</v>
      </c>
      <c r="Q295">
        <v>0</v>
      </c>
      <c r="R295">
        <v>871.78331723221743</v>
      </c>
      <c r="S295">
        <v>25514.149156251518</v>
      </c>
      <c r="T295">
        <v>0</v>
      </c>
      <c r="U295">
        <v>0</v>
      </c>
      <c r="V295">
        <v>41759.885530237712</v>
      </c>
      <c r="W295">
        <v>0</v>
      </c>
      <c r="X295">
        <v>0</v>
      </c>
      <c r="Y295">
        <v>68145.818003721448</v>
      </c>
      <c r="Z295">
        <v>4709.1824280542469</v>
      </c>
      <c r="AA295">
        <v>72855.000431775698</v>
      </c>
      <c r="AB295" t="s">
        <v>242</v>
      </c>
      <c r="AC295">
        <v>1</v>
      </c>
      <c r="AD295">
        <v>1500</v>
      </c>
      <c r="AE295">
        <v>0</v>
      </c>
      <c r="AF295">
        <v>0</v>
      </c>
      <c r="AG295">
        <v>96.873674959117125</v>
      </c>
      <c r="AH295" t="s">
        <v>72</v>
      </c>
    </row>
    <row r="296" spans="1:34" x14ac:dyDescent="0.3">
      <c r="A296" t="s">
        <v>798</v>
      </c>
      <c r="B296">
        <v>62200115</v>
      </c>
      <c r="C296">
        <v>25275925</v>
      </c>
      <c r="D296" t="s">
        <v>88</v>
      </c>
      <c r="E296" t="s">
        <v>436</v>
      </c>
      <c r="F296" t="s">
        <v>432</v>
      </c>
      <c r="G296" t="s">
        <v>82</v>
      </c>
      <c r="H296" t="s">
        <v>82</v>
      </c>
      <c r="J296" t="s">
        <v>52</v>
      </c>
      <c r="K296" s="15">
        <v>500</v>
      </c>
      <c r="L296" s="15">
        <v>0</v>
      </c>
      <c r="M296" s="13">
        <v>45005</v>
      </c>
      <c r="O296">
        <v>0</v>
      </c>
      <c r="P296">
        <v>0</v>
      </c>
      <c r="Q296">
        <v>0</v>
      </c>
      <c r="R296">
        <v>0</v>
      </c>
      <c r="S296">
        <v>7304.74114699457</v>
      </c>
      <c r="T296">
        <v>0</v>
      </c>
      <c r="U296">
        <v>0</v>
      </c>
      <c r="V296">
        <v>29072.994912695332</v>
      </c>
      <c r="W296">
        <v>0</v>
      </c>
      <c r="X296">
        <v>0</v>
      </c>
      <c r="Y296">
        <v>36377.736059689902</v>
      </c>
      <c r="Z296">
        <v>0</v>
      </c>
      <c r="AA296">
        <v>36377.736059689902</v>
      </c>
      <c r="AB296" t="s">
        <v>242</v>
      </c>
      <c r="AC296">
        <v>3</v>
      </c>
      <c r="AD296">
        <v>2000</v>
      </c>
      <c r="AE296">
        <v>0</v>
      </c>
      <c r="AF296">
        <v>0</v>
      </c>
      <c r="AG296">
        <v>0</v>
      </c>
      <c r="AH296" t="s">
        <v>58</v>
      </c>
    </row>
    <row r="297" spans="1:34" x14ac:dyDescent="0.3">
      <c r="A297" t="s">
        <v>798</v>
      </c>
      <c r="B297">
        <v>52200239</v>
      </c>
      <c r="C297">
        <v>25091589</v>
      </c>
      <c r="D297" t="s">
        <v>844</v>
      </c>
      <c r="E297" t="s">
        <v>436</v>
      </c>
      <c r="F297" t="s">
        <v>431</v>
      </c>
      <c r="G297" t="s">
        <v>82</v>
      </c>
      <c r="H297" t="s">
        <v>83</v>
      </c>
      <c r="J297" t="s">
        <v>52</v>
      </c>
      <c r="K297" s="15">
        <v>1000</v>
      </c>
      <c r="L297" s="15">
        <v>0</v>
      </c>
      <c r="M297" s="13">
        <v>45006</v>
      </c>
      <c r="O297">
        <v>0</v>
      </c>
      <c r="P297">
        <v>0</v>
      </c>
      <c r="Q297">
        <v>0</v>
      </c>
      <c r="R297">
        <v>873.83702879716157</v>
      </c>
      <c r="S297">
        <v>28147.772440551169</v>
      </c>
      <c r="T297">
        <v>0</v>
      </c>
      <c r="U297">
        <v>0</v>
      </c>
      <c r="V297">
        <v>54126.211626342912</v>
      </c>
      <c r="W297">
        <v>0</v>
      </c>
      <c r="X297">
        <v>0</v>
      </c>
      <c r="Y297">
        <v>83147.821095691237</v>
      </c>
      <c r="Z297">
        <v>5759.1788846825857</v>
      </c>
      <c r="AA297">
        <v>88906.999980373817</v>
      </c>
      <c r="AB297" t="s">
        <v>242</v>
      </c>
      <c r="AC297">
        <v>7</v>
      </c>
      <c r="AD297">
        <v>11000</v>
      </c>
      <c r="AE297">
        <v>0</v>
      </c>
      <c r="AF297">
        <v>0</v>
      </c>
      <c r="AG297">
        <v>712.0267215100946</v>
      </c>
      <c r="AH297" t="s">
        <v>58</v>
      </c>
    </row>
    <row r="298" spans="1:34" x14ac:dyDescent="0.3">
      <c r="A298" t="s">
        <v>798</v>
      </c>
      <c r="B298">
        <v>52200647</v>
      </c>
      <c r="C298">
        <v>29594859</v>
      </c>
      <c r="D298" t="s">
        <v>139</v>
      </c>
      <c r="E298" t="s">
        <v>438</v>
      </c>
      <c r="F298" t="s">
        <v>431</v>
      </c>
      <c r="G298" t="s">
        <v>82</v>
      </c>
      <c r="H298" t="s">
        <v>83</v>
      </c>
      <c r="J298" t="s">
        <v>52</v>
      </c>
      <c r="K298" s="15">
        <v>2000</v>
      </c>
      <c r="L298" s="15">
        <v>0</v>
      </c>
      <c r="M298" s="13">
        <v>45008</v>
      </c>
      <c r="O298">
        <v>0</v>
      </c>
      <c r="P298">
        <v>0</v>
      </c>
      <c r="Q298">
        <v>0</v>
      </c>
      <c r="R298">
        <v>999.3252350274895</v>
      </c>
      <c r="S298">
        <v>41474.668845768698</v>
      </c>
      <c r="T298">
        <v>0</v>
      </c>
      <c r="U298">
        <v>0</v>
      </c>
      <c r="V298">
        <v>58470.824672897194</v>
      </c>
      <c r="W298">
        <v>0</v>
      </c>
      <c r="X298">
        <v>0</v>
      </c>
      <c r="Y298">
        <v>100944.81875369338</v>
      </c>
      <c r="Z298">
        <v>6996.1845463066138</v>
      </c>
      <c r="AA298">
        <v>107941.0033</v>
      </c>
      <c r="AB298" t="s">
        <v>242</v>
      </c>
      <c r="AC298">
        <v>2</v>
      </c>
      <c r="AD298">
        <v>4000</v>
      </c>
      <c r="AE298">
        <v>0</v>
      </c>
      <c r="AF298">
        <v>0</v>
      </c>
      <c r="AG298">
        <v>259.08669761862075</v>
      </c>
      <c r="AH298" t="s">
        <v>58</v>
      </c>
    </row>
    <row r="299" spans="1:34" x14ac:dyDescent="0.3">
      <c r="A299" t="s">
        <v>798</v>
      </c>
      <c r="B299">
        <v>12200034</v>
      </c>
      <c r="C299" t="s">
        <v>335</v>
      </c>
      <c r="D299" t="s">
        <v>377</v>
      </c>
      <c r="E299" t="s">
        <v>435</v>
      </c>
      <c r="F299" t="s">
        <v>427</v>
      </c>
      <c r="G299" t="s">
        <v>82</v>
      </c>
      <c r="H299" t="s">
        <v>82</v>
      </c>
      <c r="J299" t="s">
        <v>416</v>
      </c>
      <c r="K299" s="15">
        <v>0.34133973610570301</v>
      </c>
      <c r="L299" s="15">
        <v>0</v>
      </c>
      <c r="M299" s="13">
        <v>45008</v>
      </c>
      <c r="O299">
        <v>0</v>
      </c>
      <c r="P299">
        <v>0</v>
      </c>
      <c r="Q299">
        <v>0</v>
      </c>
      <c r="R299">
        <v>0</v>
      </c>
      <c r="S299">
        <v>32051.198021039781</v>
      </c>
      <c r="T299">
        <v>0</v>
      </c>
      <c r="U299">
        <v>0</v>
      </c>
      <c r="V299">
        <v>142948.80197896023</v>
      </c>
      <c r="W299">
        <v>0</v>
      </c>
      <c r="X299">
        <v>0</v>
      </c>
      <c r="Y299">
        <v>175000</v>
      </c>
      <c r="Z299">
        <v>0</v>
      </c>
      <c r="AA299">
        <v>175000</v>
      </c>
      <c r="AB299" t="s">
        <v>242</v>
      </c>
      <c r="AC299">
        <v>5</v>
      </c>
      <c r="AD299">
        <v>22000</v>
      </c>
      <c r="AE299">
        <v>0</v>
      </c>
      <c r="AF299">
        <v>0</v>
      </c>
      <c r="AG299">
        <v>0</v>
      </c>
      <c r="AH299" t="s">
        <v>58</v>
      </c>
    </row>
    <row r="300" spans="1:34" x14ac:dyDescent="0.3">
      <c r="A300" t="s">
        <v>798</v>
      </c>
      <c r="B300">
        <v>52200239</v>
      </c>
      <c r="C300">
        <v>25091589</v>
      </c>
      <c r="D300" t="s">
        <v>844</v>
      </c>
      <c r="E300" t="s">
        <v>436</v>
      </c>
      <c r="F300" t="s">
        <v>431</v>
      </c>
      <c r="G300" t="s">
        <v>82</v>
      </c>
      <c r="H300" t="s">
        <v>83</v>
      </c>
      <c r="J300" t="s">
        <v>52</v>
      </c>
      <c r="K300" s="15">
        <v>1500</v>
      </c>
      <c r="L300" s="15">
        <v>0</v>
      </c>
      <c r="M300" s="13">
        <v>45009</v>
      </c>
      <c r="O300">
        <v>0</v>
      </c>
      <c r="P300">
        <v>0</v>
      </c>
      <c r="Q300">
        <v>0</v>
      </c>
      <c r="R300">
        <v>858.07286894398567</v>
      </c>
      <c r="S300">
        <v>26760.636141348528</v>
      </c>
      <c r="T300">
        <v>0</v>
      </c>
      <c r="U300">
        <v>0</v>
      </c>
      <c r="V300">
        <v>54126.211626342912</v>
      </c>
      <c r="W300">
        <v>0</v>
      </c>
      <c r="X300">
        <v>0</v>
      </c>
      <c r="Y300">
        <v>81744.920636635419</v>
      </c>
      <c r="Z300">
        <v>5662.0793437384018</v>
      </c>
      <c r="AA300">
        <v>87406.999980373817</v>
      </c>
      <c r="AB300" t="s">
        <v>242</v>
      </c>
      <c r="AC300">
        <v>8</v>
      </c>
      <c r="AD300">
        <v>12500</v>
      </c>
      <c r="AE300">
        <v>0</v>
      </c>
      <c r="AF300">
        <v>0</v>
      </c>
      <c r="AG300">
        <v>809.12626245427941</v>
      </c>
      <c r="AH300" t="s">
        <v>58</v>
      </c>
    </row>
    <row r="301" spans="1:34" x14ac:dyDescent="0.3">
      <c r="A301" t="s">
        <v>798</v>
      </c>
      <c r="B301">
        <v>52201809</v>
      </c>
      <c r="C301">
        <v>28380987</v>
      </c>
      <c r="D301" t="s">
        <v>164</v>
      </c>
      <c r="E301" t="s">
        <v>438</v>
      </c>
      <c r="F301" t="s">
        <v>431</v>
      </c>
      <c r="G301" t="s">
        <v>82</v>
      </c>
      <c r="H301" t="s">
        <v>83</v>
      </c>
      <c r="J301" t="s">
        <v>52</v>
      </c>
      <c r="K301" s="15">
        <v>500</v>
      </c>
      <c r="L301" s="15">
        <v>0</v>
      </c>
      <c r="M301" s="13">
        <v>45009</v>
      </c>
      <c r="O301">
        <v>0</v>
      </c>
      <c r="P301">
        <v>0</v>
      </c>
      <c r="Q301">
        <v>0</v>
      </c>
      <c r="R301">
        <v>1027.4094727735171</v>
      </c>
      <c r="S301">
        <v>35795.567873305336</v>
      </c>
      <c r="T301">
        <v>0</v>
      </c>
      <c r="U301">
        <v>0</v>
      </c>
      <c r="V301">
        <v>51867.600635850336</v>
      </c>
      <c r="W301">
        <v>0</v>
      </c>
      <c r="X301">
        <v>0</v>
      </c>
      <c r="Y301">
        <v>88690.577981929178</v>
      </c>
      <c r="Z301">
        <v>6136.4217956408975</v>
      </c>
      <c r="AA301">
        <v>94826.999777570076</v>
      </c>
      <c r="AB301" t="s">
        <v>242</v>
      </c>
      <c r="AC301">
        <v>2</v>
      </c>
      <c r="AD301">
        <v>1000</v>
      </c>
      <c r="AE301">
        <v>0</v>
      </c>
      <c r="AF301">
        <v>0</v>
      </c>
      <c r="AG301">
        <v>64.662301957145985</v>
      </c>
      <c r="AH301" t="s">
        <v>58</v>
      </c>
    </row>
    <row r="302" spans="1:34" x14ac:dyDescent="0.3">
      <c r="A302" t="s">
        <v>798</v>
      </c>
      <c r="B302">
        <v>82200004</v>
      </c>
      <c r="C302" t="s">
        <v>246</v>
      </c>
      <c r="D302" t="s">
        <v>519</v>
      </c>
      <c r="E302" t="s">
        <v>440</v>
      </c>
      <c r="F302" t="s">
        <v>433</v>
      </c>
      <c r="G302" t="s">
        <v>417</v>
      </c>
      <c r="H302" t="s">
        <v>83</v>
      </c>
      <c r="J302" t="s">
        <v>450</v>
      </c>
      <c r="K302" s="15">
        <v>1800000</v>
      </c>
      <c r="L302" s="15">
        <v>20800</v>
      </c>
      <c r="M302" s="13">
        <v>45009</v>
      </c>
      <c r="O302">
        <v>20800</v>
      </c>
      <c r="P302">
        <v>0</v>
      </c>
      <c r="Q302">
        <v>156404.75522874921</v>
      </c>
      <c r="R302">
        <v>1423.76</v>
      </c>
      <c r="S302">
        <v>18473.060104843855</v>
      </c>
      <c r="T302">
        <v>0</v>
      </c>
      <c r="U302">
        <v>0</v>
      </c>
      <c r="V302">
        <v>557094.00538230664</v>
      </c>
      <c r="W302">
        <v>0</v>
      </c>
      <c r="X302">
        <v>0</v>
      </c>
      <c r="Y302">
        <v>754195.5807158997</v>
      </c>
      <c r="Z302">
        <v>40289.694584100536</v>
      </c>
      <c r="AA302">
        <v>794485.27530000021</v>
      </c>
      <c r="AB302" t="s">
        <v>242</v>
      </c>
      <c r="AC302">
        <v>1</v>
      </c>
      <c r="AD302">
        <v>20000</v>
      </c>
      <c r="AE302">
        <v>0</v>
      </c>
      <c r="AF302">
        <v>1800000</v>
      </c>
      <c r="AG302">
        <v>118979.89071589941</v>
      </c>
      <c r="AH302" t="s">
        <v>58</v>
      </c>
    </row>
    <row r="303" spans="1:34" x14ac:dyDescent="0.3">
      <c r="A303" t="s">
        <v>798</v>
      </c>
      <c r="B303">
        <v>52200698</v>
      </c>
      <c r="C303">
        <v>29796909</v>
      </c>
      <c r="D303" t="s">
        <v>858</v>
      </c>
      <c r="E303" t="s">
        <v>438</v>
      </c>
      <c r="F303" t="s">
        <v>431</v>
      </c>
      <c r="G303" t="s">
        <v>82</v>
      </c>
      <c r="H303" t="s">
        <v>83</v>
      </c>
      <c r="J303" t="s">
        <v>52</v>
      </c>
      <c r="K303" s="15">
        <v>3126</v>
      </c>
      <c r="L303" s="15">
        <v>0</v>
      </c>
      <c r="M303" s="13">
        <v>45010</v>
      </c>
      <c r="O303">
        <v>0</v>
      </c>
      <c r="P303">
        <v>0</v>
      </c>
      <c r="Q303">
        <v>0</v>
      </c>
      <c r="R303">
        <v>954.49932202765672</v>
      </c>
      <c r="S303">
        <v>30980.894371936753</v>
      </c>
      <c r="T303">
        <v>0</v>
      </c>
      <c r="U303">
        <v>0</v>
      </c>
      <c r="V303">
        <v>52314.898317757012</v>
      </c>
      <c r="W303">
        <v>0</v>
      </c>
      <c r="X303">
        <v>0</v>
      </c>
      <c r="Y303">
        <v>84250.292011721423</v>
      </c>
      <c r="Z303">
        <v>5830.7054882785642</v>
      </c>
      <c r="AA303">
        <v>90080.997499999983</v>
      </c>
      <c r="AB303" t="s">
        <v>242</v>
      </c>
      <c r="AC303">
        <v>1</v>
      </c>
      <c r="AD303">
        <v>3126</v>
      </c>
      <c r="AE303">
        <v>0</v>
      </c>
      <c r="AF303">
        <v>0</v>
      </c>
      <c r="AG303">
        <v>202.18219863732338</v>
      </c>
      <c r="AH303" t="s">
        <v>72</v>
      </c>
    </row>
    <row r="304" spans="1:34" x14ac:dyDescent="0.3">
      <c r="A304" t="s">
        <v>798</v>
      </c>
      <c r="B304">
        <v>12200034</v>
      </c>
      <c r="C304" t="s">
        <v>335</v>
      </c>
      <c r="D304" t="s">
        <v>377</v>
      </c>
      <c r="E304" t="s">
        <v>435</v>
      </c>
      <c r="F304" t="s">
        <v>427</v>
      </c>
      <c r="G304" t="s">
        <v>82</v>
      </c>
      <c r="H304" t="s">
        <v>82</v>
      </c>
      <c r="J304" t="s">
        <v>52</v>
      </c>
      <c r="K304" s="15">
        <v>30000</v>
      </c>
      <c r="L304" s="15">
        <v>0</v>
      </c>
      <c r="M304" s="13">
        <v>45010</v>
      </c>
      <c r="O304">
        <v>0</v>
      </c>
      <c r="P304">
        <v>0</v>
      </c>
      <c r="Q304">
        <v>0</v>
      </c>
      <c r="R304">
        <v>0</v>
      </c>
      <c r="S304">
        <v>2051.1980210397815</v>
      </c>
      <c r="T304">
        <v>0</v>
      </c>
      <c r="U304">
        <v>0</v>
      </c>
      <c r="V304">
        <v>142948.80197896023</v>
      </c>
      <c r="W304">
        <v>0</v>
      </c>
      <c r="X304">
        <v>0</v>
      </c>
      <c r="Y304">
        <v>145000</v>
      </c>
      <c r="Z304">
        <v>0</v>
      </c>
      <c r="AA304">
        <v>145000</v>
      </c>
      <c r="AB304" t="s">
        <v>242</v>
      </c>
      <c r="AC304">
        <v>6</v>
      </c>
      <c r="AD304">
        <v>52000</v>
      </c>
      <c r="AE304">
        <v>0</v>
      </c>
      <c r="AF304">
        <v>0</v>
      </c>
      <c r="AG304">
        <v>0</v>
      </c>
      <c r="AH304" t="s">
        <v>58</v>
      </c>
    </row>
    <row r="305" spans="1:34" x14ac:dyDescent="0.3">
      <c r="A305" t="s">
        <v>798</v>
      </c>
      <c r="B305">
        <v>82200021</v>
      </c>
      <c r="C305" t="s">
        <v>106</v>
      </c>
      <c r="D305" t="s">
        <v>87</v>
      </c>
      <c r="E305" t="s">
        <v>440</v>
      </c>
      <c r="F305" t="s">
        <v>433</v>
      </c>
      <c r="G305" t="s">
        <v>417</v>
      </c>
      <c r="H305" t="s">
        <v>83</v>
      </c>
      <c r="J305" t="s">
        <v>450</v>
      </c>
      <c r="K305" s="15">
        <v>1000000</v>
      </c>
      <c r="L305" s="15">
        <v>0</v>
      </c>
      <c r="M305" s="13">
        <v>45010</v>
      </c>
      <c r="O305">
        <v>0</v>
      </c>
      <c r="P305">
        <v>0</v>
      </c>
      <c r="Q305">
        <v>87266.902561788869</v>
      </c>
      <c r="R305">
        <v>82.05</v>
      </c>
      <c r="S305">
        <v>14542.655530271346</v>
      </c>
      <c r="T305">
        <v>0</v>
      </c>
      <c r="U305">
        <v>0</v>
      </c>
      <c r="V305">
        <v>388377.00338394474</v>
      </c>
      <c r="W305">
        <v>0</v>
      </c>
      <c r="X305">
        <v>0</v>
      </c>
      <c r="Y305">
        <v>490268.61147600494</v>
      </c>
      <c r="Z305">
        <v>28204.376123995131</v>
      </c>
      <c r="AA305">
        <v>518472.98760000005</v>
      </c>
      <c r="AB305" t="s">
        <v>242</v>
      </c>
      <c r="AC305">
        <v>3</v>
      </c>
      <c r="AD305">
        <v>84000</v>
      </c>
      <c r="AE305">
        <v>0</v>
      </c>
      <c r="AF305">
        <v>1000000</v>
      </c>
      <c r="AG305">
        <v>70578.131476004928</v>
      </c>
      <c r="AH305" t="s">
        <v>58</v>
      </c>
    </row>
    <row r="306" spans="1:34" x14ac:dyDescent="0.3">
      <c r="A306" t="s">
        <v>798</v>
      </c>
      <c r="B306">
        <v>2200001</v>
      </c>
      <c r="C306" t="s">
        <v>630</v>
      </c>
      <c r="D306" t="s">
        <v>407</v>
      </c>
      <c r="E306" t="s">
        <v>435</v>
      </c>
      <c r="F306" t="s">
        <v>675</v>
      </c>
      <c r="G306" t="s">
        <v>235</v>
      </c>
      <c r="H306" t="s">
        <v>235</v>
      </c>
      <c r="J306" t="s">
        <v>52</v>
      </c>
      <c r="K306" s="15">
        <v>3000</v>
      </c>
      <c r="M306" s="13">
        <v>45010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63246.990000000005</v>
      </c>
      <c r="W306">
        <v>0</v>
      </c>
      <c r="X306">
        <v>0</v>
      </c>
      <c r="Y306">
        <v>63246.990000000005</v>
      </c>
      <c r="Z306">
        <v>0</v>
      </c>
      <c r="AA306">
        <v>63246.990000000005</v>
      </c>
      <c r="AB306" t="s">
        <v>242</v>
      </c>
      <c r="AC306">
        <v>2</v>
      </c>
      <c r="AD306">
        <v>6000</v>
      </c>
      <c r="AE306">
        <v>0</v>
      </c>
      <c r="AF306">
        <v>0</v>
      </c>
      <c r="AG306">
        <v>0</v>
      </c>
      <c r="AH306" t="s">
        <v>58</v>
      </c>
    </row>
    <row r="307" spans="1:34" x14ac:dyDescent="0.3">
      <c r="A307" t="s">
        <v>798</v>
      </c>
      <c r="B307">
        <v>52200012</v>
      </c>
      <c r="C307" t="s">
        <v>638</v>
      </c>
      <c r="D307" t="s">
        <v>637</v>
      </c>
      <c r="E307" t="s">
        <v>435</v>
      </c>
      <c r="F307" t="s">
        <v>431</v>
      </c>
      <c r="G307" t="s">
        <v>230</v>
      </c>
      <c r="H307" t="s">
        <v>231</v>
      </c>
      <c r="J307" t="s">
        <v>52</v>
      </c>
      <c r="K307" s="15">
        <v>3000</v>
      </c>
      <c r="M307" s="13">
        <v>45010</v>
      </c>
      <c r="O307">
        <v>5597.7315689981097</v>
      </c>
      <c r="P307">
        <v>0</v>
      </c>
      <c r="Q307">
        <v>0</v>
      </c>
      <c r="R307">
        <v>0</v>
      </c>
      <c r="S307">
        <v>0</v>
      </c>
      <c r="T307">
        <v>34618.942458880265</v>
      </c>
      <c r="U307">
        <v>0</v>
      </c>
      <c r="V307">
        <v>0</v>
      </c>
      <c r="W307">
        <v>42990.654205607476</v>
      </c>
      <c r="X307">
        <v>0</v>
      </c>
      <c r="Y307">
        <v>83207.328233485852</v>
      </c>
      <c r="Z307">
        <v>5432.6717665141423</v>
      </c>
      <c r="AA307">
        <v>88640</v>
      </c>
      <c r="AB307" t="s">
        <v>242</v>
      </c>
      <c r="AC307">
        <v>1</v>
      </c>
      <c r="AD307">
        <v>3000</v>
      </c>
      <c r="AE307">
        <v>0</v>
      </c>
      <c r="AF307">
        <v>0</v>
      </c>
      <c r="AG307">
        <v>183.02916806529674</v>
      </c>
      <c r="AH307" t="s">
        <v>58</v>
      </c>
    </row>
    <row r="308" spans="1:34" x14ac:dyDescent="0.3">
      <c r="A308" t="s">
        <v>798</v>
      </c>
      <c r="B308">
        <v>82200002</v>
      </c>
      <c r="C308" t="s">
        <v>107</v>
      </c>
      <c r="D308" t="s">
        <v>664</v>
      </c>
      <c r="E308" t="s">
        <v>440</v>
      </c>
      <c r="F308" t="s">
        <v>433</v>
      </c>
      <c r="G308" t="s">
        <v>673</v>
      </c>
      <c r="H308" t="s">
        <v>83</v>
      </c>
      <c r="J308" t="s">
        <v>52</v>
      </c>
      <c r="K308" s="15">
        <v>35000</v>
      </c>
      <c r="M308" s="13">
        <v>45010</v>
      </c>
      <c r="O308">
        <v>0</v>
      </c>
      <c r="P308">
        <v>0</v>
      </c>
      <c r="Q308">
        <v>66204.682394339135</v>
      </c>
      <c r="R308">
        <v>34918.17</v>
      </c>
      <c r="S308">
        <v>210494.37907071112</v>
      </c>
      <c r="T308">
        <v>0</v>
      </c>
      <c r="U308">
        <v>0</v>
      </c>
      <c r="V308">
        <v>967982.71</v>
      </c>
      <c r="W308">
        <v>0</v>
      </c>
      <c r="X308">
        <v>0</v>
      </c>
      <c r="Y308">
        <v>1279599.9414650502</v>
      </c>
      <c r="Z308">
        <v>82493.396234949774</v>
      </c>
      <c r="AA308">
        <v>1362093.3377</v>
      </c>
      <c r="AB308" t="s">
        <v>242</v>
      </c>
      <c r="AC308">
        <v>1</v>
      </c>
      <c r="AD308">
        <v>35000</v>
      </c>
      <c r="AE308">
        <v>0</v>
      </c>
      <c r="AF308">
        <v>0</v>
      </c>
      <c r="AG308">
        <v>2108.4714650502247</v>
      </c>
      <c r="AH308" t="s">
        <v>72</v>
      </c>
    </row>
    <row r="309" spans="1:34" x14ac:dyDescent="0.3">
      <c r="A309" t="s">
        <v>798</v>
      </c>
      <c r="B309">
        <v>2200009</v>
      </c>
      <c r="C309">
        <v>19887094</v>
      </c>
      <c r="D309" t="s">
        <v>77</v>
      </c>
      <c r="E309" t="s">
        <v>435</v>
      </c>
      <c r="F309" t="s">
        <v>426</v>
      </c>
      <c r="G309" t="s">
        <v>82</v>
      </c>
      <c r="H309" t="s">
        <v>82</v>
      </c>
      <c r="J309" t="s">
        <v>52</v>
      </c>
      <c r="K309" s="15">
        <v>900</v>
      </c>
      <c r="L309" s="15">
        <v>0</v>
      </c>
      <c r="M309" s="13">
        <v>45012</v>
      </c>
      <c r="O309">
        <v>0</v>
      </c>
      <c r="P309">
        <v>0</v>
      </c>
      <c r="Q309">
        <v>0</v>
      </c>
      <c r="R309">
        <v>0</v>
      </c>
      <c r="S309">
        <v>19701.616180538298</v>
      </c>
      <c r="T309">
        <v>0</v>
      </c>
      <c r="U309">
        <v>0</v>
      </c>
      <c r="V309">
        <v>107102.9400910782</v>
      </c>
      <c r="W309">
        <v>0</v>
      </c>
      <c r="X309">
        <v>0</v>
      </c>
      <c r="Y309">
        <v>126804.5562716165</v>
      </c>
      <c r="Z309">
        <v>0</v>
      </c>
      <c r="AA309">
        <v>126804.5562716165</v>
      </c>
      <c r="AB309" t="s">
        <v>242</v>
      </c>
      <c r="AC309">
        <v>8</v>
      </c>
      <c r="AD309">
        <v>7200</v>
      </c>
      <c r="AE309">
        <v>0</v>
      </c>
      <c r="AF309">
        <v>0</v>
      </c>
      <c r="AG309">
        <v>0</v>
      </c>
      <c r="AH309" t="s">
        <v>58</v>
      </c>
    </row>
    <row r="310" spans="1:34" x14ac:dyDescent="0.3">
      <c r="A310" t="s">
        <v>798</v>
      </c>
      <c r="B310">
        <v>12200173</v>
      </c>
      <c r="C310">
        <v>19267973</v>
      </c>
      <c r="D310" t="s">
        <v>118</v>
      </c>
      <c r="E310" t="s">
        <v>438</v>
      </c>
      <c r="F310" t="s">
        <v>427</v>
      </c>
      <c r="G310" t="s">
        <v>82</v>
      </c>
      <c r="H310" t="s">
        <v>82</v>
      </c>
      <c r="J310" t="s">
        <v>52</v>
      </c>
      <c r="K310" s="15">
        <v>500</v>
      </c>
      <c r="L310" s="15">
        <v>0</v>
      </c>
      <c r="M310" s="13">
        <v>45012</v>
      </c>
      <c r="O310">
        <v>0</v>
      </c>
      <c r="P310">
        <v>0</v>
      </c>
      <c r="Q310">
        <v>0</v>
      </c>
      <c r="R310">
        <v>1745</v>
      </c>
      <c r="S310">
        <v>35019.983876681952</v>
      </c>
      <c r="T310">
        <v>0</v>
      </c>
      <c r="U310">
        <v>0</v>
      </c>
      <c r="V310">
        <v>100001.5186470839</v>
      </c>
      <c r="W310">
        <v>0</v>
      </c>
      <c r="X310">
        <v>0</v>
      </c>
      <c r="Y310">
        <v>136766.50252376584</v>
      </c>
      <c r="Z310">
        <v>0</v>
      </c>
      <c r="AA310">
        <v>136766.50252376584</v>
      </c>
      <c r="AB310" t="s">
        <v>242</v>
      </c>
      <c r="AC310">
        <v>1</v>
      </c>
      <c r="AD310">
        <v>500</v>
      </c>
      <c r="AE310">
        <v>0</v>
      </c>
      <c r="AF310">
        <v>0</v>
      </c>
      <c r="AG310">
        <v>0</v>
      </c>
      <c r="AH310" t="s">
        <v>72</v>
      </c>
    </row>
    <row r="311" spans="1:34" x14ac:dyDescent="0.3">
      <c r="A311" t="s">
        <v>798</v>
      </c>
      <c r="B311">
        <v>22200050</v>
      </c>
      <c r="C311">
        <v>20757954</v>
      </c>
      <c r="D311" t="s">
        <v>120</v>
      </c>
      <c r="E311" t="s">
        <v>435</v>
      </c>
      <c r="F311" t="s">
        <v>428</v>
      </c>
      <c r="G311" t="s">
        <v>82</v>
      </c>
      <c r="H311" t="s">
        <v>82</v>
      </c>
      <c r="J311" t="s">
        <v>52</v>
      </c>
      <c r="K311" s="15">
        <v>500</v>
      </c>
      <c r="L311" s="15">
        <v>0</v>
      </c>
      <c r="M311" s="13">
        <v>45012</v>
      </c>
      <c r="O311">
        <v>0</v>
      </c>
      <c r="P311">
        <v>0</v>
      </c>
      <c r="Q311">
        <v>0</v>
      </c>
      <c r="R311">
        <v>111</v>
      </c>
      <c r="S311">
        <v>4321.2079698630132</v>
      </c>
      <c r="T311">
        <v>0</v>
      </c>
      <c r="U311">
        <v>0</v>
      </c>
      <c r="V311">
        <v>14084.08</v>
      </c>
      <c r="W311">
        <v>0</v>
      </c>
      <c r="X311">
        <v>0</v>
      </c>
      <c r="Y311">
        <v>18516.287969863013</v>
      </c>
      <c r="Z311">
        <v>0</v>
      </c>
      <c r="AA311">
        <v>18516.287969863013</v>
      </c>
      <c r="AB311" t="s">
        <v>242</v>
      </c>
      <c r="AC311">
        <v>3</v>
      </c>
      <c r="AD311">
        <v>1500</v>
      </c>
      <c r="AE311">
        <v>0</v>
      </c>
      <c r="AF311">
        <v>0</v>
      </c>
      <c r="AG311">
        <v>0</v>
      </c>
      <c r="AH311" t="s">
        <v>58</v>
      </c>
    </row>
    <row r="312" spans="1:34" x14ac:dyDescent="0.3">
      <c r="A312" t="s">
        <v>798</v>
      </c>
      <c r="B312">
        <v>32200045</v>
      </c>
      <c r="C312">
        <v>20758058</v>
      </c>
      <c r="D312" t="s">
        <v>120</v>
      </c>
      <c r="E312" t="s">
        <v>435</v>
      </c>
      <c r="F312" t="s">
        <v>429</v>
      </c>
      <c r="G312" t="s">
        <v>82</v>
      </c>
      <c r="H312" t="s">
        <v>82</v>
      </c>
      <c r="J312" t="s">
        <v>52</v>
      </c>
      <c r="K312" s="15">
        <v>500</v>
      </c>
      <c r="L312" s="15">
        <v>0</v>
      </c>
      <c r="M312" s="13">
        <v>45012</v>
      </c>
      <c r="O312">
        <v>0</v>
      </c>
      <c r="P312">
        <v>0</v>
      </c>
      <c r="Q312">
        <v>0</v>
      </c>
      <c r="R312">
        <v>0</v>
      </c>
      <c r="S312">
        <v>5924.0488810958905</v>
      </c>
      <c r="T312">
        <v>0</v>
      </c>
      <c r="U312">
        <v>0</v>
      </c>
      <c r="V312">
        <v>18314.54</v>
      </c>
      <c r="W312">
        <v>0</v>
      </c>
      <c r="X312">
        <v>0</v>
      </c>
      <c r="Y312">
        <v>24238.588881095893</v>
      </c>
      <c r="Z312">
        <v>0</v>
      </c>
      <c r="AA312">
        <v>24238.588881095893</v>
      </c>
      <c r="AB312" t="s">
        <v>242</v>
      </c>
      <c r="AC312">
        <v>3</v>
      </c>
      <c r="AD312">
        <v>1500</v>
      </c>
      <c r="AE312">
        <v>0</v>
      </c>
      <c r="AF312">
        <v>0</v>
      </c>
      <c r="AG312">
        <v>0</v>
      </c>
      <c r="AH312" t="s">
        <v>58</v>
      </c>
    </row>
    <row r="313" spans="1:34" x14ac:dyDescent="0.3">
      <c r="A313" t="s">
        <v>798</v>
      </c>
      <c r="B313">
        <v>42200067</v>
      </c>
      <c r="C313" t="s">
        <v>802</v>
      </c>
      <c r="D313" t="s">
        <v>822</v>
      </c>
      <c r="E313" t="s">
        <v>437</v>
      </c>
      <c r="F313" t="s">
        <v>430</v>
      </c>
      <c r="G313" t="s">
        <v>230</v>
      </c>
      <c r="H313" t="s">
        <v>231</v>
      </c>
      <c r="J313" t="s">
        <v>52</v>
      </c>
      <c r="K313" s="15">
        <v>2000</v>
      </c>
      <c r="L313" s="15">
        <v>0</v>
      </c>
      <c r="M313" s="13">
        <v>45012</v>
      </c>
      <c r="O313">
        <v>0</v>
      </c>
      <c r="P313">
        <v>14608.716687726286</v>
      </c>
      <c r="Q313">
        <v>0</v>
      </c>
      <c r="R313">
        <v>0</v>
      </c>
      <c r="S313">
        <v>4935.4520547945203</v>
      </c>
      <c r="T313">
        <v>16195.591880629638</v>
      </c>
      <c r="U313">
        <v>35887.850467289718</v>
      </c>
      <c r="V313">
        <v>0</v>
      </c>
      <c r="W313">
        <v>230841.1214953271</v>
      </c>
      <c r="X313">
        <v>0</v>
      </c>
      <c r="Y313">
        <v>302468.73258576728</v>
      </c>
      <c r="Z313">
        <v>19804.719469027252</v>
      </c>
      <c r="AA313">
        <v>322273.45205479453</v>
      </c>
      <c r="AB313" t="s">
        <v>242</v>
      </c>
      <c r="AC313">
        <v>1</v>
      </c>
      <c r="AD313">
        <v>2000</v>
      </c>
      <c r="AE313">
        <v>0</v>
      </c>
      <c r="AF313">
        <v>0</v>
      </c>
      <c r="AG313">
        <v>122.38333471106557</v>
      </c>
      <c r="AH313" t="s">
        <v>72</v>
      </c>
    </row>
    <row r="314" spans="1:34" x14ac:dyDescent="0.3">
      <c r="A314" t="s">
        <v>798</v>
      </c>
      <c r="B314">
        <v>52201809</v>
      </c>
      <c r="C314">
        <v>28380987</v>
      </c>
      <c r="D314" t="s">
        <v>164</v>
      </c>
      <c r="E314" t="s">
        <v>438</v>
      </c>
      <c r="F314" t="s">
        <v>431</v>
      </c>
      <c r="G314" t="s">
        <v>82</v>
      </c>
      <c r="H314" t="s">
        <v>83</v>
      </c>
      <c r="J314" t="s">
        <v>52</v>
      </c>
      <c r="K314" s="15">
        <v>1500</v>
      </c>
      <c r="L314" s="15">
        <v>0</v>
      </c>
      <c r="M314" s="13">
        <v>45012</v>
      </c>
      <c r="O314">
        <v>0</v>
      </c>
      <c r="P314">
        <v>0</v>
      </c>
      <c r="Q314">
        <v>0</v>
      </c>
      <c r="R314">
        <v>1010.0331714320796</v>
      </c>
      <c r="S314">
        <v>34409.93824839079</v>
      </c>
      <c r="T314">
        <v>0</v>
      </c>
      <c r="U314">
        <v>0</v>
      </c>
      <c r="V314">
        <v>51867.600635850336</v>
      </c>
      <c r="W314">
        <v>0</v>
      </c>
      <c r="X314">
        <v>0</v>
      </c>
      <c r="Y314">
        <v>87287.572055673198</v>
      </c>
      <c r="Z314">
        <v>6039.42772189688</v>
      </c>
      <c r="AA314">
        <v>93326.999777570076</v>
      </c>
      <c r="AB314" t="s">
        <v>242</v>
      </c>
      <c r="AC314">
        <v>3</v>
      </c>
      <c r="AD314">
        <v>2500</v>
      </c>
      <c r="AE314">
        <v>0</v>
      </c>
      <c r="AF314">
        <v>0</v>
      </c>
      <c r="AG314">
        <v>161.65637570116411</v>
      </c>
      <c r="AH314" t="s">
        <v>58</v>
      </c>
    </row>
    <row r="315" spans="1:34" x14ac:dyDescent="0.3">
      <c r="A315" t="s">
        <v>798</v>
      </c>
      <c r="B315">
        <v>62200005</v>
      </c>
      <c r="C315">
        <v>19887124</v>
      </c>
      <c r="D315" t="s">
        <v>77</v>
      </c>
      <c r="E315" t="s">
        <v>435</v>
      </c>
      <c r="F315" t="s">
        <v>432</v>
      </c>
      <c r="G315" t="s">
        <v>82</v>
      </c>
      <c r="H315" t="s">
        <v>82</v>
      </c>
      <c r="J315" t="s">
        <v>52</v>
      </c>
      <c r="K315" s="15">
        <v>1800</v>
      </c>
      <c r="L315" s="15">
        <v>0</v>
      </c>
      <c r="M315" s="13">
        <v>45012</v>
      </c>
      <c r="O315">
        <v>0</v>
      </c>
      <c r="P315">
        <v>0</v>
      </c>
      <c r="Q315">
        <v>0</v>
      </c>
      <c r="R315">
        <v>0</v>
      </c>
      <c r="S315">
        <v>12025.601058092285</v>
      </c>
      <c r="T315">
        <v>0</v>
      </c>
      <c r="U315">
        <v>0</v>
      </c>
      <c r="V315">
        <v>59598.02512483739</v>
      </c>
      <c r="W315">
        <v>0</v>
      </c>
      <c r="X315">
        <v>0</v>
      </c>
      <c r="Y315">
        <v>71623.626182929671</v>
      </c>
      <c r="Z315">
        <v>0</v>
      </c>
      <c r="AA315">
        <v>71623.626182929671</v>
      </c>
      <c r="AB315" t="s">
        <v>242</v>
      </c>
      <c r="AC315">
        <v>8</v>
      </c>
      <c r="AD315">
        <v>14400</v>
      </c>
      <c r="AE315">
        <v>0</v>
      </c>
      <c r="AF315">
        <v>0</v>
      </c>
      <c r="AG315">
        <v>0</v>
      </c>
      <c r="AH315" t="s">
        <v>58</v>
      </c>
    </row>
    <row r="316" spans="1:34" x14ac:dyDescent="0.3">
      <c r="A316" t="s">
        <v>798</v>
      </c>
      <c r="B316">
        <v>62200006</v>
      </c>
      <c r="C316">
        <v>19887213</v>
      </c>
      <c r="D316" t="s">
        <v>77</v>
      </c>
      <c r="E316" t="s">
        <v>435</v>
      </c>
      <c r="F316" t="s">
        <v>432</v>
      </c>
      <c r="G316" t="s">
        <v>82</v>
      </c>
      <c r="H316" t="s">
        <v>82</v>
      </c>
      <c r="J316" t="s">
        <v>52</v>
      </c>
      <c r="K316" s="15">
        <v>1800</v>
      </c>
      <c r="L316" s="15">
        <v>0</v>
      </c>
      <c r="M316" s="13">
        <v>45012</v>
      </c>
      <c r="O316">
        <v>0</v>
      </c>
      <c r="P316">
        <v>0</v>
      </c>
      <c r="Q316">
        <v>0</v>
      </c>
      <c r="R316">
        <v>0</v>
      </c>
      <c r="S316">
        <v>2004.9954212797929</v>
      </c>
      <c r="T316">
        <v>0</v>
      </c>
      <c r="U316">
        <v>0</v>
      </c>
      <c r="V316">
        <v>29690.410958904111</v>
      </c>
      <c r="W316">
        <v>0</v>
      </c>
      <c r="X316">
        <v>0</v>
      </c>
      <c r="Y316">
        <v>31695.406380183904</v>
      </c>
      <c r="Z316">
        <v>0</v>
      </c>
      <c r="AA316">
        <v>31695.406380183904</v>
      </c>
      <c r="AB316" t="s">
        <v>242</v>
      </c>
      <c r="AC316">
        <v>8</v>
      </c>
      <c r="AD316">
        <v>14400</v>
      </c>
      <c r="AE316">
        <v>0</v>
      </c>
      <c r="AF316">
        <v>0</v>
      </c>
      <c r="AG316">
        <v>0</v>
      </c>
      <c r="AH316" t="s">
        <v>58</v>
      </c>
    </row>
    <row r="317" spans="1:34" x14ac:dyDescent="0.3">
      <c r="A317" t="s">
        <v>798</v>
      </c>
      <c r="B317">
        <v>12200034</v>
      </c>
      <c r="C317" t="s">
        <v>335</v>
      </c>
      <c r="D317" t="s">
        <v>377</v>
      </c>
      <c r="E317" t="s">
        <v>435</v>
      </c>
      <c r="F317" t="s">
        <v>427</v>
      </c>
      <c r="G317" t="s">
        <v>82</v>
      </c>
      <c r="H317" t="s">
        <v>82</v>
      </c>
      <c r="J317" t="s">
        <v>52</v>
      </c>
      <c r="K317" s="15">
        <v>20000</v>
      </c>
      <c r="L317" s="15">
        <v>0</v>
      </c>
      <c r="M317" s="13">
        <v>45012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125000</v>
      </c>
      <c r="W317">
        <v>0</v>
      </c>
      <c r="X317">
        <v>0</v>
      </c>
      <c r="Y317">
        <v>125000</v>
      </c>
      <c r="Z317">
        <v>0</v>
      </c>
      <c r="AA317">
        <v>125000</v>
      </c>
      <c r="AB317" t="s">
        <v>242</v>
      </c>
      <c r="AC317">
        <v>7</v>
      </c>
      <c r="AD317">
        <v>72000</v>
      </c>
      <c r="AE317">
        <v>0</v>
      </c>
      <c r="AF317">
        <v>0</v>
      </c>
      <c r="AG317">
        <v>0</v>
      </c>
      <c r="AH317" t="s">
        <v>58</v>
      </c>
    </row>
    <row r="318" spans="1:34" x14ac:dyDescent="0.3">
      <c r="A318" t="s">
        <v>798</v>
      </c>
      <c r="B318">
        <v>82200005</v>
      </c>
      <c r="C318" t="s">
        <v>106</v>
      </c>
      <c r="D318" t="s">
        <v>519</v>
      </c>
      <c r="E318" t="s">
        <v>440</v>
      </c>
      <c r="F318" t="s">
        <v>433</v>
      </c>
      <c r="G318" t="s">
        <v>674</v>
      </c>
      <c r="H318" t="s">
        <v>83</v>
      </c>
      <c r="J318" t="s">
        <v>425</v>
      </c>
      <c r="K318" s="15">
        <v>870000</v>
      </c>
      <c r="L318" s="15">
        <v>9644</v>
      </c>
      <c r="M318" s="13">
        <v>45012</v>
      </c>
      <c r="O318">
        <v>9644</v>
      </c>
      <c r="P318">
        <v>0</v>
      </c>
      <c r="Q318">
        <v>100196.85</v>
      </c>
      <c r="R318">
        <v>968.97</v>
      </c>
      <c r="S318">
        <v>18571.106041690695</v>
      </c>
      <c r="T318">
        <v>0</v>
      </c>
      <c r="U318">
        <v>0</v>
      </c>
      <c r="V318">
        <v>547935.53395830945</v>
      </c>
      <c r="W318">
        <v>0</v>
      </c>
      <c r="X318">
        <v>0</v>
      </c>
      <c r="Y318">
        <v>677316.4600000002</v>
      </c>
      <c r="Z318">
        <v>39655.464800000016</v>
      </c>
      <c r="AA318">
        <v>716971.92480000015</v>
      </c>
      <c r="AB318" t="s">
        <v>242</v>
      </c>
      <c r="AC318">
        <v>0</v>
      </c>
      <c r="AD318">
        <v>0</v>
      </c>
      <c r="AE318">
        <v>0</v>
      </c>
      <c r="AF318">
        <v>930900</v>
      </c>
      <c r="AG318">
        <v>60900</v>
      </c>
      <c r="AH318" t="s">
        <v>72</v>
      </c>
    </row>
    <row r="319" spans="1:34" x14ac:dyDescent="0.3">
      <c r="A319" t="s">
        <v>798</v>
      </c>
      <c r="B319">
        <v>12200038</v>
      </c>
      <c r="C319">
        <v>19668536</v>
      </c>
      <c r="D319" t="s">
        <v>808</v>
      </c>
      <c r="E319" t="s">
        <v>435</v>
      </c>
      <c r="F319" t="s">
        <v>427</v>
      </c>
      <c r="G319" t="s">
        <v>82</v>
      </c>
      <c r="H319" t="s">
        <v>82</v>
      </c>
      <c r="J319" t="s">
        <v>52</v>
      </c>
      <c r="K319" s="15">
        <v>500</v>
      </c>
      <c r="L319" s="15">
        <v>0</v>
      </c>
      <c r="M319" s="13">
        <v>45013</v>
      </c>
      <c r="O319">
        <v>0</v>
      </c>
      <c r="P319">
        <v>0</v>
      </c>
      <c r="Q319">
        <v>0</v>
      </c>
      <c r="R319">
        <v>0</v>
      </c>
      <c r="S319">
        <v>18080.96446684932</v>
      </c>
      <c r="T319">
        <v>0</v>
      </c>
      <c r="U319">
        <v>0</v>
      </c>
      <c r="V319">
        <v>213784.64</v>
      </c>
      <c r="W319">
        <v>0</v>
      </c>
      <c r="X319">
        <v>0</v>
      </c>
      <c r="Y319">
        <v>231865.60446684933</v>
      </c>
      <c r="Z319">
        <v>0</v>
      </c>
      <c r="AA319">
        <v>231865.60446684933</v>
      </c>
      <c r="AB319" t="s">
        <v>242</v>
      </c>
      <c r="AC319">
        <v>8</v>
      </c>
      <c r="AD319">
        <v>18500</v>
      </c>
      <c r="AE319">
        <v>0</v>
      </c>
      <c r="AF319">
        <v>0</v>
      </c>
      <c r="AG319">
        <v>0</v>
      </c>
      <c r="AH319" t="s">
        <v>58</v>
      </c>
    </row>
    <row r="320" spans="1:34" x14ac:dyDescent="0.3">
      <c r="A320" t="s">
        <v>798</v>
      </c>
      <c r="B320">
        <v>12200122</v>
      </c>
      <c r="C320">
        <v>5900440096</v>
      </c>
      <c r="D320" t="s">
        <v>113</v>
      </c>
      <c r="E320" t="s">
        <v>437</v>
      </c>
      <c r="F320" t="s">
        <v>427</v>
      </c>
      <c r="G320" t="s">
        <v>82</v>
      </c>
      <c r="H320" t="s">
        <v>82</v>
      </c>
      <c r="J320" t="s">
        <v>52</v>
      </c>
      <c r="K320" s="15">
        <v>1776</v>
      </c>
      <c r="L320" s="15">
        <v>0</v>
      </c>
      <c r="M320" s="13">
        <v>45013</v>
      </c>
      <c r="O320">
        <v>0</v>
      </c>
      <c r="P320">
        <v>0</v>
      </c>
      <c r="Q320">
        <v>0</v>
      </c>
      <c r="R320">
        <v>0</v>
      </c>
      <c r="S320">
        <v>5447.4300000000021</v>
      </c>
      <c r="T320">
        <v>0</v>
      </c>
      <c r="U320">
        <v>0</v>
      </c>
      <c r="V320">
        <v>14052.06</v>
      </c>
      <c r="W320">
        <v>0</v>
      </c>
      <c r="X320">
        <v>0</v>
      </c>
      <c r="Y320">
        <v>19499.490000000002</v>
      </c>
      <c r="Z320">
        <v>0</v>
      </c>
      <c r="AA320">
        <v>19499.490000000002</v>
      </c>
      <c r="AB320" t="s">
        <v>242</v>
      </c>
      <c r="AC320">
        <v>1</v>
      </c>
      <c r="AD320">
        <v>1776</v>
      </c>
      <c r="AE320">
        <v>0</v>
      </c>
      <c r="AF320">
        <v>0</v>
      </c>
      <c r="AG320">
        <v>0</v>
      </c>
      <c r="AH320" t="s">
        <v>72</v>
      </c>
    </row>
    <row r="321" spans="1:34" x14ac:dyDescent="0.3">
      <c r="A321" t="s">
        <v>798</v>
      </c>
      <c r="B321">
        <v>52200714</v>
      </c>
      <c r="C321">
        <v>30196144</v>
      </c>
      <c r="D321" t="s">
        <v>860</v>
      </c>
      <c r="E321" t="s">
        <v>438</v>
      </c>
      <c r="F321" t="s">
        <v>431</v>
      </c>
      <c r="G321" t="s">
        <v>82</v>
      </c>
      <c r="H321" t="s">
        <v>83</v>
      </c>
      <c r="J321" t="s">
        <v>52</v>
      </c>
      <c r="K321" s="15">
        <v>2000</v>
      </c>
      <c r="L321" s="15">
        <v>0</v>
      </c>
      <c r="M321" s="13">
        <v>45013</v>
      </c>
      <c r="O321">
        <v>0</v>
      </c>
      <c r="P321">
        <v>0</v>
      </c>
      <c r="Q321">
        <v>0</v>
      </c>
      <c r="R321">
        <v>1013.9149139414326</v>
      </c>
      <c r="S321">
        <v>27616.901949587449</v>
      </c>
      <c r="T321">
        <v>0</v>
      </c>
      <c r="U321">
        <v>0</v>
      </c>
      <c r="V321">
        <v>52336.448598130839</v>
      </c>
      <c r="W321">
        <v>0</v>
      </c>
      <c r="X321">
        <v>0</v>
      </c>
      <c r="Y321">
        <v>80967.265461659728</v>
      </c>
      <c r="Z321">
        <v>5596.7345383402808</v>
      </c>
      <c r="AA321">
        <v>86564.000000000015</v>
      </c>
      <c r="AB321" t="s">
        <v>242</v>
      </c>
      <c r="AC321">
        <v>1</v>
      </c>
      <c r="AD321">
        <v>2000</v>
      </c>
      <c r="AE321">
        <v>0</v>
      </c>
      <c r="AF321">
        <v>0</v>
      </c>
      <c r="AG321">
        <v>129.20004109897218</v>
      </c>
      <c r="AH321" t="s">
        <v>72</v>
      </c>
    </row>
    <row r="322" spans="1:34" x14ac:dyDescent="0.3">
      <c r="A322" t="s">
        <v>798</v>
      </c>
      <c r="B322">
        <v>62200028</v>
      </c>
      <c r="C322">
        <v>23104128</v>
      </c>
      <c r="D322" t="s">
        <v>892</v>
      </c>
      <c r="E322" t="s">
        <v>435</v>
      </c>
      <c r="F322" t="s">
        <v>432</v>
      </c>
      <c r="G322" t="s">
        <v>82</v>
      </c>
      <c r="H322" t="s">
        <v>82</v>
      </c>
      <c r="J322" t="s">
        <v>52</v>
      </c>
      <c r="K322" s="15">
        <v>1000</v>
      </c>
      <c r="L322" s="15">
        <v>0</v>
      </c>
      <c r="M322" s="13">
        <v>45013</v>
      </c>
      <c r="O322">
        <v>0</v>
      </c>
      <c r="P322">
        <v>0</v>
      </c>
      <c r="Q322">
        <v>0</v>
      </c>
      <c r="R322">
        <v>0</v>
      </c>
      <c r="S322">
        <v>9859.4383561643845</v>
      </c>
      <c r="T322">
        <v>0</v>
      </c>
      <c r="U322">
        <v>0</v>
      </c>
      <c r="V322">
        <v>33000</v>
      </c>
      <c r="W322">
        <v>0</v>
      </c>
      <c r="X322">
        <v>0</v>
      </c>
      <c r="Y322">
        <v>42859.438356164384</v>
      </c>
      <c r="Z322">
        <v>0</v>
      </c>
      <c r="AA322">
        <v>42859.438356164384</v>
      </c>
      <c r="AB322" t="s">
        <v>242</v>
      </c>
      <c r="AC322">
        <v>3</v>
      </c>
      <c r="AD322">
        <v>4000</v>
      </c>
      <c r="AE322">
        <v>0</v>
      </c>
      <c r="AF322">
        <v>0</v>
      </c>
      <c r="AG322">
        <v>0</v>
      </c>
      <c r="AH322" t="s">
        <v>58</v>
      </c>
    </row>
    <row r="323" spans="1:34" x14ac:dyDescent="0.3">
      <c r="A323" t="s">
        <v>798</v>
      </c>
      <c r="B323">
        <v>62200104</v>
      </c>
      <c r="C323" t="s">
        <v>245</v>
      </c>
      <c r="D323" t="s">
        <v>316</v>
      </c>
      <c r="E323" t="s">
        <v>435</v>
      </c>
      <c r="F323" t="s">
        <v>432</v>
      </c>
      <c r="G323" t="s">
        <v>82</v>
      </c>
      <c r="H323" t="s">
        <v>82</v>
      </c>
      <c r="J323" t="s">
        <v>52</v>
      </c>
      <c r="K323" s="15">
        <v>2000</v>
      </c>
      <c r="L323" s="15">
        <v>0</v>
      </c>
      <c r="M323" s="13">
        <v>45013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21594.886678808063</v>
      </c>
      <c r="W323">
        <v>0</v>
      </c>
      <c r="X323">
        <v>0</v>
      </c>
      <c r="Y323">
        <v>21594.886678808063</v>
      </c>
      <c r="Z323">
        <v>0</v>
      </c>
      <c r="AA323">
        <v>21594.886678808063</v>
      </c>
      <c r="AB323" t="s">
        <v>242</v>
      </c>
      <c r="AC323">
        <v>8</v>
      </c>
      <c r="AD323">
        <v>16000</v>
      </c>
      <c r="AE323">
        <v>0</v>
      </c>
      <c r="AF323">
        <v>0</v>
      </c>
      <c r="AG323">
        <v>0</v>
      </c>
      <c r="AH323" t="s">
        <v>58</v>
      </c>
    </row>
    <row r="324" spans="1:34" x14ac:dyDescent="0.3">
      <c r="A324" t="s">
        <v>798</v>
      </c>
      <c r="B324">
        <v>82200027</v>
      </c>
      <c r="C324" t="s">
        <v>110</v>
      </c>
      <c r="D324" t="s">
        <v>535</v>
      </c>
      <c r="E324" t="s">
        <v>440</v>
      </c>
      <c r="F324" t="s">
        <v>433</v>
      </c>
      <c r="G324" t="s">
        <v>82</v>
      </c>
      <c r="H324" t="s">
        <v>83</v>
      </c>
      <c r="J324" t="s">
        <v>52</v>
      </c>
      <c r="K324" s="15">
        <v>20000</v>
      </c>
      <c r="L324" s="15">
        <v>0</v>
      </c>
      <c r="M324" s="13">
        <v>45013</v>
      </c>
      <c r="O324">
        <v>0</v>
      </c>
      <c r="P324">
        <v>0</v>
      </c>
      <c r="Q324">
        <v>73753.475953623609</v>
      </c>
      <c r="R324">
        <v>45329.380000000005</v>
      </c>
      <c r="S324">
        <v>126835.41611810883</v>
      </c>
      <c r="T324">
        <v>0</v>
      </c>
      <c r="U324">
        <v>0</v>
      </c>
      <c r="V324">
        <v>1284340.32</v>
      </c>
      <c r="W324">
        <v>0</v>
      </c>
      <c r="X324">
        <v>0</v>
      </c>
      <c r="Y324">
        <v>1530258.5920717325</v>
      </c>
      <c r="Z324">
        <v>98782.301528267635</v>
      </c>
      <c r="AA324">
        <v>1629040.8936000001</v>
      </c>
      <c r="AB324" t="s">
        <v>242</v>
      </c>
      <c r="AC324">
        <v>8</v>
      </c>
      <c r="AD324">
        <v>217000</v>
      </c>
      <c r="AE324">
        <v>0</v>
      </c>
      <c r="AF324">
        <v>0</v>
      </c>
      <c r="AG324">
        <v>13086.272071732383</v>
      </c>
      <c r="AH324" t="s">
        <v>58</v>
      </c>
    </row>
    <row r="325" spans="1:34" x14ac:dyDescent="0.3">
      <c r="A325" t="s">
        <v>798</v>
      </c>
      <c r="B325">
        <v>4132300466</v>
      </c>
      <c r="C325" t="s">
        <v>346</v>
      </c>
      <c r="D325" t="s">
        <v>385</v>
      </c>
      <c r="E325" t="s">
        <v>441</v>
      </c>
      <c r="F325" t="s">
        <v>430</v>
      </c>
      <c r="G325" t="s">
        <v>233</v>
      </c>
      <c r="H325" t="s">
        <v>231</v>
      </c>
      <c r="J325" t="s">
        <v>416</v>
      </c>
      <c r="K325" s="15">
        <v>6.7345006181180112E-2</v>
      </c>
      <c r="L325" s="15">
        <v>0</v>
      </c>
      <c r="M325" s="13">
        <v>45013</v>
      </c>
      <c r="O325">
        <v>0</v>
      </c>
      <c r="P325">
        <v>3823.8854746571615</v>
      </c>
      <c r="Q325">
        <v>0</v>
      </c>
      <c r="R325">
        <v>0</v>
      </c>
      <c r="S325">
        <v>4524.4703538222475</v>
      </c>
      <c r="T325">
        <v>60422.097356561302</v>
      </c>
      <c r="U325">
        <v>0</v>
      </c>
      <c r="V325">
        <v>0</v>
      </c>
      <c r="W325">
        <v>0</v>
      </c>
      <c r="X325">
        <v>0</v>
      </c>
      <c r="Y325">
        <v>68770.453185040707</v>
      </c>
      <c r="Z325">
        <v>4229.5468149592916</v>
      </c>
      <c r="AA325">
        <v>73000</v>
      </c>
      <c r="AB325" t="s">
        <v>242</v>
      </c>
      <c r="AC325">
        <v>0</v>
      </c>
      <c r="AD325">
        <v>0</v>
      </c>
      <c r="AE325">
        <v>0</v>
      </c>
      <c r="AF325">
        <v>0</v>
      </c>
      <c r="AG325">
        <v>0</v>
      </c>
      <c r="AH325" t="s">
        <v>72</v>
      </c>
    </row>
    <row r="326" spans="1:34" x14ac:dyDescent="0.3">
      <c r="A326" t="s">
        <v>798</v>
      </c>
      <c r="B326">
        <v>4132300466</v>
      </c>
      <c r="C326" t="s">
        <v>346</v>
      </c>
      <c r="D326" t="s">
        <v>385</v>
      </c>
      <c r="E326" t="s">
        <v>441</v>
      </c>
      <c r="F326" t="s">
        <v>430</v>
      </c>
      <c r="G326" t="s">
        <v>419</v>
      </c>
      <c r="H326" t="s">
        <v>231</v>
      </c>
      <c r="J326" t="s">
        <v>52</v>
      </c>
      <c r="K326" s="15">
        <v>73000</v>
      </c>
      <c r="L326" s="15">
        <v>0</v>
      </c>
      <c r="M326" s="13">
        <v>45013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">
        <v>242</v>
      </c>
      <c r="AC326">
        <v>1</v>
      </c>
      <c r="AD326">
        <v>73000</v>
      </c>
      <c r="AE326">
        <v>0</v>
      </c>
      <c r="AF326">
        <v>0</v>
      </c>
      <c r="AG326">
        <v>4229.5468149592925</v>
      </c>
      <c r="AH326" t="s">
        <v>58</v>
      </c>
    </row>
    <row r="327" spans="1:34" x14ac:dyDescent="0.3">
      <c r="A327" t="s">
        <v>798</v>
      </c>
      <c r="B327">
        <v>12200041</v>
      </c>
      <c r="C327">
        <v>23113175</v>
      </c>
      <c r="D327" t="s">
        <v>78</v>
      </c>
      <c r="E327" t="s">
        <v>435</v>
      </c>
      <c r="F327" t="s">
        <v>427</v>
      </c>
      <c r="G327" t="s">
        <v>82</v>
      </c>
      <c r="H327" t="s">
        <v>82</v>
      </c>
      <c r="J327" t="s">
        <v>52</v>
      </c>
      <c r="K327" s="15">
        <v>5000</v>
      </c>
      <c r="L327" s="15">
        <v>0</v>
      </c>
      <c r="M327" s="13">
        <v>45014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187565.03142572055</v>
      </c>
      <c r="W327">
        <v>0</v>
      </c>
      <c r="X327">
        <v>0</v>
      </c>
      <c r="Y327">
        <v>187565.03142572055</v>
      </c>
      <c r="Z327">
        <v>0</v>
      </c>
      <c r="AA327">
        <v>187565.03142572055</v>
      </c>
      <c r="AB327" t="s">
        <v>242</v>
      </c>
      <c r="AC327">
        <v>10</v>
      </c>
      <c r="AD327">
        <v>35000</v>
      </c>
      <c r="AE327">
        <v>0</v>
      </c>
      <c r="AF327">
        <v>0</v>
      </c>
      <c r="AG327">
        <v>0</v>
      </c>
      <c r="AH327" t="s">
        <v>58</v>
      </c>
    </row>
    <row r="328" spans="1:34" x14ac:dyDescent="0.3">
      <c r="A328" t="s">
        <v>798</v>
      </c>
      <c r="B328">
        <v>62200025</v>
      </c>
      <c r="C328">
        <v>9001302</v>
      </c>
      <c r="D328" t="s">
        <v>79</v>
      </c>
      <c r="E328" t="s">
        <v>435</v>
      </c>
      <c r="F328" t="s">
        <v>432</v>
      </c>
      <c r="G328" t="s">
        <v>82</v>
      </c>
      <c r="H328" t="s">
        <v>82</v>
      </c>
      <c r="J328" t="s">
        <v>52</v>
      </c>
      <c r="K328" s="15">
        <v>1000</v>
      </c>
      <c r="L328" s="15">
        <v>0</v>
      </c>
      <c r="M328" s="13">
        <v>45014</v>
      </c>
      <c r="O328">
        <v>0</v>
      </c>
      <c r="P328">
        <v>0</v>
      </c>
      <c r="Q328">
        <v>0</v>
      </c>
      <c r="R328">
        <v>0</v>
      </c>
      <c r="S328">
        <v>5985.2332638356165</v>
      </c>
      <c r="T328">
        <v>0</v>
      </c>
      <c r="U328">
        <v>0</v>
      </c>
      <c r="V328">
        <v>16839.61</v>
      </c>
      <c r="W328">
        <v>0</v>
      </c>
      <c r="X328">
        <v>0</v>
      </c>
      <c r="Y328">
        <v>22824.843263835617</v>
      </c>
      <c r="Z328">
        <v>0</v>
      </c>
      <c r="AA328">
        <v>22824.843263835617</v>
      </c>
      <c r="AB328" t="s">
        <v>242</v>
      </c>
      <c r="AC328">
        <v>7</v>
      </c>
      <c r="AD328">
        <v>7370</v>
      </c>
      <c r="AE328">
        <v>0</v>
      </c>
      <c r="AF328">
        <v>0</v>
      </c>
      <c r="AG328">
        <v>0</v>
      </c>
      <c r="AH328" t="s">
        <v>58</v>
      </c>
    </row>
    <row r="329" spans="1:34" x14ac:dyDescent="0.3">
      <c r="A329" t="s">
        <v>798</v>
      </c>
      <c r="B329">
        <v>82200006</v>
      </c>
      <c r="C329" t="s">
        <v>109</v>
      </c>
      <c r="D329" t="s">
        <v>532</v>
      </c>
      <c r="E329" t="s">
        <v>440</v>
      </c>
      <c r="F329" t="s">
        <v>433</v>
      </c>
      <c r="G329" t="s">
        <v>82</v>
      </c>
      <c r="H329" t="s">
        <v>83</v>
      </c>
      <c r="J329" t="s">
        <v>52</v>
      </c>
      <c r="K329" s="15">
        <v>17000</v>
      </c>
      <c r="L329" s="15">
        <v>0</v>
      </c>
      <c r="M329" s="13">
        <v>45014</v>
      </c>
      <c r="O329">
        <v>0</v>
      </c>
      <c r="P329">
        <v>0</v>
      </c>
      <c r="Q329">
        <v>27739.858834880863</v>
      </c>
      <c r="R329">
        <v>105608</v>
      </c>
      <c r="S329">
        <v>67150.312677681446</v>
      </c>
      <c r="T329">
        <v>0</v>
      </c>
      <c r="U329">
        <v>0</v>
      </c>
      <c r="V329">
        <v>535382.06000000006</v>
      </c>
      <c r="W329">
        <v>0</v>
      </c>
      <c r="X329">
        <v>0</v>
      </c>
      <c r="Y329">
        <v>735880.23151256237</v>
      </c>
      <c r="Z329">
        <v>42177.266087437711</v>
      </c>
      <c r="AA329">
        <v>778057.49760000012</v>
      </c>
      <c r="AB329" t="s">
        <v>242</v>
      </c>
      <c r="AC329">
        <v>4</v>
      </c>
      <c r="AD329">
        <v>60000</v>
      </c>
      <c r="AE329">
        <v>0</v>
      </c>
      <c r="AF329">
        <v>0</v>
      </c>
      <c r="AG329">
        <v>3211.9715125622993</v>
      </c>
      <c r="AH329" t="s">
        <v>58</v>
      </c>
    </row>
    <row r="330" spans="1:34" x14ac:dyDescent="0.3">
      <c r="A330" t="s">
        <v>798</v>
      </c>
      <c r="B330">
        <v>52200750</v>
      </c>
      <c r="C330">
        <v>26151957</v>
      </c>
      <c r="D330" t="s">
        <v>141</v>
      </c>
      <c r="E330" t="s">
        <v>438</v>
      </c>
      <c r="F330" t="s">
        <v>431</v>
      </c>
      <c r="G330" t="s">
        <v>82</v>
      </c>
      <c r="H330" t="s">
        <v>83</v>
      </c>
      <c r="J330" t="s">
        <v>52</v>
      </c>
      <c r="K330" s="15">
        <v>1000</v>
      </c>
      <c r="L330" s="15">
        <v>0</v>
      </c>
      <c r="M330" s="13">
        <v>45015</v>
      </c>
      <c r="O330">
        <v>0</v>
      </c>
      <c r="P330">
        <v>0</v>
      </c>
      <c r="Q330">
        <v>0</v>
      </c>
      <c r="R330">
        <v>959.77109105122463</v>
      </c>
      <c r="S330">
        <v>30781.457817198228</v>
      </c>
      <c r="T330">
        <v>0</v>
      </c>
      <c r="U330">
        <v>0</v>
      </c>
      <c r="V330">
        <v>47756.1392450563</v>
      </c>
      <c r="W330">
        <v>0</v>
      </c>
      <c r="X330">
        <v>0</v>
      </c>
      <c r="Y330">
        <v>79497.368153305753</v>
      </c>
      <c r="Z330">
        <v>5497.6317943578179</v>
      </c>
      <c r="AA330">
        <v>84994.999947663571</v>
      </c>
      <c r="AB330" t="s">
        <v>242</v>
      </c>
      <c r="AC330">
        <v>2</v>
      </c>
      <c r="AD330">
        <v>2500</v>
      </c>
      <c r="AE330">
        <v>0</v>
      </c>
      <c r="AF330">
        <v>0</v>
      </c>
      <c r="AG330">
        <v>161.57380969493988</v>
      </c>
      <c r="AH330" t="s">
        <v>58</v>
      </c>
    </row>
    <row r="331" spans="1:34" x14ac:dyDescent="0.3">
      <c r="A331" t="s">
        <v>798</v>
      </c>
      <c r="B331">
        <v>62200028</v>
      </c>
      <c r="C331">
        <v>23104128</v>
      </c>
      <c r="D331" t="s">
        <v>892</v>
      </c>
      <c r="E331" t="s">
        <v>435</v>
      </c>
      <c r="F331" t="s">
        <v>432</v>
      </c>
      <c r="G331" t="s">
        <v>82</v>
      </c>
      <c r="H331" t="s">
        <v>82</v>
      </c>
      <c r="J331" t="s">
        <v>52</v>
      </c>
      <c r="K331" s="15">
        <v>1000</v>
      </c>
      <c r="L331" s="15">
        <v>0</v>
      </c>
      <c r="M331" s="13">
        <v>45015</v>
      </c>
      <c r="O331">
        <v>0</v>
      </c>
      <c r="P331">
        <v>0</v>
      </c>
      <c r="Q331">
        <v>0</v>
      </c>
      <c r="R331">
        <v>0</v>
      </c>
      <c r="S331">
        <v>8859.4383561643845</v>
      </c>
      <c r="T331">
        <v>0</v>
      </c>
      <c r="U331">
        <v>0</v>
      </c>
      <c r="V331">
        <v>33000</v>
      </c>
      <c r="W331">
        <v>0</v>
      </c>
      <c r="X331">
        <v>0</v>
      </c>
      <c r="Y331">
        <v>41859.438356164384</v>
      </c>
      <c r="Z331">
        <v>0</v>
      </c>
      <c r="AA331">
        <v>41859.438356164384</v>
      </c>
      <c r="AB331" t="s">
        <v>242</v>
      </c>
      <c r="AC331">
        <v>4</v>
      </c>
      <c r="AD331">
        <v>5000</v>
      </c>
      <c r="AE331">
        <v>0</v>
      </c>
      <c r="AF331">
        <v>0</v>
      </c>
      <c r="AG331">
        <v>0</v>
      </c>
      <c r="AH331" t="s">
        <v>58</v>
      </c>
    </row>
    <row r="332" spans="1:34" x14ac:dyDescent="0.3">
      <c r="A332" t="s">
        <v>798</v>
      </c>
      <c r="B332">
        <v>12200034</v>
      </c>
      <c r="C332" t="s">
        <v>335</v>
      </c>
      <c r="D332" t="s">
        <v>377</v>
      </c>
      <c r="E332" t="s">
        <v>435</v>
      </c>
      <c r="F332" t="s">
        <v>427</v>
      </c>
      <c r="G332" t="s">
        <v>417</v>
      </c>
      <c r="H332" t="s">
        <v>82</v>
      </c>
      <c r="J332" t="s">
        <v>52</v>
      </c>
      <c r="K332" s="15">
        <v>125000</v>
      </c>
      <c r="L332" s="15">
        <v>0</v>
      </c>
      <c r="M332" s="13">
        <v>45015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">
        <v>242</v>
      </c>
      <c r="AC332">
        <v>8</v>
      </c>
      <c r="AD332">
        <v>197000</v>
      </c>
      <c r="AE332">
        <v>0</v>
      </c>
      <c r="AF332">
        <v>0</v>
      </c>
      <c r="AG332">
        <v>0</v>
      </c>
      <c r="AH332" t="s">
        <v>58</v>
      </c>
    </row>
    <row r="333" spans="1:34" x14ac:dyDescent="0.3">
      <c r="A333" t="s">
        <v>798</v>
      </c>
      <c r="B333">
        <v>52200058</v>
      </c>
      <c r="C333" t="s">
        <v>456</v>
      </c>
      <c r="D333" t="s">
        <v>525</v>
      </c>
      <c r="E333" t="s">
        <v>436</v>
      </c>
      <c r="F333" t="s">
        <v>431</v>
      </c>
      <c r="G333" t="s">
        <v>417</v>
      </c>
      <c r="H333" t="s">
        <v>83</v>
      </c>
      <c r="J333" t="s">
        <v>52</v>
      </c>
      <c r="K333" s="15">
        <v>21300</v>
      </c>
      <c r="L333" s="15">
        <v>0</v>
      </c>
      <c r="M333" s="13">
        <v>45015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">
        <v>242</v>
      </c>
      <c r="AC333">
        <v>3</v>
      </c>
      <c r="AD333">
        <v>91300</v>
      </c>
      <c r="AE333">
        <v>0</v>
      </c>
      <c r="AF333">
        <v>0</v>
      </c>
      <c r="AG333">
        <v>5944.8093049329145</v>
      </c>
      <c r="AH333" t="s">
        <v>58</v>
      </c>
    </row>
    <row r="334" spans="1:34" x14ac:dyDescent="0.3">
      <c r="A334" t="s">
        <v>798</v>
      </c>
      <c r="B334">
        <v>12200001</v>
      </c>
      <c r="C334">
        <v>11371109</v>
      </c>
      <c r="D334" t="s">
        <v>111</v>
      </c>
      <c r="E334" t="s">
        <v>435</v>
      </c>
      <c r="F334" t="s">
        <v>427</v>
      </c>
      <c r="G334" t="s">
        <v>82</v>
      </c>
      <c r="H334" t="s">
        <v>82</v>
      </c>
      <c r="J334" t="s">
        <v>52</v>
      </c>
      <c r="K334" s="15">
        <v>1500</v>
      </c>
      <c r="L334" s="15">
        <v>0</v>
      </c>
      <c r="M334" s="13">
        <v>45016</v>
      </c>
      <c r="O334">
        <v>0</v>
      </c>
      <c r="P334">
        <v>0</v>
      </c>
      <c r="Q334">
        <v>0</v>
      </c>
      <c r="R334">
        <v>0</v>
      </c>
      <c r="S334">
        <v>37274.413513237239</v>
      </c>
      <c r="T334">
        <v>0</v>
      </c>
      <c r="U334">
        <v>0</v>
      </c>
      <c r="V334">
        <v>107144.0766813306</v>
      </c>
      <c r="W334">
        <v>0</v>
      </c>
      <c r="X334">
        <v>0</v>
      </c>
      <c r="Y334">
        <v>144418.49019456783</v>
      </c>
      <c r="Z334">
        <v>0</v>
      </c>
      <c r="AA334">
        <v>144418.49019456783</v>
      </c>
      <c r="AB334" t="s">
        <v>242</v>
      </c>
      <c r="AC334">
        <v>4</v>
      </c>
      <c r="AD334">
        <v>6000</v>
      </c>
      <c r="AE334">
        <v>0</v>
      </c>
      <c r="AF334">
        <v>0</v>
      </c>
      <c r="AG334">
        <v>0</v>
      </c>
      <c r="AH334" t="s">
        <v>58</v>
      </c>
    </row>
    <row r="335" spans="1:34" x14ac:dyDescent="0.3">
      <c r="A335" t="s">
        <v>798</v>
      </c>
      <c r="B335">
        <v>12200198</v>
      </c>
      <c r="C335">
        <v>21155200</v>
      </c>
      <c r="D335" t="s">
        <v>815</v>
      </c>
      <c r="E335" t="s">
        <v>438</v>
      </c>
      <c r="F335" t="s">
        <v>427</v>
      </c>
      <c r="G335" t="s">
        <v>82</v>
      </c>
      <c r="H335" t="s">
        <v>82</v>
      </c>
      <c r="J335" t="s">
        <v>52</v>
      </c>
      <c r="K335" s="15">
        <v>3000</v>
      </c>
      <c r="L335" s="15">
        <v>0</v>
      </c>
      <c r="M335" s="13">
        <v>45016</v>
      </c>
      <c r="O335">
        <v>0</v>
      </c>
      <c r="P335">
        <v>0</v>
      </c>
      <c r="Q335">
        <v>0</v>
      </c>
      <c r="R335">
        <v>0</v>
      </c>
      <c r="S335">
        <v>32252.267691327819</v>
      </c>
      <c r="T335">
        <v>0</v>
      </c>
      <c r="U335">
        <v>0</v>
      </c>
      <c r="V335">
        <v>142102.18304325169</v>
      </c>
      <c r="W335">
        <v>0</v>
      </c>
      <c r="X335">
        <v>0</v>
      </c>
      <c r="Y335">
        <v>174354.4507345795</v>
      </c>
      <c r="Z335">
        <v>0</v>
      </c>
      <c r="AA335">
        <v>174354.4507345795</v>
      </c>
      <c r="AB335" t="s">
        <v>242</v>
      </c>
      <c r="AC335">
        <v>3</v>
      </c>
      <c r="AD335">
        <v>7000</v>
      </c>
      <c r="AE335">
        <v>0</v>
      </c>
      <c r="AF335">
        <v>0</v>
      </c>
      <c r="AG335">
        <v>0</v>
      </c>
      <c r="AH335" t="s">
        <v>58</v>
      </c>
    </row>
    <row r="336" spans="1:34" x14ac:dyDescent="0.3">
      <c r="A336" t="s">
        <v>798</v>
      </c>
      <c r="B336">
        <v>22200010</v>
      </c>
      <c r="C336">
        <v>18928437</v>
      </c>
      <c r="D336" t="s">
        <v>85</v>
      </c>
      <c r="E336" t="s">
        <v>435</v>
      </c>
      <c r="F336" t="s">
        <v>428</v>
      </c>
      <c r="G336" t="s">
        <v>82</v>
      </c>
      <c r="H336" t="s">
        <v>82</v>
      </c>
      <c r="J336" t="s">
        <v>52</v>
      </c>
      <c r="K336" s="15">
        <v>1000</v>
      </c>
      <c r="L336" s="15">
        <v>0</v>
      </c>
      <c r="M336" s="13">
        <v>45016</v>
      </c>
      <c r="O336">
        <v>0</v>
      </c>
      <c r="P336">
        <v>0</v>
      </c>
      <c r="Q336">
        <v>0</v>
      </c>
      <c r="R336">
        <v>0</v>
      </c>
      <c r="S336">
        <v>4431.76186550685</v>
      </c>
      <c r="T336">
        <v>0</v>
      </c>
      <c r="U336">
        <v>0</v>
      </c>
      <c r="V336">
        <v>18637.990000000002</v>
      </c>
      <c r="W336">
        <v>0</v>
      </c>
      <c r="X336">
        <v>0</v>
      </c>
      <c r="Y336">
        <v>23069.751865506852</v>
      </c>
      <c r="Z336">
        <v>0</v>
      </c>
      <c r="AA336">
        <v>23069.751865506852</v>
      </c>
      <c r="AB336" t="s">
        <v>242</v>
      </c>
      <c r="AC336">
        <v>7</v>
      </c>
      <c r="AD336">
        <v>5000</v>
      </c>
      <c r="AE336">
        <v>0</v>
      </c>
      <c r="AF336">
        <v>0</v>
      </c>
      <c r="AG336">
        <v>0</v>
      </c>
      <c r="AH336" t="s">
        <v>58</v>
      </c>
    </row>
    <row r="337" spans="1:34" x14ac:dyDescent="0.3">
      <c r="A337" t="s">
        <v>798</v>
      </c>
      <c r="B337">
        <v>22200068</v>
      </c>
      <c r="C337">
        <v>20579132</v>
      </c>
      <c r="D337" t="s">
        <v>80</v>
      </c>
      <c r="E337" t="s">
        <v>435</v>
      </c>
      <c r="F337" t="s">
        <v>428</v>
      </c>
      <c r="G337" t="s">
        <v>82</v>
      </c>
      <c r="H337" t="s">
        <v>82</v>
      </c>
      <c r="J337" t="s">
        <v>52</v>
      </c>
      <c r="K337" s="15">
        <v>500</v>
      </c>
      <c r="L337" s="15">
        <v>0</v>
      </c>
      <c r="M337" s="13">
        <v>45016</v>
      </c>
      <c r="O337">
        <v>0</v>
      </c>
      <c r="P337">
        <v>0</v>
      </c>
      <c r="Q337">
        <v>0</v>
      </c>
      <c r="R337">
        <v>0</v>
      </c>
      <c r="S337">
        <v>4557.3615921232877</v>
      </c>
      <c r="T337">
        <v>0</v>
      </c>
      <c r="U337">
        <v>0</v>
      </c>
      <c r="V337">
        <v>21133.91</v>
      </c>
      <c r="W337">
        <v>0</v>
      </c>
      <c r="X337">
        <v>0</v>
      </c>
      <c r="Y337">
        <v>25691.271592123288</v>
      </c>
      <c r="Z337">
        <v>0</v>
      </c>
      <c r="AA337">
        <v>25691.271592123288</v>
      </c>
      <c r="AB337" t="s">
        <v>242</v>
      </c>
      <c r="AC337">
        <v>5</v>
      </c>
      <c r="AD337">
        <v>4000</v>
      </c>
      <c r="AE337">
        <v>0</v>
      </c>
      <c r="AF337">
        <v>0</v>
      </c>
      <c r="AG337">
        <v>0</v>
      </c>
      <c r="AH337" t="s">
        <v>58</v>
      </c>
    </row>
    <row r="338" spans="1:34" x14ac:dyDescent="0.3">
      <c r="A338" t="s">
        <v>798</v>
      </c>
      <c r="B338">
        <v>22200070</v>
      </c>
      <c r="C338">
        <v>20608378</v>
      </c>
      <c r="D338" t="s">
        <v>817</v>
      </c>
      <c r="E338" t="s">
        <v>435</v>
      </c>
      <c r="F338" t="s">
        <v>428</v>
      </c>
      <c r="G338" t="s">
        <v>82</v>
      </c>
      <c r="H338" t="s">
        <v>82</v>
      </c>
      <c r="J338" t="s">
        <v>52</v>
      </c>
      <c r="K338" s="15">
        <v>300</v>
      </c>
      <c r="L338" s="15">
        <v>0</v>
      </c>
      <c r="M338" s="13">
        <v>45016</v>
      </c>
      <c r="O338">
        <v>0</v>
      </c>
      <c r="P338">
        <v>0</v>
      </c>
      <c r="Q338">
        <v>0</v>
      </c>
      <c r="R338">
        <v>891</v>
      </c>
      <c r="S338">
        <v>2325.0903958904109</v>
      </c>
      <c r="T338">
        <v>0</v>
      </c>
      <c r="U338">
        <v>0</v>
      </c>
      <c r="V338">
        <v>7055.98</v>
      </c>
      <c r="W338">
        <v>0</v>
      </c>
      <c r="X338">
        <v>0</v>
      </c>
      <c r="Y338">
        <v>10272.070395890411</v>
      </c>
      <c r="Z338">
        <v>0</v>
      </c>
      <c r="AA338">
        <v>10272.070395890411</v>
      </c>
      <c r="AB338" t="s">
        <v>242</v>
      </c>
      <c r="AC338">
        <v>3</v>
      </c>
      <c r="AD338">
        <v>900</v>
      </c>
      <c r="AE338">
        <v>0</v>
      </c>
      <c r="AF338">
        <v>0</v>
      </c>
      <c r="AG338">
        <v>0</v>
      </c>
      <c r="AH338" t="s">
        <v>58</v>
      </c>
    </row>
    <row r="339" spans="1:34" x14ac:dyDescent="0.3">
      <c r="A339" t="s">
        <v>798</v>
      </c>
      <c r="B339">
        <v>32200060</v>
      </c>
      <c r="C339">
        <v>20609000</v>
      </c>
      <c r="D339" t="s">
        <v>817</v>
      </c>
      <c r="E339" t="s">
        <v>435</v>
      </c>
      <c r="F339" t="s">
        <v>429</v>
      </c>
      <c r="G339" t="s">
        <v>82</v>
      </c>
      <c r="H339" t="s">
        <v>82</v>
      </c>
      <c r="J339" t="s">
        <v>52</v>
      </c>
      <c r="K339" s="15">
        <v>300</v>
      </c>
      <c r="L339" s="15">
        <v>0</v>
      </c>
      <c r="M339" s="13">
        <v>45016</v>
      </c>
      <c r="O339">
        <v>0</v>
      </c>
      <c r="P339">
        <v>0</v>
      </c>
      <c r="Q339">
        <v>0</v>
      </c>
      <c r="R339">
        <v>791</v>
      </c>
      <c r="S339">
        <v>1970.1638136986301</v>
      </c>
      <c r="T339">
        <v>0</v>
      </c>
      <c r="U339">
        <v>0</v>
      </c>
      <c r="V339">
        <v>5293.8</v>
      </c>
      <c r="W339">
        <v>0</v>
      </c>
      <c r="X339">
        <v>0</v>
      </c>
      <c r="Y339">
        <v>8054.9638136986305</v>
      </c>
      <c r="Z339">
        <v>0</v>
      </c>
      <c r="AA339">
        <v>8054.9638136986305</v>
      </c>
      <c r="AB339" t="s">
        <v>242</v>
      </c>
      <c r="AC339">
        <v>3</v>
      </c>
      <c r="AD339">
        <v>900</v>
      </c>
      <c r="AE339">
        <v>0</v>
      </c>
      <c r="AF339">
        <v>0</v>
      </c>
      <c r="AG339">
        <v>0</v>
      </c>
      <c r="AH339" t="s">
        <v>58</v>
      </c>
    </row>
    <row r="340" spans="1:34" x14ac:dyDescent="0.3">
      <c r="A340" t="s">
        <v>798</v>
      </c>
      <c r="B340">
        <v>42200528</v>
      </c>
      <c r="C340">
        <v>2759051559</v>
      </c>
      <c r="D340" t="s">
        <v>826</v>
      </c>
      <c r="E340" t="s">
        <v>439</v>
      </c>
      <c r="F340" t="s">
        <v>430</v>
      </c>
      <c r="G340" t="s">
        <v>232</v>
      </c>
      <c r="H340" t="s">
        <v>71</v>
      </c>
      <c r="J340" t="s">
        <v>52</v>
      </c>
      <c r="K340" s="15">
        <v>5000</v>
      </c>
      <c r="L340" s="15">
        <v>0</v>
      </c>
      <c r="M340" s="13">
        <v>45016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70660.448598130839</v>
      </c>
      <c r="Y340">
        <v>70660.448598130839</v>
      </c>
      <c r="Z340">
        <v>4946.2314018691595</v>
      </c>
      <c r="AA340">
        <v>75606.679999999993</v>
      </c>
      <c r="AB340" t="s">
        <v>242</v>
      </c>
      <c r="AC340">
        <v>1</v>
      </c>
      <c r="AD340">
        <v>5000</v>
      </c>
      <c r="AE340">
        <v>0</v>
      </c>
      <c r="AF340">
        <v>0</v>
      </c>
      <c r="AG340">
        <v>327.10280373831756</v>
      </c>
      <c r="AH340" t="s">
        <v>72</v>
      </c>
    </row>
    <row r="341" spans="1:34" x14ac:dyDescent="0.3">
      <c r="A341" t="s">
        <v>798</v>
      </c>
      <c r="B341">
        <v>52200412</v>
      </c>
      <c r="C341">
        <v>25145601</v>
      </c>
      <c r="D341" t="s">
        <v>86</v>
      </c>
      <c r="E341" t="s">
        <v>436</v>
      </c>
      <c r="F341" t="s">
        <v>431</v>
      </c>
      <c r="G341" t="s">
        <v>82</v>
      </c>
      <c r="H341" t="s">
        <v>83</v>
      </c>
      <c r="J341" t="s">
        <v>52</v>
      </c>
      <c r="K341" s="15">
        <v>1000</v>
      </c>
      <c r="L341" s="15">
        <v>0</v>
      </c>
      <c r="M341" s="13">
        <v>45016</v>
      </c>
      <c r="O341">
        <v>0</v>
      </c>
      <c r="P341">
        <v>0</v>
      </c>
      <c r="Q341">
        <v>0</v>
      </c>
      <c r="R341">
        <v>848.96203284448984</v>
      </c>
      <c r="S341">
        <v>29494.987185654987</v>
      </c>
      <c r="T341">
        <v>0</v>
      </c>
      <c r="U341">
        <v>0</v>
      </c>
      <c r="V341">
        <v>52616.263104201244</v>
      </c>
      <c r="W341">
        <v>0</v>
      </c>
      <c r="X341">
        <v>0</v>
      </c>
      <c r="Y341">
        <v>82960.212322700725</v>
      </c>
      <c r="Z341">
        <v>5747.7875202899359</v>
      </c>
      <c r="AA341">
        <v>88707.999842990655</v>
      </c>
      <c r="AB341" t="s">
        <v>242</v>
      </c>
      <c r="AC341">
        <v>5</v>
      </c>
      <c r="AD341">
        <v>4100</v>
      </c>
      <c r="AE341">
        <v>0</v>
      </c>
      <c r="AF341">
        <v>0</v>
      </c>
      <c r="AG341">
        <v>265.47415168141532</v>
      </c>
      <c r="AH341" t="s">
        <v>58</v>
      </c>
    </row>
    <row r="342" spans="1:34" x14ac:dyDescent="0.3">
      <c r="A342" t="s">
        <v>798</v>
      </c>
      <c r="B342">
        <v>52200548</v>
      </c>
      <c r="C342">
        <v>6001920035</v>
      </c>
      <c r="D342" t="s">
        <v>855</v>
      </c>
      <c r="E342" t="s">
        <v>437</v>
      </c>
      <c r="F342" t="s">
        <v>431</v>
      </c>
      <c r="G342" t="s">
        <v>82</v>
      </c>
      <c r="H342" t="s">
        <v>83</v>
      </c>
      <c r="J342" t="s">
        <v>52</v>
      </c>
      <c r="K342" s="15">
        <v>1000</v>
      </c>
      <c r="L342" s="15">
        <v>0</v>
      </c>
      <c r="M342" s="13">
        <v>45016</v>
      </c>
      <c r="O342">
        <v>0</v>
      </c>
      <c r="P342">
        <v>0</v>
      </c>
      <c r="Q342">
        <v>0</v>
      </c>
      <c r="R342">
        <v>0</v>
      </c>
      <c r="S342">
        <v>1688.9065420560739</v>
      </c>
      <c r="T342">
        <v>0</v>
      </c>
      <c r="U342">
        <v>0</v>
      </c>
      <c r="V342">
        <v>5553.8971962616824</v>
      </c>
      <c r="W342">
        <v>0</v>
      </c>
      <c r="X342">
        <v>0</v>
      </c>
      <c r="Y342">
        <v>7242.8037383177561</v>
      </c>
      <c r="Z342">
        <v>506.99626168224296</v>
      </c>
      <c r="AA342">
        <v>7749.7999999999993</v>
      </c>
      <c r="AB342" t="s">
        <v>242</v>
      </c>
      <c r="AC342">
        <v>1</v>
      </c>
      <c r="AD342">
        <v>1000</v>
      </c>
      <c r="AE342">
        <v>0</v>
      </c>
      <c r="AF342">
        <v>0</v>
      </c>
      <c r="AG342">
        <v>65.420560747663558</v>
      </c>
      <c r="AH342" t="s">
        <v>72</v>
      </c>
    </row>
    <row r="343" spans="1:34" x14ac:dyDescent="0.3">
      <c r="A343" t="s">
        <v>798</v>
      </c>
      <c r="B343">
        <v>52200759</v>
      </c>
      <c r="C343">
        <v>28121445</v>
      </c>
      <c r="D343" t="s">
        <v>861</v>
      </c>
      <c r="E343" t="s">
        <v>438</v>
      </c>
      <c r="F343" t="s">
        <v>431</v>
      </c>
      <c r="G343" t="s">
        <v>82</v>
      </c>
      <c r="H343" t="s">
        <v>83</v>
      </c>
      <c r="J343" t="s">
        <v>52</v>
      </c>
      <c r="K343" s="15">
        <v>1500</v>
      </c>
      <c r="L343" s="15">
        <v>0</v>
      </c>
      <c r="M343" s="13">
        <v>45016</v>
      </c>
      <c r="O343">
        <v>0</v>
      </c>
      <c r="P343">
        <v>0</v>
      </c>
      <c r="Q343">
        <v>0</v>
      </c>
      <c r="R343">
        <v>866.29675983377558</v>
      </c>
      <c r="S343">
        <v>11997.536804141391</v>
      </c>
      <c r="T343">
        <v>0</v>
      </c>
      <c r="U343">
        <v>0</v>
      </c>
      <c r="V343">
        <v>39834.895745406931</v>
      </c>
      <c r="W343">
        <v>0</v>
      </c>
      <c r="X343">
        <v>0</v>
      </c>
      <c r="Y343">
        <v>52698.729309382099</v>
      </c>
      <c r="Z343">
        <v>3628.2702784683829</v>
      </c>
      <c r="AA343">
        <v>56326.999587850485</v>
      </c>
      <c r="AB343" t="s">
        <v>242</v>
      </c>
      <c r="AC343">
        <v>1</v>
      </c>
      <c r="AD343">
        <v>1500</v>
      </c>
      <c r="AE343">
        <v>0</v>
      </c>
      <c r="AF343">
        <v>0</v>
      </c>
      <c r="AG343">
        <v>96.51474129753683</v>
      </c>
      <c r="AH343" t="s">
        <v>72</v>
      </c>
    </row>
    <row r="344" spans="1:34" x14ac:dyDescent="0.3">
      <c r="A344" t="s">
        <v>798</v>
      </c>
      <c r="B344">
        <v>62200080</v>
      </c>
      <c r="C344">
        <v>22425262</v>
      </c>
      <c r="D344" t="s">
        <v>80</v>
      </c>
      <c r="E344" t="s">
        <v>435</v>
      </c>
      <c r="F344" t="s">
        <v>432</v>
      </c>
      <c r="G344" t="s">
        <v>82</v>
      </c>
      <c r="H344" t="s">
        <v>82</v>
      </c>
      <c r="J344" t="s">
        <v>52</v>
      </c>
      <c r="K344" s="15">
        <v>500</v>
      </c>
      <c r="L344" s="15">
        <v>0</v>
      </c>
      <c r="M344" s="13">
        <v>45016</v>
      </c>
      <c r="O344">
        <v>0</v>
      </c>
      <c r="P344">
        <v>0</v>
      </c>
      <c r="Q344">
        <v>0</v>
      </c>
      <c r="R344">
        <v>111</v>
      </c>
      <c r="S344">
        <v>12128.219178082192</v>
      </c>
      <c r="T344">
        <v>0</v>
      </c>
      <c r="U344">
        <v>0</v>
      </c>
      <c r="V344">
        <v>30000</v>
      </c>
      <c r="W344">
        <v>0</v>
      </c>
      <c r="X344">
        <v>0</v>
      </c>
      <c r="Y344">
        <v>42239.219178082189</v>
      </c>
      <c r="Z344">
        <v>0</v>
      </c>
      <c r="AA344">
        <v>42239.219178082189</v>
      </c>
      <c r="AB344" t="s">
        <v>242</v>
      </c>
      <c r="AC344">
        <v>3</v>
      </c>
      <c r="AD344">
        <v>1500</v>
      </c>
      <c r="AE344">
        <v>0</v>
      </c>
      <c r="AF344">
        <v>0</v>
      </c>
      <c r="AG344">
        <v>0</v>
      </c>
      <c r="AH344" t="s">
        <v>58</v>
      </c>
    </row>
    <row r="345" spans="1:34" x14ac:dyDescent="0.3">
      <c r="A345" t="s">
        <v>798</v>
      </c>
      <c r="B345">
        <v>4132300738</v>
      </c>
      <c r="C345">
        <v>3040019048</v>
      </c>
      <c r="D345" t="s">
        <v>905</v>
      </c>
      <c r="E345" t="s">
        <v>441</v>
      </c>
      <c r="F345" t="s">
        <v>430</v>
      </c>
      <c r="G345" t="s">
        <v>238</v>
      </c>
      <c r="H345" t="s">
        <v>236</v>
      </c>
      <c r="J345" t="s">
        <v>52</v>
      </c>
      <c r="K345" s="15">
        <v>500</v>
      </c>
      <c r="L345" s="15">
        <v>0</v>
      </c>
      <c r="M345" s="13">
        <v>45016</v>
      </c>
      <c r="O345">
        <v>0</v>
      </c>
      <c r="P345">
        <v>0</v>
      </c>
      <c r="Q345">
        <v>0</v>
      </c>
      <c r="R345">
        <v>0</v>
      </c>
      <c r="S345">
        <v>94206.734899990843</v>
      </c>
      <c r="T345">
        <v>0</v>
      </c>
      <c r="U345">
        <v>0</v>
      </c>
      <c r="V345">
        <v>164189.0712111211</v>
      </c>
      <c r="W345">
        <v>0</v>
      </c>
      <c r="X345">
        <v>0</v>
      </c>
      <c r="Y345">
        <v>258395.80611111195</v>
      </c>
      <c r="Z345">
        <v>11493.234984778479</v>
      </c>
      <c r="AA345">
        <v>269889.04109589045</v>
      </c>
      <c r="AB345" t="s">
        <v>242</v>
      </c>
      <c r="AC345">
        <v>1</v>
      </c>
      <c r="AD345">
        <v>500</v>
      </c>
      <c r="AE345">
        <v>0</v>
      </c>
      <c r="AF345">
        <v>0</v>
      </c>
      <c r="AG345">
        <v>20.783706810308274</v>
      </c>
      <c r="AH345" t="s">
        <v>72</v>
      </c>
    </row>
    <row r="346" spans="1:34" x14ac:dyDescent="0.3">
      <c r="A346" t="s">
        <v>798</v>
      </c>
      <c r="B346">
        <v>32200011</v>
      </c>
      <c r="C346" t="s">
        <v>243</v>
      </c>
      <c r="D346" t="s">
        <v>315</v>
      </c>
      <c r="E346" t="s">
        <v>435</v>
      </c>
      <c r="F346" t="s">
        <v>429</v>
      </c>
      <c r="G346" t="s">
        <v>328</v>
      </c>
      <c r="H346" t="s">
        <v>82</v>
      </c>
      <c r="J346" t="s">
        <v>52</v>
      </c>
      <c r="K346" s="15">
        <v>1300</v>
      </c>
      <c r="L346" s="15">
        <v>0</v>
      </c>
      <c r="M346" s="13">
        <v>45016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">
        <v>242</v>
      </c>
      <c r="AC346">
        <v>9</v>
      </c>
      <c r="AD346">
        <v>13800</v>
      </c>
      <c r="AE346">
        <v>0</v>
      </c>
      <c r="AF346">
        <v>0</v>
      </c>
      <c r="AG346">
        <v>0</v>
      </c>
      <c r="AH346" t="s">
        <v>58</v>
      </c>
    </row>
    <row r="347" spans="1:34" x14ac:dyDescent="0.3">
      <c r="A347" t="s">
        <v>798</v>
      </c>
      <c r="B347">
        <v>82200024</v>
      </c>
      <c r="C347" t="s">
        <v>246</v>
      </c>
      <c r="D347" t="s">
        <v>317</v>
      </c>
      <c r="E347" t="s">
        <v>440</v>
      </c>
      <c r="F347" t="s">
        <v>433</v>
      </c>
      <c r="G347" t="s">
        <v>82</v>
      </c>
      <c r="H347" t="s">
        <v>83</v>
      </c>
      <c r="J347" t="s">
        <v>52</v>
      </c>
      <c r="K347" s="15">
        <v>20000</v>
      </c>
      <c r="L347" s="15">
        <v>0</v>
      </c>
      <c r="M347" s="13">
        <v>45016</v>
      </c>
      <c r="O347">
        <v>0</v>
      </c>
      <c r="P347">
        <v>0</v>
      </c>
      <c r="Q347">
        <v>22637.939020123951</v>
      </c>
      <c r="R347">
        <v>4997.25</v>
      </c>
      <c r="S347">
        <v>0</v>
      </c>
      <c r="T347">
        <v>0</v>
      </c>
      <c r="U347">
        <v>0</v>
      </c>
      <c r="V347">
        <v>259455.72745782809</v>
      </c>
      <c r="W347">
        <v>0</v>
      </c>
      <c r="X347">
        <v>0</v>
      </c>
      <c r="Y347">
        <v>287090.91647795204</v>
      </c>
      <c r="Z347">
        <v>18161.900922047967</v>
      </c>
      <c r="AA347">
        <v>305252.8174</v>
      </c>
      <c r="AB347" t="s">
        <v>242</v>
      </c>
      <c r="AC347">
        <v>4</v>
      </c>
      <c r="AD347">
        <v>80000</v>
      </c>
      <c r="AE347">
        <v>0</v>
      </c>
      <c r="AF347">
        <v>0</v>
      </c>
      <c r="AG347">
        <v>4724.5864779520361</v>
      </c>
      <c r="AH347" t="s">
        <v>58</v>
      </c>
    </row>
    <row r="348" spans="1:34" x14ac:dyDescent="0.3">
      <c r="A348" t="s">
        <v>798</v>
      </c>
      <c r="B348">
        <v>22200039</v>
      </c>
      <c r="C348" t="s">
        <v>340</v>
      </c>
      <c r="D348" t="s">
        <v>382</v>
      </c>
      <c r="E348" t="s">
        <v>435</v>
      </c>
      <c r="F348" t="s">
        <v>428</v>
      </c>
      <c r="G348" t="s">
        <v>82</v>
      </c>
      <c r="H348" t="s">
        <v>82</v>
      </c>
      <c r="J348" t="s">
        <v>52</v>
      </c>
      <c r="K348" s="15">
        <v>3000</v>
      </c>
      <c r="L348" s="15">
        <v>0</v>
      </c>
      <c r="M348" s="13">
        <v>45016</v>
      </c>
      <c r="O348">
        <v>0</v>
      </c>
      <c r="P348">
        <v>0</v>
      </c>
      <c r="Q348">
        <v>0</v>
      </c>
      <c r="R348">
        <v>0</v>
      </c>
      <c r="S348">
        <v>1488.6380799999997</v>
      </c>
      <c r="T348">
        <v>0</v>
      </c>
      <c r="U348">
        <v>0</v>
      </c>
      <c r="V348">
        <v>14495.68</v>
      </c>
      <c r="W348">
        <v>0</v>
      </c>
      <c r="X348">
        <v>0</v>
      </c>
      <c r="Y348">
        <v>15984.318080000001</v>
      </c>
      <c r="Z348">
        <v>0</v>
      </c>
      <c r="AA348">
        <v>15984.318080000001</v>
      </c>
      <c r="AB348" t="s">
        <v>242</v>
      </c>
      <c r="AC348">
        <v>5</v>
      </c>
      <c r="AD348">
        <v>7000</v>
      </c>
      <c r="AE348">
        <v>0</v>
      </c>
      <c r="AF348">
        <v>0</v>
      </c>
      <c r="AG348">
        <v>0</v>
      </c>
      <c r="AH348" t="s">
        <v>58</v>
      </c>
    </row>
    <row r="349" spans="1:34" x14ac:dyDescent="0.3">
      <c r="A349" t="s">
        <v>798</v>
      </c>
      <c r="B349">
        <v>42200038</v>
      </c>
      <c r="C349" t="s">
        <v>452</v>
      </c>
      <c r="D349" t="s">
        <v>521</v>
      </c>
      <c r="E349" t="s">
        <v>437</v>
      </c>
      <c r="F349" t="s">
        <v>430</v>
      </c>
      <c r="G349" t="s">
        <v>230</v>
      </c>
      <c r="H349" t="s">
        <v>231</v>
      </c>
      <c r="J349" t="s">
        <v>52</v>
      </c>
      <c r="K349" s="15">
        <v>3000</v>
      </c>
      <c r="L349" s="15">
        <v>0</v>
      </c>
      <c r="M349" s="13">
        <v>45016</v>
      </c>
      <c r="O349">
        <v>0</v>
      </c>
      <c r="P349">
        <v>0</v>
      </c>
      <c r="Q349">
        <v>0</v>
      </c>
      <c r="R349">
        <v>0</v>
      </c>
      <c r="S349">
        <v>22728.52445103092</v>
      </c>
      <c r="T349">
        <v>20022.532903274139</v>
      </c>
      <c r="U349">
        <v>22429.906542056076</v>
      </c>
      <c r="V349">
        <v>0</v>
      </c>
      <c r="W349">
        <v>310280.37383177568</v>
      </c>
      <c r="X349">
        <v>0</v>
      </c>
      <c r="Y349">
        <v>375461.3377281368</v>
      </c>
      <c r="Z349">
        <v>24691.296929397417</v>
      </c>
      <c r="AA349">
        <v>400152.63465753419</v>
      </c>
      <c r="AB349" t="s">
        <v>242</v>
      </c>
      <c r="AC349">
        <v>2</v>
      </c>
      <c r="AD349">
        <v>7000</v>
      </c>
      <c r="AE349">
        <v>0</v>
      </c>
      <c r="AF349">
        <v>0</v>
      </c>
      <c r="AG349">
        <v>430.19839770538965</v>
      </c>
      <c r="AH349" t="s">
        <v>58</v>
      </c>
    </row>
    <row r="350" spans="1:34" x14ac:dyDescent="0.3">
      <c r="A350" t="s">
        <v>798</v>
      </c>
      <c r="B350">
        <v>2200011</v>
      </c>
      <c r="C350" t="s">
        <v>612</v>
      </c>
      <c r="D350" t="s">
        <v>611</v>
      </c>
      <c r="E350" t="s">
        <v>435</v>
      </c>
      <c r="F350" t="s">
        <v>675</v>
      </c>
      <c r="G350" t="s">
        <v>235</v>
      </c>
      <c r="H350" t="s">
        <v>235</v>
      </c>
      <c r="J350" t="s">
        <v>52</v>
      </c>
      <c r="K350" s="15">
        <v>3000</v>
      </c>
      <c r="M350" s="13">
        <v>45016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27305.629999999997</v>
      </c>
      <c r="W350">
        <v>0</v>
      </c>
      <c r="X350">
        <v>0</v>
      </c>
      <c r="Y350">
        <v>27305.629999999997</v>
      </c>
      <c r="Z350">
        <v>0</v>
      </c>
      <c r="AA350">
        <v>27305.629999999997</v>
      </c>
      <c r="AB350" t="s">
        <v>242</v>
      </c>
      <c r="AC350">
        <v>3</v>
      </c>
      <c r="AD350">
        <v>9000</v>
      </c>
      <c r="AE350">
        <v>0</v>
      </c>
      <c r="AF350">
        <v>0</v>
      </c>
      <c r="AG350">
        <v>0</v>
      </c>
      <c r="AH350" t="s">
        <v>58</v>
      </c>
    </row>
    <row r="351" spans="1:34" x14ac:dyDescent="0.3">
      <c r="A351" t="s">
        <v>798</v>
      </c>
      <c r="B351">
        <v>12200035</v>
      </c>
      <c r="C351" t="s">
        <v>632</v>
      </c>
      <c r="D351" t="s">
        <v>631</v>
      </c>
      <c r="E351" t="s">
        <v>435</v>
      </c>
      <c r="F351" t="s">
        <v>427</v>
      </c>
      <c r="G351" t="s">
        <v>230</v>
      </c>
      <c r="H351" t="s">
        <v>230</v>
      </c>
      <c r="J351" t="s">
        <v>52</v>
      </c>
      <c r="K351" s="15">
        <v>1500</v>
      </c>
      <c r="M351" s="13">
        <v>45016</v>
      </c>
      <c r="O351">
        <v>4100</v>
      </c>
      <c r="P351">
        <v>0</v>
      </c>
      <c r="Q351">
        <v>0</v>
      </c>
      <c r="R351">
        <v>0</v>
      </c>
      <c r="S351">
        <v>70999.029999999984</v>
      </c>
      <c r="T351">
        <v>0</v>
      </c>
      <c r="U351">
        <v>0</v>
      </c>
      <c r="V351">
        <v>79907.710000000006</v>
      </c>
      <c r="W351">
        <v>0</v>
      </c>
      <c r="X351">
        <v>0</v>
      </c>
      <c r="Y351">
        <v>155006.74</v>
      </c>
      <c r="Z351">
        <v>0</v>
      </c>
      <c r="AA351">
        <v>155006.74</v>
      </c>
      <c r="AB351" t="s">
        <v>242</v>
      </c>
      <c r="AC351">
        <v>2</v>
      </c>
      <c r="AD351">
        <v>3000</v>
      </c>
      <c r="AE351">
        <v>0</v>
      </c>
      <c r="AF351">
        <v>0</v>
      </c>
      <c r="AG351">
        <v>0</v>
      </c>
      <c r="AH351" t="s">
        <v>58</v>
      </c>
    </row>
    <row r="352" spans="1:34" x14ac:dyDescent="0.3">
      <c r="A352" t="s">
        <v>798</v>
      </c>
      <c r="B352">
        <v>12200042</v>
      </c>
      <c r="C352" t="s">
        <v>625</v>
      </c>
      <c r="D352" t="s">
        <v>624</v>
      </c>
      <c r="E352" t="s">
        <v>435</v>
      </c>
      <c r="F352" t="s">
        <v>427</v>
      </c>
      <c r="G352" t="s">
        <v>230</v>
      </c>
      <c r="H352" t="s">
        <v>230</v>
      </c>
      <c r="J352" t="s">
        <v>52</v>
      </c>
      <c r="K352" s="15">
        <v>1600</v>
      </c>
      <c r="M352" s="13">
        <v>45016</v>
      </c>
      <c r="O352">
        <v>3600</v>
      </c>
      <c r="P352">
        <v>0</v>
      </c>
      <c r="Q352">
        <v>0</v>
      </c>
      <c r="R352">
        <v>0</v>
      </c>
      <c r="S352">
        <v>31573.699999999997</v>
      </c>
      <c r="T352">
        <v>0</v>
      </c>
      <c r="U352">
        <v>0</v>
      </c>
      <c r="V352">
        <v>80000</v>
      </c>
      <c r="W352">
        <v>0</v>
      </c>
      <c r="X352">
        <v>0</v>
      </c>
      <c r="Y352">
        <v>115173.7</v>
      </c>
      <c r="Z352">
        <v>0</v>
      </c>
      <c r="AA352">
        <v>115173.7</v>
      </c>
      <c r="AB352" t="s">
        <v>242</v>
      </c>
      <c r="AC352">
        <v>3</v>
      </c>
      <c r="AD352">
        <v>5600</v>
      </c>
      <c r="AE352">
        <v>0</v>
      </c>
      <c r="AF352">
        <v>0</v>
      </c>
      <c r="AG352">
        <v>0</v>
      </c>
      <c r="AH352" t="s">
        <v>58</v>
      </c>
    </row>
    <row r="353" spans="1:34" x14ac:dyDescent="0.3">
      <c r="A353" t="s">
        <v>798</v>
      </c>
      <c r="B353">
        <v>52200005</v>
      </c>
      <c r="C353" t="s">
        <v>634</v>
      </c>
      <c r="D353" t="s">
        <v>633</v>
      </c>
      <c r="E353" t="s">
        <v>435</v>
      </c>
      <c r="F353" t="s">
        <v>431</v>
      </c>
      <c r="G353" t="s">
        <v>230</v>
      </c>
      <c r="H353" t="s">
        <v>231</v>
      </c>
      <c r="J353" t="s">
        <v>52</v>
      </c>
      <c r="K353" s="15">
        <v>2000</v>
      </c>
      <c r="M353" s="13">
        <v>45016</v>
      </c>
      <c r="O353">
        <v>4551.5212867958317</v>
      </c>
      <c r="P353">
        <v>0</v>
      </c>
      <c r="Q353">
        <v>0</v>
      </c>
      <c r="R353">
        <v>0</v>
      </c>
      <c r="S353">
        <v>0</v>
      </c>
      <c r="T353">
        <v>17241.568890845017</v>
      </c>
      <c r="U353">
        <v>0</v>
      </c>
      <c r="V353">
        <v>0</v>
      </c>
      <c r="W353">
        <v>39636.775700934581</v>
      </c>
      <c r="X353">
        <v>0</v>
      </c>
      <c r="Y353">
        <v>61429.865878575431</v>
      </c>
      <c r="Z353">
        <v>3981.4841214245721</v>
      </c>
      <c r="AA353">
        <v>65411.350000000006</v>
      </c>
      <c r="AB353" t="s">
        <v>242</v>
      </c>
      <c r="AC353">
        <v>2</v>
      </c>
      <c r="AD353">
        <v>4000</v>
      </c>
      <c r="AE353">
        <v>0</v>
      </c>
      <c r="AF353">
        <v>0</v>
      </c>
      <c r="AG353">
        <v>250.50685905181194</v>
      </c>
      <c r="AH353" t="s">
        <v>58</v>
      </c>
    </row>
    <row r="354" spans="1:34" x14ac:dyDescent="0.3">
      <c r="A354" t="s">
        <v>798</v>
      </c>
      <c r="B354">
        <v>62200008</v>
      </c>
      <c r="C354" t="s">
        <v>613</v>
      </c>
      <c r="D354" t="s">
        <v>611</v>
      </c>
      <c r="E354" t="s">
        <v>435</v>
      </c>
      <c r="F354" t="s">
        <v>432</v>
      </c>
      <c r="G354" t="s">
        <v>235</v>
      </c>
      <c r="H354" t="s">
        <v>235</v>
      </c>
      <c r="J354" t="s">
        <v>52</v>
      </c>
      <c r="K354" s="15">
        <v>3000</v>
      </c>
      <c r="M354" s="13">
        <v>45016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38472.979999999996</v>
      </c>
      <c r="W354">
        <v>0</v>
      </c>
      <c r="X354">
        <v>0</v>
      </c>
      <c r="Y354">
        <v>38472.979999999996</v>
      </c>
      <c r="Z354">
        <v>0</v>
      </c>
      <c r="AA354">
        <v>38472.979999999996</v>
      </c>
      <c r="AB354" t="s">
        <v>242</v>
      </c>
      <c r="AC354">
        <v>3</v>
      </c>
      <c r="AD354">
        <v>9000</v>
      </c>
      <c r="AE354">
        <v>0</v>
      </c>
      <c r="AF354">
        <v>0</v>
      </c>
      <c r="AG354">
        <v>0</v>
      </c>
      <c r="AH354" t="s">
        <v>58</v>
      </c>
    </row>
    <row r="355" spans="1:34" x14ac:dyDescent="0.3">
      <c r="A355" t="s">
        <v>798</v>
      </c>
      <c r="B355">
        <v>62200009</v>
      </c>
      <c r="C355" t="s">
        <v>614</v>
      </c>
      <c r="D355" t="s">
        <v>611</v>
      </c>
      <c r="E355" t="s">
        <v>435</v>
      </c>
      <c r="F355" t="s">
        <v>432</v>
      </c>
      <c r="G355" t="s">
        <v>82</v>
      </c>
      <c r="H355" t="s">
        <v>82</v>
      </c>
      <c r="J355" t="s">
        <v>52</v>
      </c>
      <c r="K355" s="15">
        <v>3000</v>
      </c>
      <c r="M355" s="13">
        <v>45016</v>
      </c>
      <c r="O355">
        <v>3000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47784.270000000004</v>
      </c>
      <c r="W355">
        <v>0</v>
      </c>
      <c r="X355">
        <v>0</v>
      </c>
      <c r="Y355">
        <v>50784.270000000004</v>
      </c>
      <c r="Z355">
        <v>0</v>
      </c>
      <c r="AA355">
        <v>50784.270000000004</v>
      </c>
      <c r="AB355" t="s">
        <v>242</v>
      </c>
      <c r="AC355">
        <v>3</v>
      </c>
      <c r="AD355">
        <v>9000</v>
      </c>
      <c r="AE355">
        <v>0</v>
      </c>
      <c r="AF355">
        <v>0</v>
      </c>
      <c r="AG355">
        <v>0</v>
      </c>
      <c r="AH355" t="s">
        <v>58</v>
      </c>
    </row>
    <row r="356" spans="1:34" x14ac:dyDescent="0.3">
      <c r="A356" t="s">
        <v>798</v>
      </c>
      <c r="B356">
        <v>52200986</v>
      </c>
      <c r="C356">
        <v>16907372</v>
      </c>
      <c r="D356" t="s">
        <v>867</v>
      </c>
      <c r="E356" t="s">
        <v>438</v>
      </c>
      <c r="F356" t="s">
        <v>431</v>
      </c>
      <c r="G356" t="s">
        <v>82</v>
      </c>
      <c r="H356" t="s">
        <v>83</v>
      </c>
      <c r="J356" t="s">
        <v>52</v>
      </c>
      <c r="K356" s="15">
        <v>579</v>
      </c>
      <c r="L356" s="15">
        <v>0</v>
      </c>
      <c r="M356" s="13">
        <v>45019</v>
      </c>
      <c r="O356">
        <v>0</v>
      </c>
      <c r="P356">
        <v>0</v>
      </c>
      <c r="Q356">
        <v>0</v>
      </c>
      <c r="R356">
        <v>881.32126455317632</v>
      </c>
      <c r="S356">
        <v>15531.553092930111</v>
      </c>
      <c r="T356">
        <v>0</v>
      </c>
      <c r="U356">
        <v>0</v>
      </c>
      <c r="V356">
        <v>36346.652188691092</v>
      </c>
      <c r="W356">
        <v>0</v>
      </c>
      <c r="X356">
        <v>0</v>
      </c>
      <c r="Y356">
        <v>52759.526546174384</v>
      </c>
      <c r="Z356">
        <v>3631.4743697134845</v>
      </c>
      <c r="AA356">
        <v>56391.000915887867</v>
      </c>
      <c r="AB356" t="s">
        <v>242</v>
      </c>
      <c r="AC356">
        <v>1</v>
      </c>
      <c r="AD356">
        <v>579</v>
      </c>
      <c r="AE356">
        <v>0</v>
      </c>
      <c r="AF356">
        <v>0</v>
      </c>
      <c r="AG356">
        <v>37.245316372637717</v>
      </c>
      <c r="AH356" t="s">
        <v>72</v>
      </c>
    </row>
    <row r="357" spans="1:34" x14ac:dyDescent="0.3">
      <c r="A357" t="s">
        <v>798</v>
      </c>
      <c r="B357">
        <v>62200095</v>
      </c>
      <c r="C357" t="s">
        <v>640</v>
      </c>
      <c r="D357" t="s">
        <v>639</v>
      </c>
      <c r="E357" t="s">
        <v>435</v>
      </c>
      <c r="F357" t="s">
        <v>432</v>
      </c>
      <c r="G357" t="s">
        <v>235</v>
      </c>
      <c r="H357" t="s">
        <v>235</v>
      </c>
      <c r="J357" t="s">
        <v>672</v>
      </c>
      <c r="M357" s="13">
        <v>45020</v>
      </c>
      <c r="O357">
        <v>3000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53352.790000000008</v>
      </c>
      <c r="W357">
        <v>0</v>
      </c>
      <c r="X357">
        <v>0</v>
      </c>
      <c r="Y357">
        <v>56352.790000000008</v>
      </c>
      <c r="Z357">
        <v>0</v>
      </c>
      <c r="AA357">
        <v>56352.790000000008</v>
      </c>
      <c r="AB357" t="s">
        <v>242</v>
      </c>
      <c r="AC357">
        <v>0</v>
      </c>
      <c r="AD357">
        <v>0</v>
      </c>
      <c r="AE357">
        <v>0</v>
      </c>
      <c r="AF357">
        <v>0</v>
      </c>
      <c r="AG357">
        <v>0</v>
      </c>
      <c r="AH357" t="s">
        <v>72</v>
      </c>
    </row>
    <row r="358" spans="1:34" x14ac:dyDescent="0.3">
      <c r="A358" t="s">
        <v>798</v>
      </c>
      <c r="B358">
        <v>62200095</v>
      </c>
      <c r="C358" t="s">
        <v>640</v>
      </c>
      <c r="D358" t="s">
        <v>639</v>
      </c>
      <c r="E358" t="s">
        <v>435</v>
      </c>
      <c r="F358" t="s">
        <v>432</v>
      </c>
      <c r="G358" t="s">
        <v>235</v>
      </c>
      <c r="H358" t="s">
        <v>235</v>
      </c>
      <c r="J358" t="s">
        <v>52</v>
      </c>
      <c r="K358" s="15">
        <v>2000</v>
      </c>
      <c r="M358" s="13">
        <v>45020</v>
      </c>
      <c r="O358">
        <v>1000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53352.790000000008</v>
      </c>
      <c r="W358">
        <v>0</v>
      </c>
      <c r="X358">
        <v>0</v>
      </c>
      <c r="Y358">
        <v>54352.790000000008</v>
      </c>
      <c r="Z358">
        <v>0</v>
      </c>
      <c r="AA358">
        <v>54352.790000000008</v>
      </c>
      <c r="AB358" t="s">
        <v>242</v>
      </c>
      <c r="AC358">
        <v>1</v>
      </c>
      <c r="AD358">
        <v>2000</v>
      </c>
      <c r="AE358">
        <v>0</v>
      </c>
      <c r="AF358">
        <v>0</v>
      </c>
      <c r="AG358">
        <v>0</v>
      </c>
      <c r="AH358" t="s">
        <v>58</v>
      </c>
    </row>
    <row r="359" spans="1:34" x14ac:dyDescent="0.3">
      <c r="A359" t="s">
        <v>798</v>
      </c>
      <c r="B359">
        <v>12200193</v>
      </c>
      <c r="C359">
        <v>27969654</v>
      </c>
      <c r="D359" t="s">
        <v>814</v>
      </c>
      <c r="E359" t="s">
        <v>438</v>
      </c>
      <c r="F359" t="s">
        <v>427</v>
      </c>
      <c r="G359" t="s">
        <v>82</v>
      </c>
      <c r="H359" t="s">
        <v>82</v>
      </c>
      <c r="J359" t="s">
        <v>52</v>
      </c>
      <c r="K359" s="15">
        <v>1000</v>
      </c>
      <c r="L359" s="15">
        <v>0</v>
      </c>
      <c r="M359" s="13">
        <v>45021</v>
      </c>
      <c r="O359">
        <v>0</v>
      </c>
      <c r="P359">
        <v>0</v>
      </c>
      <c r="Q359">
        <v>0</v>
      </c>
      <c r="R359">
        <v>237</v>
      </c>
      <c r="S359">
        <v>14945.838772602741</v>
      </c>
      <c r="T359">
        <v>0</v>
      </c>
      <c r="U359">
        <v>0</v>
      </c>
      <c r="V359">
        <v>78270</v>
      </c>
      <c r="W359">
        <v>0</v>
      </c>
      <c r="X359">
        <v>0</v>
      </c>
      <c r="Y359">
        <v>93452.838772602743</v>
      </c>
      <c r="Z359">
        <v>0</v>
      </c>
      <c r="AA359">
        <v>93452.838772602743</v>
      </c>
      <c r="AB359" t="s">
        <v>242</v>
      </c>
      <c r="AC359">
        <v>1</v>
      </c>
      <c r="AD359">
        <v>1000</v>
      </c>
      <c r="AE359">
        <v>0</v>
      </c>
      <c r="AF359">
        <v>0</v>
      </c>
      <c r="AG359">
        <v>0</v>
      </c>
      <c r="AH359" t="s">
        <v>72</v>
      </c>
    </row>
    <row r="360" spans="1:34" x14ac:dyDescent="0.3">
      <c r="A360" t="s">
        <v>798</v>
      </c>
      <c r="B360">
        <v>12200193</v>
      </c>
      <c r="C360">
        <v>27969654</v>
      </c>
      <c r="D360" t="s">
        <v>814</v>
      </c>
      <c r="E360" t="s">
        <v>438</v>
      </c>
      <c r="F360" t="s">
        <v>427</v>
      </c>
      <c r="G360" t="s">
        <v>82</v>
      </c>
      <c r="H360" t="s">
        <v>82</v>
      </c>
      <c r="J360" t="s">
        <v>52</v>
      </c>
      <c r="K360" s="15">
        <v>730</v>
      </c>
      <c r="L360" s="15">
        <v>0</v>
      </c>
      <c r="M360" s="13">
        <v>45021</v>
      </c>
      <c r="O360">
        <v>0</v>
      </c>
      <c r="P360">
        <v>0</v>
      </c>
      <c r="Q360">
        <v>0</v>
      </c>
      <c r="R360">
        <v>0</v>
      </c>
      <c r="S360">
        <v>14452.838772602741</v>
      </c>
      <c r="T360">
        <v>0</v>
      </c>
      <c r="U360">
        <v>0</v>
      </c>
      <c r="V360">
        <v>78270</v>
      </c>
      <c r="W360">
        <v>0</v>
      </c>
      <c r="X360">
        <v>0</v>
      </c>
      <c r="Y360">
        <v>92722.838772602743</v>
      </c>
      <c r="Z360">
        <v>0</v>
      </c>
      <c r="AA360">
        <v>92722.838772602743</v>
      </c>
      <c r="AB360" t="s">
        <v>242</v>
      </c>
      <c r="AC360">
        <v>2</v>
      </c>
      <c r="AD360">
        <v>1730</v>
      </c>
      <c r="AE360">
        <v>0</v>
      </c>
      <c r="AF360">
        <v>0</v>
      </c>
      <c r="AG360">
        <v>0</v>
      </c>
      <c r="AH360" t="s">
        <v>58</v>
      </c>
    </row>
    <row r="361" spans="1:34" x14ac:dyDescent="0.3">
      <c r="A361" t="s">
        <v>798</v>
      </c>
      <c r="B361">
        <v>42200060</v>
      </c>
      <c r="C361" t="s">
        <v>801</v>
      </c>
      <c r="D361" t="s">
        <v>821</v>
      </c>
      <c r="E361" t="s">
        <v>437</v>
      </c>
      <c r="F361" t="s">
        <v>430</v>
      </c>
      <c r="G361" t="s">
        <v>230</v>
      </c>
      <c r="H361" t="s">
        <v>231</v>
      </c>
      <c r="J361" t="s">
        <v>52</v>
      </c>
      <c r="K361" s="15">
        <v>1000</v>
      </c>
      <c r="L361" s="15">
        <v>0</v>
      </c>
      <c r="M361" s="13">
        <v>45021</v>
      </c>
      <c r="O361">
        <v>0</v>
      </c>
      <c r="P361">
        <v>2415.0715781855888</v>
      </c>
      <c r="Q361">
        <v>0</v>
      </c>
      <c r="R361">
        <v>0</v>
      </c>
      <c r="S361">
        <v>0</v>
      </c>
      <c r="T361">
        <v>17770.026562443374</v>
      </c>
      <c r="U361">
        <v>22429.906542056076</v>
      </c>
      <c r="V361">
        <v>0</v>
      </c>
      <c r="W361">
        <v>130841.1214953271</v>
      </c>
      <c r="X361">
        <v>0</v>
      </c>
      <c r="Y361">
        <v>173456.12617801214</v>
      </c>
      <c r="Z361">
        <v>11972.87382198786</v>
      </c>
      <c r="AA361">
        <v>185429</v>
      </c>
      <c r="AB361" t="s">
        <v>242</v>
      </c>
      <c r="AC361">
        <v>1</v>
      </c>
      <c r="AD361">
        <v>1000</v>
      </c>
      <c r="AE361">
        <v>0</v>
      </c>
      <c r="AF361">
        <v>0</v>
      </c>
      <c r="AG361">
        <v>64.509355582234775</v>
      </c>
      <c r="AH361" t="s">
        <v>72</v>
      </c>
    </row>
    <row r="362" spans="1:34" x14ac:dyDescent="0.3">
      <c r="A362" t="s">
        <v>798</v>
      </c>
      <c r="B362">
        <v>52200619</v>
      </c>
      <c r="C362">
        <v>6102060118</v>
      </c>
      <c r="D362" t="s">
        <v>138</v>
      </c>
      <c r="E362" t="s">
        <v>437</v>
      </c>
      <c r="F362" t="s">
        <v>431</v>
      </c>
      <c r="G362" t="s">
        <v>82</v>
      </c>
      <c r="H362" t="s">
        <v>83</v>
      </c>
      <c r="J362" t="s">
        <v>52</v>
      </c>
      <c r="K362" s="15">
        <v>500</v>
      </c>
      <c r="L362" s="15">
        <v>0</v>
      </c>
      <c r="M362" s="13">
        <v>45021</v>
      </c>
      <c r="O362">
        <v>0</v>
      </c>
      <c r="P362">
        <v>0</v>
      </c>
      <c r="Q362">
        <v>0</v>
      </c>
      <c r="R362">
        <v>0</v>
      </c>
      <c r="S362">
        <v>5164.1869158878508</v>
      </c>
      <c r="T362">
        <v>0</v>
      </c>
      <c r="U362">
        <v>0</v>
      </c>
      <c r="V362">
        <v>10196.728971962617</v>
      </c>
      <c r="W362">
        <v>0</v>
      </c>
      <c r="X362">
        <v>0</v>
      </c>
      <c r="Y362">
        <v>15360.915887850468</v>
      </c>
      <c r="Z362">
        <v>1075.2641121495328</v>
      </c>
      <c r="AA362">
        <v>16436.18</v>
      </c>
      <c r="AB362" t="s">
        <v>242</v>
      </c>
      <c r="AC362">
        <v>3</v>
      </c>
      <c r="AD362">
        <v>1500</v>
      </c>
      <c r="AE362">
        <v>0</v>
      </c>
      <c r="AF362">
        <v>0</v>
      </c>
      <c r="AG362">
        <v>98.130841121495337</v>
      </c>
      <c r="AH362" t="s">
        <v>58</v>
      </c>
    </row>
    <row r="363" spans="1:34" x14ac:dyDescent="0.3">
      <c r="A363" t="s">
        <v>798</v>
      </c>
      <c r="B363">
        <v>52201857</v>
      </c>
      <c r="C363">
        <v>25727720</v>
      </c>
      <c r="D363" t="s">
        <v>888</v>
      </c>
      <c r="E363" t="s">
        <v>438</v>
      </c>
      <c r="F363" t="s">
        <v>431</v>
      </c>
      <c r="G363" t="s">
        <v>82</v>
      </c>
      <c r="H363" t="s">
        <v>83</v>
      </c>
      <c r="J363" t="s">
        <v>52</v>
      </c>
      <c r="K363" s="15">
        <v>300</v>
      </c>
      <c r="L363" s="15">
        <v>0</v>
      </c>
      <c r="M363" s="13">
        <v>45022</v>
      </c>
      <c r="O363">
        <v>0</v>
      </c>
      <c r="P363">
        <v>0</v>
      </c>
      <c r="Q363">
        <v>0</v>
      </c>
      <c r="R363">
        <v>882.73143501197978</v>
      </c>
      <c r="S363">
        <v>31766.836517798823</v>
      </c>
      <c r="T363">
        <v>0</v>
      </c>
      <c r="U363">
        <v>0</v>
      </c>
      <c r="V363">
        <v>52796.0305356881</v>
      </c>
      <c r="W363">
        <v>0</v>
      </c>
      <c r="X363">
        <v>0</v>
      </c>
      <c r="Y363">
        <v>85445.598488498901</v>
      </c>
      <c r="Z363">
        <v>5919.4006937440854</v>
      </c>
      <c r="AA363">
        <v>91364.999182242987</v>
      </c>
      <c r="AB363" t="s">
        <v>242</v>
      </c>
      <c r="AC363">
        <v>2</v>
      </c>
      <c r="AD363">
        <v>800</v>
      </c>
      <c r="AE363">
        <v>0</v>
      </c>
      <c r="AF363">
        <v>0</v>
      </c>
      <c r="AG363">
        <v>51.795514440036072</v>
      </c>
      <c r="AH363" t="s">
        <v>58</v>
      </c>
    </row>
    <row r="364" spans="1:34" x14ac:dyDescent="0.3">
      <c r="A364" t="s">
        <v>798</v>
      </c>
      <c r="B364">
        <v>2200015</v>
      </c>
      <c r="C364">
        <v>20972229</v>
      </c>
      <c r="D364" t="s">
        <v>76</v>
      </c>
      <c r="E364" t="s">
        <v>435</v>
      </c>
      <c r="F364" t="s">
        <v>426</v>
      </c>
      <c r="G364" t="s">
        <v>82</v>
      </c>
      <c r="H364" t="s">
        <v>82</v>
      </c>
      <c r="J364" t="s">
        <v>52</v>
      </c>
      <c r="K364" s="15">
        <v>1000</v>
      </c>
      <c r="L364" s="15">
        <v>0</v>
      </c>
      <c r="M364" s="13">
        <v>45023</v>
      </c>
      <c r="O364">
        <v>0</v>
      </c>
      <c r="P364">
        <v>0</v>
      </c>
      <c r="Q364">
        <v>0</v>
      </c>
      <c r="R364">
        <v>0</v>
      </c>
      <c r="S364">
        <v>10809.597532223273</v>
      </c>
      <c r="T364">
        <v>0</v>
      </c>
      <c r="U364">
        <v>0</v>
      </c>
      <c r="V364">
        <v>122323.98354815517</v>
      </c>
      <c r="W364">
        <v>0</v>
      </c>
      <c r="X364">
        <v>0</v>
      </c>
      <c r="Y364">
        <v>133133.58108037844</v>
      </c>
      <c r="Z364">
        <v>0</v>
      </c>
      <c r="AA364">
        <v>133133.58108037844</v>
      </c>
      <c r="AB364" t="s">
        <v>242</v>
      </c>
      <c r="AC364">
        <v>9</v>
      </c>
      <c r="AD364">
        <v>9000</v>
      </c>
      <c r="AE364">
        <v>0</v>
      </c>
      <c r="AF364">
        <v>0</v>
      </c>
      <c r="AG364">
        <v>0</v>
      </c>
      <c r="AH364" t="s">
        <v>58</v>
      </c>
    </row>
    <row r="365" spans="1:34" x14ac:dyDescent="0.3">
      <c r="A365" t="s">
        <v>798</v>
      </c>
      <c r="B365">
        <v>52200298</v>
      </c>
      <c r="C365">
        <v>25557968</v>
      </c>
      <c r="D365" t="s">
        <v>847</v>
      </c>
      <c r="E365" t="s">
        <v>436</v>
      </c>
      <c r="F365" t="s">
        <v>431</v>
      </c>
      <c r="G365" t="s">
        <v>82</v>
      </c>
      <c r="H365" t="s">
        <v>83</v>
      </c>
      <c r="J365" t="s">
        <v>52</v>
      </c>
      <c r="K365" s="15">
        <v>500</v>
      </c>
      <c r="L365" s="15">
        <v>0</v>
      </c>
      <c r="M365" s="13">
        <v>45023</v>
      </c>
      <c r="O365">
        <v>0</v>
      </c>
      <c r="P365">
        <v>0</v>
      </c>
      <c r="Q365">
        <v>0</v>
      </c>
      <c r="R365">
        <v>983.13758643841936</v>
      </c>
      <c r="S365">
        <v>24331.944604341767</v>
      </c>
      <c r="T365">
        <v>0</v>
      </c>
      <c r="U365">
        <v>0</v>
      </c>
      <c r="V365">
        <v>46349.235245873009</v>
      </c>
      <c r="W365">
        <v>0</v>
      </c>
      <c r="X365">
        <v>0</v>
      </c>
      <c r="Y365">
        <v>71664.317436653189</v>
      </c>
      <c r="Z365">
        <v>4947.6825895150341</v>
      </c>
      <c r="AA365">
        <v>76612.000026168229</v>
      </c>
      <c r="AB365" t="s">
        <v>242</v>
      </c>
      <c r="AC365">
        <v>1</v>
      </c>
      <c r="AD365">
        <v>500</v>
      </c>
      <c r="AE365">
        <v>0</v>
      </c>
      <c r="AF365">
        <v>0</v>
      </c>
      <c r="AG365">
        <v>32.261337430550782</v>
      </c>
      <c r="AH365" t="s">
        <v>72</v>
      </c>
    </row>
    <row r="366" spans="1:34" x14ac:dyDescent="0.3">
      <c r="A366" t="s">
        <v>798</v>
      </c>
      <c r="B366">
        <v>52200986</v>
      </c>
      <c r="C366">
        <v>16907372</v>
      </c>
      <c r="D366" t="s">
        <v>867</v>
      </c>
      <c r="E366" t="s">
        <v>438</v>
      </c>
      <c r="F366" t="s">
        <v>431</v>
      </c>
      <c r="G366" t="s">
        <v>82</v>
      </c>
      <c r="H366" t="s">
        <v>83</v>
      </c>
      <c r="J366" t="s">
        <v>52</v>
      </c>
      <c r="K366" s="15">
        <v>1000</v>
      </c>
      <c r="L366" s="15">
        <v>0</v>
      </c>
      <c r="M366" s="13">
        <v>45023</v>
      </c>
      <c r="O366">
        <v>0</v>
      </c>
      <c r="P366">
        <v>0</v>
      </c>
      <c r="Q366">
        <v>0</v>
      </c>
      <c r="R366">
        <v>864.6167692279223</v>
      </c>
      <c r="S366">
        <v>14612.585331551843</v>
      </c>
      <c r="T366">
        <v>0</v>
      </c>
      <c r="U366">
        <v>0</v>
      </c>
      <c r="V366">
        <v>36346.652188691092</v>
      </c>
      <c r="W366">
        <v>0</v>
      </c>
      <c r="X366">
        <v>0</v>
      </c>
      <c r="Y366">
        <v>51823.854289470859</v>
      </c>
      <c r="Z366">
        <v>3567.1466264170062</v>
      </c>
      <c r="AA366">
        <v>55391.000915887867</v>
      </c>
      <c r="AB366" t="s">
        <v>242</v>
      </c>
      <c r="AC366">
        <v>2</v>
      </c>
      <c r="AD366">
        <v>1579</v>
      </c>
      <c r="AE366">
        <v>0</v>
      </c>
      <c r="AF366">
        <v>0</v>
      </c>
      <c r="AG366">
        <v>101.57305966911645</v>
      </c>
      <c r="AH366" t="s">
        <v>58</v>
      </c>
    </row>
    <row r="367" spans="1:34" x14ac:dyDescent="0.3">
      <c r="A367" t="s">
        <v>798</v>
      </c>
      <c r="B367">
        <v>62200013</v>
      </c>
      <c r="C367">
        <v>20972385</v>
      </c>
      <c r="D367" t="s">
        <v>76</v>
      </c>
      <c r="E367" t="s">
        <v>435</v>
      </c>
      <c r="F367" t="s">
        <v>432</v>
      </c>
      <c r="G367" t="s">
        <v>82</v>
      </c>
      <c r="H367" t="s">
        <v>82</v>
      </c>
      <c r="J367" t="s">
        <v>52</v>
      </c>
      <c r="K367" s="15">
        <v>4000</v>
      </c>
      <c r="L367" s="15">
        <v>0</v>
      </c>
      <c r="M367" s="13">
        <v>45023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51665.191359418066</v>
      </c>
      <c r="W367">
        <v>0</v>
      </c>
      <c r="X367">
        <v>0</v>
      </c>
      <c r="Y367">
        <v>51665.191359418066</v>
      </c>
      <c r="Z367">
        <v>0</v>
      </c>
      <c r="AA367">
        <v>51665.191359418066</v>
      </c>
      <c r="AB367" t="s">
        <v>242</v>
      </c>
      <c r="AC367">
        <v>9</v>
      </c>
      <c r="AD367">
        <v>36000</v>
      </c>
      <c r="AE367">
        <v>0</v>
      </c>
      <c r="AF367">
        <v>0</v>
      </c>
      <c r="AG367">
        <v>0</v>
      </c>
      <c r="AH367" t="s">
        <v>58</v>
      </c>
    </row>
    <row r="368" spans="1:34" x14ac:dyDescent="0.3">
      <c r="A368" t="s">
        <v>798</v>
      </c>
      <c r="B368">
        <v>52201828</v>
      </c>
      <c r="C368">
        <v>25536725</v>
      </c>
      <c r="D368" t="s">
        <v>166</v>
      </c>
      <c r="E368" t="s">
        <v>438</v>
      </c>
      <c r="F368" t="s">
        <v>431</v>
      </c>
      <c r="G368" t="s">
        <v>82</v>
      </c>
      <c r="H368" t="s">
        <v>83</v>
      </c>
      <c r="J368" t="s">
        <v>52</v>
      </c>
      <c r="K368" s="15">
        <v>1500</v>
      </c>
      <c r="L368" s="15">
        <v>0</v>
      </c>
      <c r="M368" s="13">
        <v>45024</v>
      </c>
      <c r="O368">
        <v>0</v>
      </c>
      <c r="P368">
        <v>0</v>
      </c>
      <c r="Q368">
        <v>0</v>
      </c>
      <c r="R368">
        <v>963.92790091213976</v>
      </c>
      <c r="S368">
        <v>23616.761028016619</v>
      </c>
      <c r="T368">
        <v>0</v>
      </c>
      <c r="U368">
        <v>0</v>
      </c>
      <c r="V368">
        <v>46273.024665951423</v>
      </c>
      <c r="W368">
        <v>0</v>
      </c>
      <c r="X368">
        <v>0</v>
      </c>
      <c r="Y368">
        <v>70853.713594880188</v>
      </c>
      <c r="Z368">
        <v>4892.284998577763</v>
      </c>
      <c r="AA368">
        <v>75745.998593457945</v>
      </c>
      <c r="AB368" t="s">
        <v>242</v>
      </c>
      <c r="AC368">
        <v>3</v>
      </c>
      <c r="AD368">
        <v>5500</v>
      </c>
      <c r="AE368">
        <v>0</v>
      </c>
      <c r="AF368">
        <v>0</v>
      </c>
      <c r="AG368">
        <v>354.90182529331742</v>
      </c>
      <c r="AH368" t="s">
        <v>58</v>
      </c>
    </row>
    <row r="369" spans="1:34" x14ac:dyDescent="0.3">
      <c r="A369" t="s">
        <v>798</v>
      </c>
      <c r="B369">
        <v>52200750</v>
      </c>
      <c r="C369">
        <v>26151957</v>
      </c>
      <c r="D369" t="s">
        <v>141</v>
      </c>
      <c r="E369" t="s">
        <v>438</v>
      </c>
      <c r="F369" t="s">
        <v>431</v>
      </c>
      <c r="G369" t="s">
        <v>82</v>
      </c>
      <c r="H369" t="s">
        <v>83</v>
      </c>
      <c r="J369" t="s">
        <v>52</v>
      </c>
      <c r="K369" s="15">
        <v>1500</v>
      </c>
      <c r="L369" s="15">
        <v>0</v>
      </c>
      <c r="M369" s="13">
        <v>45025</v>
      </c>
      <c r="O369">
        <v>0</v>
      </c>
      <c r="P369">
        <v>0</v>
      </c>
      <c r="Q369">
        <v>0</v>
      </c>
      <c r="R369">
        <v>941.66160302640662</v>
      </c>
      <c r="S369">
        <v>29396.513413483106</v>
      </c>
      <c r="T369">
        <v>0</v>
      </c>
      <c r="U369">
        <v>0</v>
      </c>
      <c r="V369">
        <v>47756.1392450563</v>
      </c>
      <c r="W369">
        <v>0</v>
      </c>
      <c r="X369">
        <v>0</v>
      </c>
      <c r="Y369">
        <v>78094.314261565814</v>
      </c>
      <c r="Z369">
        <v>5400.6856860977587</v>
      </c>
      <c r="AA369">
        <v>83494.999947663571</v>
      </c>
      <c r="AB369" t="s">
        <v>242</v>
      </c>
      <c r="AC369">
        <v>3</v>
      </c>
      <c r="AD369">
        <v>4000</v>
      </c>
      <c r="AE369">
        <v>0</v>
      </c>
      <c r="AF369">
        <v>0</v>
      </c>
      <c r="AG369">
        <v>258.51991795499862</v>
      </c>
      <c r="AH369" t="s">
        <v>58</v>
      </c>
    </row>
    <row r="370" spans="1:34" x14ac:dyDescent="0.3">
      <c r="A370" t="s">
        <v>798</v>
      </c>
      <c r="B370">
        <v>4132301259</v>
      </c>
      <c r="C370">
        <v>1050072084</v>
      </c>
      <c r="D370" t="s">
        <v>911</v>
      </c>
      <c r="E370" t="s">
        <v>441</v>
      </c>
      <c r="F370" t="s">
        <v>430</v>
      </c>
      <c r="G370" t="s">
        <v>230</v>
      </c>
      <c r="H370" t="s">
        <v>231</v>
      </c>
      <c r="J370" t="s">
        <v>52</v>
      </c>
      <c r="K370" s="15">
        <v>4000</v>
      </c>
      <c r="L370" s="15">
        <v>0</v>
      </c>
      <c r="M370" s="13">
        <v>45026</v>
      </c>
      <c r="O370">
        <v>0</v>
      </c>
      <c r="P370">
        <v>3157.8669911636025</v>
      </c>
      <c r="Q370">
        <v>0</v>
      </c>
      <c r="R370">
        <v>0</v>
      </c>
      <c r="S370">
        <v>11736.986301369863</v>
      </c>
      <c r="T370">
        <v>0</v>
      </c>
      <c r="U370">
        <v>0</v>
      </c>
      <c r="V370">
        <v>0</v>
      </c>
      <c r="W370">
        <v>48544.049540968597</v>
      </c>
      <c r="X370">
        <v>0</v>
      </c>
      <c r="Y370">
        <v>63438.902833502063</v>
      </c>
      <c r="Z370">
        <v>3398.083467867802</v>
      </c>
      <c r="AA370">
        <v>66836.986301369863</v>
      </c>
      <c r="AB370" t="s">
        <v>242</v>
      </c>
      <c r="AC370">
        <v>1</v>
      </c>
      <c r="AD370">
        <v>4000</v>
      </c>
      <c r="AE370">
        <v>0</v>
      </c>
      <c r="AF370">
        <v>0</v>
      </c>
      <c r="AG370">
        <v>200.04737325369342</v>
      </c>
      <c r="AH370" t="s">
        <v>72</v>
      </c>
    </row>
    <row r="371" spans="1:34" x14ac:dyDescent="0.3">
      <c r="A371" t="s">
        <v>798</v>
      </c>
      <c r="B371">
        <v>4302300020</v>
      </c>
      <c r="C371">
        <v>901019009381</v>
      </c>
      <c r="D371" t="s">
        <v>926</v>
      </c>
      <c r="E371" t="s">
        <v>447</v>
      </c>
      <c r="F371" t="s">
        <v>433</v>
      </c>
      <c r="G371" t="s">
        <v>82</v>
      </c>
      <c r="H371" t="s">
        <v>83</v>
      </c>
      <c r="J371" t="s">
        <v>52</v>
      </c>
      <c r="K371" s="15">
        <v>55000</v>
      </c>
      <c r="L371" s="15">
        <v>0</v>
      </c>
      <c r="M371" s="13">
        <v>45026</v>
      </c>
      <c r="O371">
        <v>0</v>
      </c>
      <c r="P371">
        <v>0</v>
      </c>
      <c r="Q371">
        <v>107217.17662869094</v>
      </c>
      <c r="R371">
        <v>7058.07</v>
      </c>
      <c r="S371">
        <v>44247.590160101929</v>
      </c>
      <c r="T371">
        <v>0</v>
      </c>
      <c r="U371">
        <v>0</v>
      </c>
      <c r="V371">
        <v>1550581.5</v>
      </c>
      <c r="W371">
        <v>0</v>
      </c>
      <c r="X371">
        <v>0</v>
      </c>
      <c r="Y371">
        <v>1709104.3367887929</v>
      </c>
      <c r="Z371">
        <v>111638.03631120714</v>
      </c>
      <c r="AA371">
        <v>1820742.3731</v>
      </c>
      <c r="AB371" t="s">
        <v>242</v>
      </c>
      <c r="AC371">
        <v>1</v>
      </c>
      <c r="AD371">
        <v>55000</v>
      </c>
      <c r="AE371">
        <v>0</v>
      </c>
      <c r="AF371">
        <v>0</v>
      </c>
      <c r="AG371">
        <v>3357.0767887928669</v>
      </c>
      <c r="AH371" t="s">
        <v>72</v>
      </c>
    </row>
    <row r="372" spans="1:34" x14ac:dyDescent="0.3">
      <c r="A372" t="s">
        <v>798</v>
      </c>
      <c r="B372">
        <v>4302300021</v>
      </c>
      <c r="C372">
        <v>901019034360</v>
      </c>
      <c r="D372" t="s">
        <v>926</v>
      </c>
      <c r="E372" t="s">
        <v>447</v>
      </c>
      <c r="F372" t="s">
        <v>433</v>
      </c>
      <c r="G372" t="s">
        <v>82</v>
      </c>
      <c r="H372" t="s">
        <v>83</v>
      </c>
      <c r="J372" t="s">
        <v>52</v>
      </c>
      <c r="K372" s="15">
        <v>53100</v>
      </c>
      <c r="L372" s="15">
        <v>0</v>
      </c>
      <c r="M372" s="13">
        <v>45026</v>
      </c>
      <c r="O372">
        <v>0</v>
      </c>
      <c r="P372">
        <v>0</v>
      </c>
      <c r="Q372">
        <v>116475.18110339933</v>
      </c>
      <c r="R372">
        <v>7238.4699999999993</v>
      </c>
      <c r="S372">
        <v>68486.974295888504</v>
      </c>
      <c r="T372">
        <v>0</v>
      </c>
      <c r="U372">
        <v>0</v>
      </c>
      <c r="V372">
        <v>1741895.31</v>
      </c>
      <c r="W372">
        <v>0</v>
      </c>
      <c r="X372">
        <v>0</v>
      </c>
      <c r="Y372">
        <v>1934095.9353992878</v>
      </c>
      <c r="Z372">
        <v>126726.75990071222</v>
      </c>
      <c r="AA372">
        <v>2060822.6953</v>
      </c>
      <c r="AB372" t="s">
        <v>242</v>
      </c>
      <c r="AC372">
        <v>1</v>
      </c>
      <c r="AD372">
        <v>53100</v>
      </c>
      <c r="AE372">
        <v>0</v>
      </c>
      <c r="AF372">
        <v>0</v>
      </c>
      <c r="AG372">
        <v>3251.255399287802</v>
      </c>
      <c r="AH372" t="s">
        <v>72</v>
      </c>
    </row>
    <row r="373" spans="1:34" x14ac:dyDescent="0.3">
      <c r="A373" t="s">
        <v>798</v>
      </c>
      <c r="B373">
        <v>52201517</v>
      </c>
      <c r="C373" t="s">
        <v>642</v>
      </c>
      <c r="D373" t="s">
        <v>641</v>
      </c>
      <c r="E373" t="s">
        <v>438</v>
      </c>
      <c r="F373" t="s">
        <v>431</v>
      </c>
      <c r="G373" t="s">
        <v>82</v>
      </c>
      <c r="H373" t="s">
        <v>83</v>
      </c>
      <c r="J373" t="s">
        <v>52</v>
      </c>
      <c r="K373" s="15">
        <v>1000</v>
      </c>
      <c r="M373" s="13">
        <v>45026</v>
      </c>
      <c r="O373">
        <v>0</v>
      </c>
      <c r="P373">
        <v>0</v>
      </c>
      <c r="Q373">
        <v>0</v>
      </c>
      <c r="R373">
        <v>786.79633470154295</v>
      </c>
      <c r="S373">
        <v>61986.735481617026</v>
      </c>
      <c r="T373">
        <v>0</v>
      </c>
      <c r="U373">
        <v>0</v>
      </c>
      <c r="V373">
        <v>88491.95986895448</v>
      </c>
      <c r="W373">
        <v>0</v>
      </c>
      <c r="X373">
        <v>0</v>
      </c>
      <c r="Y373">
        <v>151265.49168527307</v>
      </c>
      <c r="Z373">
        <v>10533.508674540006</v>
      </c>
      <c r="AA373">
        <v>161799.00035981307</v>
      </c>
      <c r="AB373" t="s">
        <v>242</v>
      </c>
      <c r="AC373">
        <v>1</v>
      </c>
      <c r="AD373">
        <v>1000</v>
      </c>
      <c r="AE373">
        <v>0</v>
      </c>
      <c r="AF373">
        <v>0</v>
      </c>
      <c r="AG373">
        <v>65.080134045895306</v>
      </c>
      <c r="AH373" t="s">
        <v>72</v>
      </c>
    </row>
    <row r="374" spans="1:34" x14ac:dyDescent="0.3">
      <c r="A374" t="s">
        <v>798</v>
      </c>
      <c r="B374">
        <v>82200036</v>
      </c>
      <c r="C374" t="s">
        <v>621</v>
      </c>
      <c r="D374" t="s">
        <v>620</v>
      </c>
      <c r="E374" t="s">
        <v>440</v>
      </c>
      <c r="F374" t="s">
        <v>433</v>
      </c>
      <c r="G374" t="s">
        <v>82</v>
      </c>
      <c r="H374" t="s">
        <v>83</v>
      </c>
      <c r="J374" t="s">
        <v>52</v>
      </c>
      <c r="K374" s="15">
        <v>17000</v>
      </c>
      <c r="M374" s="13">
        <v>45027</v>
      </c>
      <c r="O374">
        <v>0</v>
      </c>
      <c r="P374">
        <v>0</v>
      </c>
      <c r="Q374">
        <v>24768.121733797208</v>
      </c>
      <c r="R374">
        <v>15062.529999999999</v>
      </c>
      <c r="S374">
        <v>20447.324921684849</v>
      </c>
      <c r="T374">
        <v>0</v>
      </c>
      <c r="U374">
        <v>0</v>
      </c>
      <c r="V374">
        <v>349928.98</v>
      </c>
      <c r="W374">
        <v>0</v>
      </c>
      <c r="X374">
        <v>0</v>
      </c>
      <c r="Y374">
        <v>410206.95665548206</v>
      </c>
      <c r="Z374">
        <v>25926.341344517943</v>
      </c>
      <c r="AA374">
        <v>436133.29800000001</v>
      </c>
      <c r="AB374" t="s">
        <v>242</v>
      </c>
      <c r="AC374">
        <v>2</v>
      </c>
      <c r="AD374">
        <v>34000</v>
      </c>
      <c r="AE374">
        <v>0</v>
      </c>
      <c r="AF374">
        <v>0</v>
      </c>
      <c r="AG374">
        <v>2007.5366554820594</v>
      </c>
      <c r="AH374" t="s">
        <v>58</v>
      </c>
    </row>
    <row r="375" spans="1:34" x14ac:dyDescent="0.3">
      <c r="A375" t="s">
        <v>798</v>
      </c>
      <c r="B375">
        <v>52201847</v>
      </c>
      <c r="C375" t="s">
        <v>644</v>
      </c>
      <c r="D375" t="s">
        <v>643</v>
      </c>
      <c r="E375" t="s">
        <v>438</v>
      </c>
      <c r="F375" t="s">
        <v>431</v>
      </c>
      <c r="G375" t="s">
        <v>82</v>
      </c>
      <c r="H375" t="s">
        <v>83</v>
      </c>
      <c r="J375" t="s">
        <v>52</v>
      </c>
      <c r="K375" s="15">
        <v>300</v>
      </c>
      <c r="M375" s="13">
        <v>45028</v>
      </c>
      <c r="O375">
        <v>0</v>
      </c>
      <c r="P375">
        <v>0</v>
      </c>
      <c r="Q375">
        <v>0</v>
      </c>
      <c r="R375">
        <v>887.72517866204601</v>
      </c>
      <c r="S375">
        <v>31152.838183711196</v>
      </c>
      <c r="T375">
        <v>0</v>
      </c>
      <c r="U375">
        <v>0</v>
      </c>
      <c r="V375">
        <v>49301.621967246618</v>
      </c>
      <c r="W375">
        <v>0</v>
      </c>
      <c r="X375">
        <v>0</v>
      </c>
      <c r="Y375">
        <v>81342.185329619853</v>
      </c>
      <c r="Z375">
        <v>5631.8122105670473</v>
      </c>
      <c r="AA375">
        <v>86973.997540186901</v>
      </c>
      <c r="AB375" t="s">
        <v>242</v>
      </c>
      <c r="AC375">
        <v>1</v>
      </c>
      <c r="AD375">
        <v>300</v>
      </c>
      <c r="AE375">
        <v>0</v>
      </c>
      <c r="AF375">
        <v>0</v>
      </c>
      <c r="AG375">
        <v>19.411927576021696</v>
      </c>
      <c r="AH375" t="s">
        <v>72</v>
      </c>
    </row>
    <row r="376" spans="1:34" x14ac:dyDescent="0.3">
      <c r="A376" t="s">
        <v>798</v>
      </c>
      <c r="B376">
        <v>52200012</v>
      </c>
      <c r="C376" t="s">
        <v>638</v>
      </c>
      <c r="D376" t="s">
        <v>637</v>
      </c>
      <c r="E376" t="s">
        <v>435</v>
      </c>
      <c r="F376" t="s">
        <v>431</v>
      </c>
      <c r="G376" t="s">
        <v>230</v>
      </c>
      <c r="H376" t="s">
        <v>231</v>
      </c>
      <c r="J376" t="s">
        <v>52</v>
      </c>
      <c r="K376" s="15">
        <v>2500</v>
      </c>
      <c r="M376" s="13">
        <v>45030</v>
      </c>
      <c r="O376">
        <v>5429.5453140179452</v>
      </c>
      <c r="P376">
        <v>0</v>
      </c>
      <c r="Q376">
        <v>0</v>
      </c>
      <c r="R376">
        <v>0</v>
      </c>
      <c r="S376">
        <v>0</v>
      </c>
      <c r="T376">
        <v>32439.677276618735</v>
      </c>
      <c r="U376">
        <v>0</v>
      </c>
      <c r="V376">
        <v>0</v>
      </c>
      <c r="W376">
        <v>42990.654205607476</v>
      </c>
      <c r="X376">
        <v>0</v>
      </c>
      <c r="Y376">
        <v>80859.876796244149</v>
      </c>
      <c r="Z376">
        <v>5280.1232037558348</v>
      </c>
      <c r="AA376">
        <v>86139.999999999985</v>
      </c>
      <c r="AB376" t="s">
        <v>242</v>
      </c>
      <c r="AC376">
        <v>2</v>
      </c>
      <c r="AD376">
        <v>5500</v>
      </c>
      <c r="AE376">
        <v>0</v>
      </c>
      <c r="AF376">
        <v>0</v>
      </c>
      <c r="AG376">
        <v>335.57773082360382</v>
      </c>
      <c r="AH376" t="s">
        <v>58</v>
      </c>
    </row>
    <row r="377" spans="1:34" x14ac:dyDescent="0.3">
      <c r="A377" t="s">
        <v>798</v>
      </c>
      <c r="B377">
        <v>52201220</v>
      </c>
      <c r="C377">
        <v>25378599</v>
      </c>
      <c r="D377" t="s">
        <v>150</v>
      </c>
      <c r="E377" t="s">
        <v>438</v>
      </c>
      <c r="F377" t="s">
        <v>431</v>
      </c>
      <c r="G377" t="s">
        <v>82</v>
      </c>
      <c r="H377" t="s">
        <v>83</v>
      </c>
      <c r="J377" t="s">
        <v>52</v>
      </c>
      <c r="K377" s="15">
        <v>3000</v>
      </c>
      <c r="L377" s="15">
        <v>0</v>
      </c>
      <c r="M377" s="13">
        <v>45032</v>
      </c>
      <c r="O377">
        <v>0</v>
      </c>
      <c r="P377">
        <v>0</v>
      </c>
      <c r="Q377">
        <v>0</v>
      </c>
      <c r="R377">
        <v>755.08363434452031</v>
      </c>
      <c r="S377">
        <v>22041.35375854648</v>
      </c>
      <c r="T377">
        <v>0</v>
      </c>
      <c r="U377">
        <v>0</v>
      </c>
      <c r="V377">
        <v>79718.38097920474</v>
      </c>
      <c r="W377">
        <v>0</v>
      </c>
      <c r="X377">
        <v>0</v>
      </c>
      <c r="Y377">
        <v>102514.81837209573</v>
      </c>
      <c r="Z377">
        <v>7123.1814316425862</v>
      </c>
      <c r="AA377">
        <v>109637.99980373832</v>
      </c>
      <c r="AB377" t="s">
        <v>242</v>
      </c>
      <c r="AC377">
        <v>2</v>
      </c>
      <c r="AD377">
        <v>5000</v>
      </c>
      <c r="AE377">
        <v>0</v>
      </c>
      <c r="AF377">
        <v>0</v>
      </c>
      <c r="AG377">
        <v>324.68771439637067</v>
      </c>
      <c r="AH377" t="s">
        <v>58</v>
      </c>
    </row>
    <row r="378" spans="1:34" x14ac:dyDescent="0.3">
      <c r="A378" t="s">
        <v>798</v>
      </c>
      <c r="B378">
        <v>12200168</v>
      </c>
      <c r="C378">
        <v>22304640</v>
      </c>
      <c r="D378" t="s">
        <v>116</v>
      </c>
      <c r="E378" t="s">
        <v>438</v>
      </c>
      <c r="F378" t="s">
        <v>427</v>
      </c>
      <c r="G378" t="s">
        <v>82</v>
      </c>
      <c r="H378" t="s">
        <v>82</v>
      </c>
      <c r="J378" t="s">
        <v>52</v>
      </c>
      <c r="K378" s="15">
        <v>20000</v>
      </c>
      <c r="L378" s="15">
        <v>0</v>
      </c>
      <c r="M378" s="13">
        <v>45033</v>
      </c>
      <c r="O378">
        <v>0</v>
      </c>
      <c r="P378">
        <v>0</v>
      </c>
      <c r="Q378">
        <v>0</v>
      </c>
      <c r="R378">
        <v>0</v>
      </c>
      <c r="S378">
        <v>60001.057465295118</v>
      </c>
      <c r="T378">
        <v>0</v>
      </c>
      <c r="U378">
        <v>0</v>
      </c>
      <c r="V378">
        <v>265200.49260584638</v>
      </c>
      <c r="W378">
        <v>0</v>
      </c>
      <c r="X378">
        <v>0</v>
      </c>
      <c r="Y378">
        <v>325201.55007114151</v>
      </c>
      <c r="Z378">
        <v>0</v>
      </c>
      <c r="AA378">
        <v>325201.55007114151</v>
      </c>
      <c r="AB378" t="s">
        <v>242</v>
      </c>
      <c r="AC378">
        <v>1</v>
      </c>
      <c r="AD378">
        <v>20000</v>
      </c>
      <c r="AE378">
        <v>0</v>
      </c>
      <c r="AF378">
        <v>0</v>
      </c>
      <c r="AG378">
        <v>0</v>
      </c>
      <c r="AH378" t="s">
        <v>72</v>
      </c>
    </row>
    <row r="379" spans="1:34" x14ac:dyDescent="0.3">
      <c r="A379" t="s">
        <v>798</v>
      </c>
      <c r="B379">
        <v>52200238</v>
      </c>
      <c r="C379" t="s">
        <v>648</v>
      </c>
      <c r="D379" t="s">
        <v>647</v>
      </c>
      <c r="E379" t="s">
        <v>436</v>
      </c>
      <c r="F379" t="s">
        <v>431</v>
      </c>
      <c r="G379" t="s">
        <v>674</v>
      </c>
      <c r="H379" t="s">
        <v>83</v>
      </c>
      <c r="J379" t="s">
        <v>52</v>
      </c>
      <c r="K379" s="15">
        <v>1500</v>
      </c>
      <c r="M379" s="13">
        <v>45033</v>
      </c>
      <c r="O379">
        <v>0</v>
      </c>
      <c r="P379">
        <v>0</v>
      </c>
      <c r="Q379">
        <v>0</v>
      </c>
      <c r="R379">
        <v>772.3413507342774</v>
      </c>
      <c r="S379">
        <v>40554.339668717199</v>
      </c>
      <c r="T379">
        <v>0</v>
      </c>
      <c r="U379">
        <v>0</v>
      </c>
      <c r="V379">
        <v>76681.788968468842</v>
      </c>
      <c r="W379">
        <v>0</v>
      </c>
      <c r="X379">
        <v>0</v>
      </c>
      <c r="Y379">
        <v>118008.46998792031</v>
      </c>
      <c r="Z379">
        <v>8206.5290046030241</v>
      </c>
      <c r="AA379">
        <v>126214.99899252334</v>
      </c>
      <c r="AB379" t="s">
        <v>242</v>
      </c>
      <c r="AC379">
        <v>2</v>
      </c>
      <c r="AD379">
        <v>3000</v>
      </c>
      <c r="AE379">
        <v>0</v>
      </c>
      <c r="AF379">
        <v>0</v>
      </c>
      <c r="AG379">
        <v>194.97560238448546</v>
      </c>
      <c r="AH379" t="s">
        <v>58</v>
      </c>
    </row>
    <row r="380" spans="1:34" x14ac:dyDescent="0.3">
      <c r="A380" t="s">
        <v>798</v>
      </c>
      <c r="B380">
        <v>52200239</v>
      </c>
      <c r="C380">
        <v>25091589</v>
      </c>
      <c r="D380" t="s">
        <v>844</v>
      </c>
      <c r="E380" t="s">
        <v>436</v>
      </c>
      <c r="F380" t="s">
        <v>431</v>
      </c>
      <c r="G380" t="s">
        <v>82</v>
      </c>
      <c r="H380" t="s">
        <v>83</v>
      </c>
      <c r="J380" t="s">
        <v>52</v>
      </c>
      <c r="K380" s="15">
        <v>2500</v>
      </c>
      <c r="L380" s="15">
        <v>0</v>
      </c>
      <c r="M380" s="13">
        <v>45034</v>
      </c>
      <c r="O380">
        <v>0</v>
      </c>
      <c r="P380">
        <v>0</v>
      </c>
      <c r="Q380">
        <v>0</v>
      </c>
      <c r="R380">
        <v>831.83047791035222</v>
      </c>
      <c r="S380">
        <v>24448.71314231454</v>
      </c>
      <c r="T380">
        <v>0</v>
      </c>
      <c r="U380">
        <v>0</v>
      </c>
      <c r="V380">
        <v>54126.211626342912</v>
      </c>
      <c r="W380">
        <v>0</v>
      </c>
      <c r="X380">
        <v>0</v>
      </c>
      <c r="Y380">
        <v>79406.755246567802</v>
      </c>
      <c r="Z380">
        <v>5500.2447338060219</v>
      </c>
      <c r="AA380">
        <v>84906.999980373817</v>
      </c>
      <c r="AB380" t="s">
        <v>242</v>
      </c>
      <c r="AC380">
        <v>9</v>
      </c>
      <c r="AD380">
        <v>15000</v>
      </c>
      <c r="AE380">
        <v>0</v>
      </c>
      <c r="AF380">
        <v>0</v>
      </c>
      <c r="AG380">
        <v>970.96087238665837</v>
      </c>
      <c r="AH380" t="s">
        <v>58</v>
      </c>
    </row>
    <row r="381" spans="1:34" x14ac:dyDescent="0.3">
      <c r="A381" t="s">
        <v>798</v>
      </c>
      <c r="B381">
        <v>52200376</v>
      </c>
      <c r="C381">
        <v>27488411</v>
      </c>
      <c r="D381" t="s">
        <v>852</v>
      </c>
      <c r="E381" t="s">
        <v>436</v>
      </c>
      <c r="F381" t="s">
        <v>431</v>
      </c>
      <c r="G381" t="s">
        <v>82</v>
      </c>
      <c r="H381" t="s">
        <v>83</v>
      </c>
      <c r="J381" t="s">
        <v>52</v>
      </c>
      <c r="K381" s="15">
        <v>1680</v>
      </c>
      <c r="L381" s="15">
        <v>0</v>
      </c>
      <c r="M381" s="13">
        <v>45034</v>
      </c>
      <c r="O381">
        <v>0</v>
      </c>
      <c r="P381">
        <v>0</v>
      </c>
      <c r="Q381">
        <v>0</v>
      </c>
      <c r="R381">
        <v>961.69318210043923</v>
      </c>
      <c r="S381">
        <v>34733.486757055223</v>
      </c>
      <c r="T381">
        <v>0</v>
      </c>
      <c r="U381">
        <v>0</v>
      </c>
      <c r="V381">
        <v>55487.360852476195</v>
      </c>
      <c r="W381">
        <v>0</v>
      </c>
      <c r="X381">
        <v>0</v>
      </c>
      <c r="Y381">
        <v>91182.540791631851</v>
      </c>
      <c r="Z381">
        <v>6315.4593326672002</v>
      </c>
      <c r="AA381">
        <v>97498.000124299055</v>
      </c>
      <c r="AB381" t="s">
        <v>242</v>
      </c>
      <c r="AC381">
        <v>2</v>
      </c>
      <c r="AD381">
        <v>2680</v>
      </c>
      <c r="AE381">
        <v>0</v>
      </c>
      <c r="AF381">
        <v>0</v>
      </c>
      <c r="AG381">
        <v>173.47525490376711</v>
      </c>
      <c r="AH381" t="s">
        <v>58</v>
      </c>
    </row>
    <row r="382" spans="1:34" x14ac:dyDescent="0.3">
      <c r="A382" t="s">
        <v>798</v>
      </c>
      <c r="B382">
        <v>52201222</v>
      </c>
      <c r="C382">
        <v>25649443</v>
      </c>
      <c r="D382" t="s">
        <v>151</v>
      </c>
      <c r="E382" t="s">
        <v>438</v>
      </c>
      <c r="F382" t="s">
        <v>431</v>
      </c>
      <c r="G382" t="s">
        <v>82</v>
      </c>
      <c r="H382" t="s">
        <v>83</v>
      </c>
      <c r="J382" t="s">
        <v>52</v>
      </c>
      <c r="K382" s="15">
        <v>1500</v>
      </c>
      <c r="L382" s="15">
        <v>0</v>
      </c>
      <c r="M382" s="13">
        <v>45034</v>
      </c>
      <c r="O382">
        <v>0</v>
      </c>
      <c r="P382">
        <v>0</v>
      </c>
      <c r="Q382">
        <v>0</v>
      </c>
      <c r="R382">
        <v>953.27078442601965</v>
      </c>
      <c r="S382">
        <v>17977.843330017542</v>
      </c>
      <c r="T382">
        <v>0</v>
      </c>
      <c r="U382">
        <v>0</v>
      </c>
      <c r="V382">
        <v>51717.230311928623</v>
      </c>
      <c r="W382">
        <v>0</v>
      </c>
      <c r="X382">
        <v>0</v>
      </c>
      <c r="Y382">
        <v>70648.344426372176</v>
      </c>
      <c r="Z382">
        <v>4878.6551549362321</v>
      </c>
      <c r="AA382">
        <v>75526.99958130841</v>
      </c>
      <c r="AB382" t="s">
        <v>242</v>
      </c>
      <c r="AC382">
        <v>2</v>
      </c>
      <c r="AD382">
        <v>2717</v>
      </c>
      <c r="AE382">
        <v>0</v>
      </c>
      <c r="AF382">
        <v>0</v>
      </c>
      <c r="AG382">
        <v>175.34481767273041</v>
      </c>
      <c r="AH382" t="s">
        <v>58</v>
      </c>
    </row>
    <row r="383" spans="1:34" x14ac:dyDescent="0.3">
      <c r="A383" t="s">
        <v>798</v>
      </c>
      <c r="B383">
        <v>52201188</v>
      </c>
      <c r="C383" t="s">
        <v>463</v>
      </c>
      <c r="D383" t="s">
        <v>531</v>
      </c>
      <c r="E383" t="s">
        <v>438</v>
      </c>
      <c r="F383" t="s">
        <v>431</v>
      </c>
      <c r="G383" t="s">
        <v>82</v>
      </c>
      <c r="H383" t="s">
        <v>83</v>
      </c>
      <c r="J383" t="s">
        <v>52</v>
      </c>
      <c r="K383" s="15">
        <v>3384</v>
      </c>
      <c r="L383" s="15">
        <v>0</v>
      </c>
      <c r="M383" s="13">
        <v>45034</v>
      </c>
      <c r="O383">
        <v>0</v>
      </c>
      <c r="P383">
        <v>0</v>
      </c>
      <c r="Q383">
        <v>0</v>
      </c>
      <c r="R383">
        <v>761.51986435351319</v>
      </c>
      <c r="S383">
        <v>32174.621949237866</v>
      </c>
      <c r="T383">
        <v>0</v>
      </c>
      <c r="U383">
        <v>0</v>
      </c>
      <c r="V383">
        <v>51829.564677665592</v>
      </c>
      <c r="W383">
        <v>0</v>
      </c>
      <c r="X383">
        <v>0</v>
      </c>
      <c r="Y383">
        <v>84765.706491256977</v>
      </c>
      <c r="Z383">
        <v>5880.2930638832422</v>
      </c>
      <c r="AA383">
        <v>90645.999555140224</v>
      </c>
      <c r="AB383" t="s">
        <v>242</v>
      </c>
      <c r="AC383">
        <v>1</v>
      </c>
      <c r="AD383">
        <v>3384</v>
      </c>
      <c r="AE383">
        <v>0</v>
      </c>
      <c r="AF383">
        <v>0</v>
      </c>
      <c r="AG383">
        <v>219.38915000443558</v>
      </c>
      <c r="AH383" t="s">
        <v>72</v>
      </c>
    </row>
    <row r="384" spans="1:34" x14ac:dyDescent="0.3">
      <c r="A384" t="s">
        <v>798</v>
      </c>
      <c r="B384">
        <v>12200198</v>
      </c>
      <c r="C384">
        <v>21155200</v>
      </c>
      <c r="D384" t="s">
        <v>815</v>
      </c>
      <c r="E384" t="s">
        <v>438</v>
      </c>
      <c r="F384" t="s">
        <v>427</v>
      </c>
      <c r="G384" t="s">
        <v>82</v>
      </c>
      <c r="H384" t="s">
        <v>82</v>
      </c>
      <c r="J384" t="s">
        <v>52</v>
      </c>
      <c r="K384" s="15">
        <v>2000</v>
      </c>
      <c r="L384" s="15">
        <v>0</v>
      </c>
      <c r="M384" s="13">
        <v>45036</v>
      </c>
      <c r="O384">
        <v>0</v>
      </c>
      <c r="P384">
        <v>0</v>
      </c>
      <c r="Q384">
        <v>0</v>
      </c>
      <c r="R384">
        <v>0</v>
      </c>
      <c r="S384">
        <v>30252.267691327819</v>
      </c>
      <c r="T384">
        <v>0</v>
      </c>
      <c r="U384">
        <v>0</v>
      </c>
      <c r="V384">
        <v>142102.18304325169</v>
      </c>
      <c r="W384">
        <v>0</v>
      </c>
      <c r="X384">
        <v>0</v>
      </c>
      <c r="Y384">
        <v>172354.4507345795</v>
      </c>
      <c r="Z384">
        <v>0</v>
      </c>
      <c r="AA384">
        <v>172354.4507345795</v>
      </c>
      <c r="AB384" t="s">
        <v>242</v>
      </c>
      <c r="AC384">
        <v>4</v>
      </c>
      <c r="AD384">
        <v>9000</v>
      </c>
      <c r="AE384">
        <v>0</v>
      </c>
      <c r="AF384">
        <v>0</v>
      </c>
      <c r="AG384">
        <v>0</v>
      </c>
      <c r="AH384" t="s">
        <v>58</v>
      </c>
    </row>
    <row r="385" spans="1:34" x14ac:dyDescent="0.3">
      <c r="A385" t="s">
        <v>798</v>
      </c>
      <c r="B385">
        <v>52200061</v>
      </c>
      <c r="C385">
        <v>28231012</v>
      </c>
      <c r="D385" t="s">
        <v>835</v>
      </c>
      <c r="E385" t="s">
        <v>436</v>
      </c>
      <c r="F385" t="s">
        <v>431</v>
      </c>
      <c r="G385" t="s">
        <v>82</v>
      </c>
      <c r="H385" t="s">
        <v>83</v>
      </c>
      <c r="J385" t="s">
        <v>52</v>
      </c>
      <c r="K385" s="15">
        <v>2000</v>
      </c>
      <c r="L385" s="15">
        <v>0</v>
      </c>
      <c r="M385" s="13">
        <v>45036</v>
      </c>
      <c r="O385">
        <v>0</v>
      </c>
      <c r="P385">
        <v>0</v>
      </c>
      <c r="Q385">
        <v>0</v>
      </c>
      <c r="R385">
        <v>798.32623107968016</v>
      </c>
      <c r="S385">
        <v>10221.229316747962</v>
      </c>
      <c r="T385">
        <v>0</v>
      </c>
      <c r="U385">
        <v>0</v>
      </c>
      <c r="V385">
        <v>57032.675233644863</v>
      </c>
      <c r="W385">
        <v>0</v>
      </c>
      <c r="X385">
        <v>0</v>
      </c>
      <c r="Y385">
        <v>68052.230781472506</v>
      </c>
      <c r="Z385">
        <v>4707.7733185274983</v>
      </c>
      <c r="AA385">
        <v>72760.004100000006</v>
      </c>
      <c r="AB385" t="s">
        <v>242</v>
      </c>
      <c r="AC385">
        <v>6</v>
      </c>
      <c r="AD385">
        <v>12000</v>
      </c>
      <c r="AE385">
        <v>0</v>
      </c>
      <c r="AF385">
        <v>0</v>
      </c>
      <c r="AG385">
        <v>775.77835156596052</v>
      </c>
      <c r="AH385" t="s">
        <v>58</v>
      </c>
    </row>
    <row r="386" spans="1:34" x14ac:dyDescent="0.3">
      <c r="A386" t="s">
        <v>798</v>
      </c>
      <c r="B386">
        <v>52201007</v>
      </c>
      <c r="C386">
        <v>25682794</v>
      </c>
      <c r="D386" t="s">
        <v>868</v>
      </c>
      <c r="E386" t="s">
        <v>438</v>
      </c>
      <c r="F386" t="s">
        <v>431</v>
      </c>
      <c r="G386" t="s">
        <v>82</v>
      </c>
      <c r="H386" t="s">
        <v>83</v>
      </c>
      <c r="J386" t="s">
        <v>52</v>
      </c>
      <c r="K386" s="15">
        <v>1587</v>
      </c>
      <c r="L386" s="15">
        <v>0</v>
      </c>
      <c r="M386" s="13">
        <v>45036</v>
      </c>
      <c r="O386">
        <v>0</v>
      </c>
      <c r="P386">
        <v>0</v>
      </c>
      <c r="Q386">
        <v>0</v>
      </c>
      <c r="R386">
        <v>1120.2863753880745</v>
      </c>
      <c r="S386">
        <v>41252.884045554696</v>
      </c>
      <c r="T386">
        <v>0</v>
      </c>
      <c r="U386">
        <v>0</v>
      </c>
      <c r="V386">
        <v>58098.249805478597</v>
      </c>
      <c r="W386">
        <v>0</v>
      </c>
      <c r="X386">
        <v>0</v>
      </c>
      <c r="Y386">
        <v>100471.42022642137</v>
      </c>
      <c r="Z386">
        <v>6954.5793695723305</v>
      </c>
      <c r="AA386">
        <v>107425.99959599369</v>
      </c>
      <c r="AB386" t="s">
        <v>242</v>
      </c>
      <c r="AC386">
        <v>1</v>
      </c>
      <c r="AD386">
        <v>1587</v>
      </c>
      <c r="AE386">
        <v>0</v>
      </c>
      <c r="AF386">
        <v>0</v>
      </c>
      <c r="AG386">
        <v>102.6635946515562</v>
      </c>
      <c r="AH386" t="s">
        <v>72</v>
      </c>
    </row>
    <row r="387" spans="1:34" x14ac:dyDescent="0.3">
      <c r="A387" t="s">
        <v>798</v>
      </c>
      <c r="B387">
        <v>52201974</v>
      </c>
      <c r="C387">
        <v>28121068</v>
      </c>
      <c r="D387" t="s">
        <v>890</v>
      </c>
      <c r="E387" t="s">
        <v>438</v>
      </c>
      <c r="F387" t="s">
        <v>431</v>
      </c>
      <c r="G387" t="s">
        <v>82</v>
      </c>
      <c r="H387" t="s">
        <v>83</v>
      </c>
      <c r="J387" t="s">
        <v>52</v>
      </c>
      <c r="K387" s="15">
        <v>1500</v>
      </c>
      <c r="L387" s="15">
        <v>0</v>
      </c>
      <c r="M387" s="13">
        <v>45036</v>
      </c>
      <c r="O387">
        <v>0</v>
      </c>
      <c r="P387">
        <v>0</v>
      </c>
      <c r="Q387">
        <v>0</v>
      </c>
      <c r="R387">
        <v>852.59395221825707</v>
      </c>
      <c r="S387">
        <v>24130.213983367368</v>
      </c>
      <c r="T387">
        <v>0</v>
      </c>
      <c r="U387">
        <v>0</v>
      </c>
      <c r="V387">
        <v>41759.885530237712</v>
      </c>
      <c r="W387">
        <v>0</v>
      </c>
      <c r="X387">
        <v>0</v>
      </c>
      <c r="Y387">
        <v>66742.693465823337</v>
      </c>
      <c r="Z387">
        <v>4612.3069659523562</v>
      </c>
      <c r="AA387">
        <v>71355.000431775698</v>
      </c>
      <c r="AB387" t="s">
        <v>242</v>
      </c>
      <c r="AC387">
        <v>2</v>
      </c>
      <c r="AD387">
        <v>3000</v>
      </c>
      <c r="AE387">
        <v>0</v>
      </c>
      <c r="AF387">
        <v>0</v>
      </c>
      <c r="AG387">
        <v>193.74913706100756</v>
      </c>
      <c r="AH387" t="s">
        <v>58</v>
      </c>
    </row>
    <row r="388" spans="1:34" x14ac:dyDescent="0.3">
      <c r="A388" t="s">
        <v>798</v>
      </c>
      <c r="B388">
        <v>42201027</v>
      </c>
      <c r="C388" t="s">
        <v>369</v>
      </c>
      <c r="D388" t="s">
        <v>408</v>
      </c>
      <c r="E388" t="s">
        <v>439</v>
      </c>
      <c r="F388" t="s">
        <v>430</v>
      </c>
      <c r="G388" t="s">
        <v>233</v>
      </c>
      <c r="H388" t="s">
        <v>234</v>
      </c>
      <c r="J388" t="s">
        <v>416</v>
      </c>
      <c r="K388" s="15">
        <v>6.3806282796036062E-2</v>
      </c>
      <c r="L388" s="15">
        <v>0</v>
      </c>
      <c r="M388" s="13">
        <v>45036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37383.17757009346</v>
      </c>
      <c r="Y388">
        <v>37383.17757009346</v>
      </c>
      <c r="Z388">
        <v>2616.8224299065423</v>
      </c>
      <c r="AA388">
        <v>40000</v>
      </c>
      <c r="AB388" t="s">
        <v>242</v>
      </c>
      <c r="AC388">
        <v>0</v>
      </c>
      <c r="AD388">
        <v>0</v>
      </c>
      <c r="AE388">
        <v>0</v>
      </c>
      <c r="AF388">
        <v>0</v>
      </c>
      <c r="AG388">
        <v>0</v>
      </c>
      <c r="AH388" t="s">
        <v>72</v>
      </c>
    </row>
    <row r="389" spans="1:34" x14ac:dyDescent="0.3">
      <c r="A389" t="s">
        <v>798</v>
      </c>
      <c r="B389">
        <v>42200090</v>
      </c>
      <c r="C389">
        <v>6001720069</v>
      </c>
      <c r="D389" t="s">
        <v>823</v>
      </c>
      <c r="E389" t="s">
        <v>437</v>
      </c>
      <c r="F389" t="s">
        <v>430</v>
      </c>
      <c r="G389" t="s">
        <v>82</v>
      </c>
      <c r="H389" t="s">
        <v>83</v>
      </c>
      <c r="J389" t="s">
        <v>52</v>
      </c>
      <c r="K389" s="15">
        <v>3000</v>
      </c>
      <c r="L389" s="15">
        <v>0</v>
      </c>
      <c r="M389" s="13">
        <v>45037</v>
      </c>
      <c r="O389">
        <v>0</v>
      </c>
      <c r="P389">
        <v>0</v>
      </c>
      <c r="Q389">
        <v>0</v>
      </c>
      <c r="R389">
        <v>0</v>
      </c>
      <c r="S389">
        <v>3688.2429906542038</v>
      </c>
      <c r="T389">
        <v>0</v>
      </c>
      <c r="U389">
        <v>0</v>
      </c>
      <c r="V389">
        <v>21898.439252336451</v>
      </c>
      <c r="W389">
        <v>0</v>
      </c>
      <c r="X389">
        <v>0</v>
      </c>
      <c r="Y389">
        <v>25586.682242990653</v>
      </c>
      <c r="Z389">
        <v>1791.067757009346</v>
      </c>
      <c r="AA389">
        <v>27377.75</v>
      </c>
      <c r="AB389" t="s">
        <v>242</v>
      </c>
      <c r="AC389">
        <v>2</v>
      </c>
      <c r="AD389">
        <v>6000</v>
      </c>
      <c r="AE389">
        <v>0</v>
      </c>
      <c r="AF389">
        <v>0</v>
      </c>
      <c r="AG389">
        <v>392.5233644859818</v>
      </c>
      <c r="AH389" t="s">
        <v>58</v>
      </c>
    </row>
    <row r="390" spans="1:34" x14ac:dyDescent="0.3">
      <c r="A390" t="s">
        <v>798</v>
      </c>
      <c r="B390">
        <v>52201384</v>
      </c>
      <c r="C390">
        <v>25169091</v>
      </c>
      <c r="D390" t="s">
        <v>157</v>
      </c>
      <c r="E390" t="s">
        <v>438</v>
      </c>
      <c r="F390" t="s">
        <v>431</v>
      </c>
      <c r="G390" t="s">
        <v>82</v>
      </c>
      <c r="H390" t="s">
        <v>83</v>
      </c>
      <c r="J390" t="s">
        <v>52</v>
      </c>
      <c r="K390" s="15">
        <v>1779</v>
      </c>
      <c r="L390" s="15">
        <v>0</v>
      </c>
      <c r="M390" s="13">
        <v>45038</v>
      </c>
      <c r="O390">
        <v>0</v>
      </c>
      <c r="P390">
        <v>0</v>
      </c>
      <c r="Q390">
        <v>0</v>
      </c>
      <c r="R390">
        <v>959.16593696653717</v>
      </c>
      <c r="S390">
        <v>10319.515669846969</v>
      </c>
      <c r="T390">
        <v>0</v>
      </c>
      <c r="U390">
        <v>0</v>
      </c>
      <c r="V390">
        <v>44175.65693863044</v>
      </c>
      <c r="W390">
        <v>0</v>
      </c>
      <c r="X390">
        <v>0</v>
      </c>
      <c r="Y390">
        <v>55454.338545443949</v>
      </c>
      <c r="Z390">
        <v>3814.6620825934192</v>
      </c>
      <c r="AA390">
        <v>59269.000628037371</v>
      </c>
      <c r="AB390" t="s">
        <v>242</v>
      </c>
      <c r="AC390">
        <v>1</v>
      </c>
      <c r="AD390">
        <v>1779</v>
      </c>
      <c r="AE390">
        <v>0</v>
      </c>
      <c r="AF390">
        <v>0</v>
      </c>
      <c r="AG390">
        <v>114.36599587631554</v>
      </c>
      <c r="AH390" t="s">
        <v>72</v>
      </c>
    </row>
    <row r="391" spans="1:34" x14ac:dyDescent="0.3">
      <c r="A391" t="s">
        <v>798</v>
      </c>
      <c r="B391">
        <v>52201323</v>
      </c>
      <c r="C391">
        <v>26835889</v>
      </c>
      <c r="D391" t="s">
        <v>877</v>
      </c>
      <c r="E391" t="s">
        <v>438</v>
      </c>
      <c r="F391" t="s">
        <v>431</v>
      </c>
      <c r="G391" t="s">
        <v>82</v>
      </c>
      <c r="H391" t="s">
        <v>83</v>
      </c>
      <c r="J391" t="s">
        <v>52</v>
      </c>
      <c r="K391" s="15">
        <v>500</v>
      </c>
      <c r="L391" s="15">
        <v>0</v>
      </c>
      <c r="M391" s="13">
        <v>45040</v>
      </c>
      <c r="O391">
        <v>0</v>
      </c>
      <c r="P391">
        <v>0</v>
      </c>
      <c r="Q391">
        <v>0</v>
      </c>
      <c r="R391">
        <v>968.61544116097764</v>
      </c>
      <c r="S391">
        <v>18939.870611264236</v>
      </c>
      <c r="T391">
        <v>0</v>
      </c>
      <c r="U391">
        <v>0</v>
      </c>
      <c r="V391">
        <v>48109.079118336827</v>
      </c>
      <c r="W391">
        <v>0</v>
      </c>
      <c r="X391">
        <v>0</v>
      </c>
      <c r="Y391">
        <v>68017.565170762042</v>
      </c>
      <c r="Z391">
        <v>4693.4264810720751</v>
      </c>
      <c r="AA391">
        <v>72710.99165183412</v>
      </c>
      <c r="AB391" t="s">
        <v>242</v>
      </c>
      <c r="AC391">
        <v>2</v>
      </c>
      <c r="AD391">
        <v>1500</v>
      </c>
      <c r="AE391">
        <v>0</v>
      </c>
      <c r="AF391">
        <v>0</v>
      </c>
      <c r="AG391">
        <v>96.731851290905126</v>
      </c>
      <c r="AH391" t="s">
        <v>58</v>
      </c>
    </row>
    <row r="392" spans="1:34" x14ac:dyDescent="0.3">
      <c r="A392" t="s">
        <v>798</v>
      </c>
      <c r="B392">
        <v>42201027</v>
      </c>
      <c r="C392" t="s">
        <v>369</v>
      </c>
      <c r="D392" t="s">
        <v>408</v>
      </c>
      <c r="E392" t="s">
        <v>439</v>
      </c>
      <c r="F392" t="s">
        <v>430</v>
      </c>
      <c r="G392" t="s">
        <v>419</v>
      </c>
      <c r="H392" t="s">
        <v>234</v>
      </c>
      <c r="J392" t="s">
        <v>52</v>
      </c>
      <c r="K392" s="15">
        <v>40000</v>
      </c>
      <c r="L392" s="15">
        <v>0</v>
      </c>
      <c r="M392" s="13">
        <v>45040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">
        <v>242</v>
      </c>
      <c r="AC392">
        <v>1</v>
      </c>
      <c r="AD392">
        <v>40000</v>
      </c>
      <c r="AE392">
        <v>0</v>
      </c>
      <c r="AF392">
        <v>0</v>
      </c>
      <c r="AG392">
        <v>2616.8224299065405</v>
      </c>
      <c r="AH392" t="s">
        <v>58</v>
      </c>
    </row>
    <row r="393" spans="1:34" x14ac:dyDescent="0.3">
      <c r="A393" t="s">
        <v>798</v>
      </c>
      <c r="B393">
        <v>82200027</v>
      </c>
      <c r="C393" t="s">
        <v>110</v>
      </c>
      <c r="D393" t="s">
        <v>535</v>
      </c>
      <c r="E393" t="s">
        <v>440</v>
      </c>
      <c r="F393" t="s">
        <v>433</v>
      </c>
      <c r="G393" t="s">
        <v>417</v>
      </c>
      <c r="H393" t="s">
        <v>83</v>
      </c>
      <c r="J393" t="s">
        <v>450</v>
      </c>
      <c r="K393" s="15">
        <v>1300000</v>
      </c>
      <c r="L393" s="15">
        <v>0</v>
      </c>
      <c r="M393" s="13">
        <v>45040</v>
      </c>
      <c r="O393">
        <v>0</v>
      </c>
      <c r="P393">
        <v>0</v>
      </c>
      <c r="Q393">
        <v>73753.475953623609</v>
      </c>
      <c r="R393">
        <v>45329.380000000005</v>
      </c>
      <c r="S393">
        <v>17636.327903342928</v>
      </c>
      <c r="T393">
        <v>0</v>
      </c>
      <c r="U393">
        <v>0</v>
      </c>
      <c r="V393">
        <v>178586.13718672865</v>
      </c>
      <c r="W393">
        <v>0</v>
      </c>
      <c r="X393">
        <v>0</v>
      </c>
      <c r="Y393">
        <v>315305.32104369521</v>
      </c>
      <c r="Z393">
        <v>13735.572556305011</v>
      </c>
      <c r="AA393">
        <v>329040.89360000024</v>
      </c>
      <c r="AB393" t="s">
        <v>242</v>
      </c>
      <c r="AC393">
        <v>8</v>
      </c>
      <c r="AD393">
        <v>217000</v>
      </c>
      <c r="AE393">
        <v>0</v>
      </c>
      <c r="AF393">
        <v>1300000</v>
      </c>
      <c r="AG393">
        <v>98133.001043694967</v>
      </c>
      <c r="AH393" t="s">
        <v>58</v>
      </c>
    </row>
    <row r="394" spans="1:34" x14ac:dyDescent="0.3">
      <c r="A394" t="s">
        <v>798</v>
      </c>
      <c r="B394">
        <v>62200113</v>
      </c>
      <c r="C394" t="s">
        <v>606</v>
      </c>
      <c r="D394" t="s">
        <v>81</v>
      </c>
      <c r="E394" t="s">
        <v>435</v>
      </c>
      <c r="F394" t="s">
        <v>432</v>
      </c>
      <c r="G394" t="s">
        <v>230</v>
      </c>
      <c r="H394" t="s">
        <v>230</v>
      </c>
      <c r="J394" t="s">
        <v>672</v>
      </c>
      <c r="M394" s="13">
        <v>45040</v>
      </c>
      <c r="O394">
        <v>5602</v>
      </c>
      <c r="P394">
        <v>0</v>
      </c>
      <c r="Q394">
        <v>0</v>
      </c>
      <c r="R394">
        <v>0</v>
      </c>
      <c r="S394">
        <v>27768.689999999995</v>
      </c>
      <c r="T394">
        <v>0</v>
      </c>
      <c r="U394">
        <v>0</v>
      </c>
      <c r="V394">
        <v>27082.080000000005</v>
      </c>
      <c r="W394">
        <v>0</v>
      </c>
      <c r="X394">
        <v>0</v>
      </c>
      <c r="Y394">
        <v>60452.770000000004</v>
      </c>
      <c r="Z394">
        <v>0</v>
      </c>
      <c r="AA394">
        <v>60452.770000000004</v>
      </c>
      <c r="AB394" t="s">
        <v>242</v>
      </c>
      <c r="AC394">
        <v>1</v>
      </c>
      <c r="AD394">
        <v>300</v>
      </c>
      <c r="AE394">
        <v>0</v>
      </c>
      <c r="AF394">
        <v>0</v>
      </c>
      <c r="AG394">
        <v>0</v>
      </c>
      <c r="AH394" t="s">
        <v>58</v>
      </c>
    </row>
    <row r="395" spans="1:34" x14ac:dyDescent="0.3">
      <c r="A395" t="s">
        <v>798</v>
      </c>
      <c r="B395">
        <v>12200038</v>
      </c>
      <c r="C395">
        <v>19668536</v>
      </c>
      <c r="D395" t="s">
        <v>808</v>
      </c>
      <c r="E395" t="s">
        <v>435</v>
      </c>
      <c r="F395" t="s">
        <v>427</v>
      </c>
      <c r="G395" t="s">
        <v>82</v>
      </c>
      <c r="H395" t="s">
        <v>82</v>
      </c>
      <c r="J395" t="s">
        <v>52</v>
      </c>
      <c r="K395" s="15">
        <v>300</v>
      </c>
      <c r="L395" s="15">
        <v>0</v>
      </c>
      <c r="M395" s="13">
        <v>45041</v>
      </c>
      <c r="O395">
        <v>0</v>
      </c>
      <c r="P395">
        <v>0</v>
      </c>
      <c r="Q395">
        <v>0</v>
      </c>
      <c r="R395">
        <v>0</v>
      </c>
      <c r="S395">
        <v>17780.96446684932</v>
      </c>
      <c r="T395">
        <v>0</v>
      </c>
      <c r="U395">
        <v>0</v>
      </c>
      <c r="V395">
        <v>213784.64</v>
      </c>
      <c r="W395">
        <v>0</v>
      </c>
      <c r="X395">
        <v>0</v>
      </c>
      <c r="Y395">
        <v>231565.60446684933</v>
      </c>
      <c r="Z395">
        <v>0</v>
      </c>
      <c r="AA395">
        <v>231565.60446684933</v>
      </c>
      <c r="AB395" t="s">
        <v>242</v>
      </c>
      <c r="AC395">
        <v>9</v>
      </c>
      <c r="AD395">
        <v>18800</v>
      </c>
      <c r="AE395">
        <v>0</v>
      </c>
      <c r="AF395">
        <v>0</v>
      </c>
      <c r="AG395">
        <v>0</v>
      </c>
      <c r="AH395" t="s">
        <v>58</v>
      </c>
    </row>
    <row r="396" spans="1:34" x14ac:dyDescent="0.3">
      <c r="A396" t="s">
        <v>798</v>
      </c>
      <c r="B396">
        <v>42200528</v>
      </c>
      <c r="C396">
        <v>2759051559</v>
      </c>
      <c r="D396" t="s">
        <v>826</v>
      </c>
      <c r="E396" t="s">
        <v>439</v>
      </c>
      <c r="F396" t="s">
        <v>430</v>
      </c>
      <c r="G396" t="s">
        <v>232</v>
      </c>
      <c r="H396" t="s">
        <v>71</v>
      </c>
      <c r="J396" t="s">
        <v>52</v>
      </c>
      <c r="K396" s="15">
        <v>12000</v>
      </c>
      <c r="L396" s="15">
        <v>0</v>
      </c>
      <c r="M396" s="13">
        <v>45041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59445.495327102806</v>
      </c>
      <c r="Y396">
        <v>59445.495327102806</v>
      </c>
      <c r="Z396">
        <v>4161.1846728971968</v>
      </c>
      <c r="AA396">
        <v>63606.68</v>
      </c>
      <c r="AB396" t="s">
        <v>242</v>
      </c>
      <c r="AC396">
        <v>2</v>
      </c>
      <c r="AD396">
        <v>17000</v>
      </c>
      <c r="AE396">
        <v>0</v>
      </c>
      <c r="AF396">
        <v>0</v>
      </c>
      <c r="AG396">
        <v>1112.1495327102812</v>
      </c>
      <c r="AH396" t="s">
        <v>58</v>
      </c>
    </row>
    <row r="397" spans="1:34" x14ac:dyDescent="0.3">
      <c r="A397" t="s">
        <v>798</v>
      </c>
      <c r="B397">
        <v>52201809</v>
      </c>
      <c r="C397">
        <v>28380987</v>
      </c>
      <c r="D397" t="s">
        <v>164</v>
      </c>
      <c r="E397" t="s">
        <v>438</v>
      </c>
      <c r="F397" t="s">
        <v>431</v>
      </c>
      <c r="G397" t="s">
        <v>82</v>
      </c>
      <c r="H397" t="s">
        <v>83</v>
      </c>
      <c r="J397" t="s">
        <v>52</v>
      </c>
      <c r="K397" s="15">
        <v>500</v>
      </c>
      <c r="L397" s="15">
        <v>0</v>
      </c>
      <c r="M397" s="13">
        <v>45041</v>
      </c>
      <c r="O397">
        <v>0</v>
      </c>
      <c r="P397">
        <v>0</v>
      </c>
      <c r="Q397">
        <v>0</v>
      </c>
      <c r="R397">
        <v>1004.2475071751574</v>
      </c>
      <c r="S397">
        <v>33948.055691621557</v>
      </c>
      <c r="T397">
        <v>0</v>
      </c>
      <c r="U397">
        <v>0</v>
      </c>
      <c r="V397">
        <v>51867.600635850336</v>
      </c>
      <c r="W397">
        <v>0</v>
      </c>
      <c r="X397">
        <v>0</v>
      </c>
      <c r="Y397">
        <v>86819.903834647048</v>
      </c>
      <c r="Z397">
        <v>6007.0959429230334</v>
      </c>
      <c r="AA397">
        <v>92826.999777570076</v>
      </c>
      <c r="AB397" t="s">
        <v>242</v>
      </c>
      <c r="AC397">
        <v>4</v>
      </c>
      <c r="AD397">
        <v>3000</v>
      </c>
      <c r="AE397">
        <v>0</v>
      </c>
      <c r="AF397">
        <v>0</v>
      </c>
      <c r="AG397">
        <v>193.98815467501032</v>
      </c>
      <c r="AH397" t="s">
        <v>58</v>
      </c>
    </row>
    <row r="398" spans="1:34" x14ac:dyDescent="0.3">
      <c r="A398" t="s">
        <v>798</v>
      </c>
      <c r="B398">
        <v>2200001</v>
      </c>
      <c r="C398" t="s">
        <v>630</v>
      </c>
      <c r="D398" t="s">
        <v>407</v>
      </c>
      <c r="E398" t="s">
        <v>435</v>
      </c>
      <c r="F398" t="s">
        <v>675</v>
      </c>
      <c r="G398" t="s">
        <v>235</v>
      </c>
      <c r="H398" t="s">
        <v>235</v>
      </c>
      <c r="J398" t="s">
        <v>52</v>
      </c>
      <c r="K398" s="15">
        <v>3000</v>
      </c>
      <c r="M398" s="13">
        <v>45041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60246.990000000005</v>
      </c>
      <c r="W398">
        <v>0</v>
      </c>
      <c r="X398">
        <v>0</v>
      </c>
      <c r="Y398">
        <v>60246.990000000005</v>
      </c>
      <c r="Z398">
        <v>0</v>
      </c>
      <c r="AA398">
        <v>60246.990000000005</v>
      </c>
      <c r="AB398" t="s">
        <v>242</v>
      </c>
      <c r="AC398">
        <v>3</v>
      </c>
      <c r="AD398">
        <v>9000</v>
      </c>
      <c r="AE398">
        <v>0</v>
      </c>
      <c r="AF398">
        <v>0</v>
      </c>
      <c r="AG398">
        <v>0</v>
      </c>
      <c r="AH398" t="s">
        <v>58</v>
      </c>
    </row>
    <row r="399" spans="1:34" x14ac:dyDescent="0.3">
      <c r="A399" t="s">
        <v>798</v>
      </c>
      <c r="B399">
        <v>52200006</v>
      </c>
      <c r="C399" t="s">
        <v>599</v>
      </c>
      <c r="D399" t="s">
        <v>598</v>
      </c>
      <c r="E399" t="s">
        <v>435</v>
      </c>
      <c r="F399" t="s">
        <v>431</v>
      </c>
      <c r="G399" t="s">
        <v>230</v>
      </c>
      <c r="H399" t="s">
        <v>231</v>
      </c>
      <c r="J399" t="s">
        <v>672</v>
      </c>
      <c r="M399" s="13">
        <v>45041</v>
      </c>
      <c r="O399">
        <v>5550</v>
      </c>
      <c r="P399">
        <v>0</v>
      </c>
      <c r="Q399">
        <v>0</v>
      </c>
      <c r="R399">
        <v>0</v>
      </c>
      <c r="S399">
        <v>0</v>
      </c>
      <c r="T399">
        <v>24439.252336448597</v>
      </c>
      <c r="U399">
        <v>0</v>
      </c>
      <c r="V399">
        <v>0</v>
      </c>
      <c r="W399">
        <v>50110.056074766355</v>
      </c>
      <c r="X399">
        <v>0</v>
      </c>
      <c r="Y399">
        <v>80099.308411214952</v>
      </c>
      <c r="Z399">
        <v>5218.4515887850475</v>
      </c>
      <c r="AA399">
        <v>85317.759999999995</v>
      </c>
      <c r="AB399" t="s">
        <v>242</v>
      </c>
      <c r="AC399">
        <v>1</v>
      </c>
      <c r="AD399">
        <v>3000</v>
      </c>
      <c r="AE399">
        <v>0</v>
      </c>
      <c r="AF399">
        <v>0</v>
      </c>
      <c r="AG399">
        <v>194.69271826994691</v>
      </c>
      <c r="AH399" t="s">
        <v>58</v>
      </c>
    </row>
    <row r="400" spans="1:34" x14ac:dyDescent="0.3">
      <c r="A400" t="s">
        <v>798</v>
      </c>
      <c r="B400">
        <v>4302300021</v>
      </c>
      <c r="C400">
        <v>901019034360</v>
      </c>
      <c r="D400" t="s">
        <v>926</v>
      </c>
      <c r="E400" t="s">
        <v>447</v>
      </c>
      <c r="F400" t="s">
        <v>433</v>
      </c>
      <c r="G400" t="s">
        <v>82</v>
      </c>
      <c r="H400" t="s">
        <v>83</v>
      </c>
      <c r="J400" t="s">
        <v>52</v>
      </c>
      <c r="K400" s="15">
        <v>54500</v>
      </c>
      <c r="L400" s="15">
        <v>0</v>
      </c>
      <c r="M400" s="13">
        <v>45042</v>
      </c>
      <c r="O400">
        <v>0</v>
      </c>
      <c r="P400">
        <v>0</v>
      </c>
      <c r="Q400">
        <v>112989.11101673462</v>
      </c>
      <c r="R400">
        <v>7238.4699999999993</v>
      </c>
      <c r="S400">
        <v>20810.404283425618</v>
      </c>
      <c r="T400">
        <v>0</v>
      </c>
      <c r="U400">
        <v>0</v>
      </c>
      <c r="V400">
        <v>1741895.31</v>
      </c>
      <c r="W400">
        <v>0</v>
      </c>
      <c r="X400">
        <v>0</v>
      </c>
      <c r="Y400">
        <v>1882933.2953001603</v>
      </c>
      <c r="Z400">
        <v>123389.39999983981</v>
      </c>
      <c r="AA400">
        <v>2006322.6953</v>
      </c>
      <c r="AB400" t="s">
        <v>242</v>
      </c>
      <c r="AC400">
        <v>2</v>
      </c>
      <c r="AD400">
        <v>107600</v>
      </c>
      <c r="AE400">
        <v>0</v>
      </c>
      <c r="AF400">
        <v>0</v>
      </c>
      <c r="AG400">
        <v>6588.615300160207</v>
      </c>
      <c r="AH400" t="s">
        <v>58</v>
      </c>
    </row>
    <row r="401" spans="1:34" x14ac:dyDescent="0.3">
      <c r="A401" t="s">
        <v>798</v>
      </c>
      <c r="B401">
        <v>82200006</v>
      </c>
      <c r="C401" t="s">
        <v>109</v>
      </c>
      <c r="D401" t="s">
        <v>532</v>
      </c>
      <c r="E401" t="s">
        <v>440</v>
      </c>
      <c r="F401" t="s">
        <v>433</v>
      </c>
      <c r="G401" t="s">
        <v>82</v>
      </c>
      <c r="H401" t="s">
        <v>83</v>
      </c>
      <c r="J401" t="s">
        <v>416</v>
      </c>
      <c r="K401" s="15">
        <v>0.29311136812313665</v>
      </c>
      <c r="L401" s="15">
        <v>0</v>
      </c>
      <c r="M401" s="13">
        <v>45042</v>
      </c>
      <c r="O401">
        <v>0</v>
      </c>
      <c r="P401">
        <v>0</v>
      </c>
      <c r="Q401">
        <v>19608.990860246253</v>
      </c>
      <c r="R401">
        <v>74653.094635251793</v>
      </c>
      <c r="S401">
        <v>47467.792658829829</v>
      </c>
      <c r="T401">
        <v>0</v>
      </c>
      <c r="U401">
        <v>0</v>
      </c>
      <c r="V401">
        <v>378455.4919248168</v>
      </c>
      <c r="W401">
        <v>0</v>
      </c>
      <c r="X401">
        <v>0</v>
      </c>
      <c r="Y401">
        <v>520185.37007914466</v>
      </c>
      <c r="Z401">
        <v>29814.629920855266</v>
      </c>
      <c r="AA401">
        <v>549999.99999999988</v>
      </c>
      <c r="AB401" t="s">
        <v>242</v>
      </c>
      <c r="AC401">
        <v>4</v>
      </c>
      <c r="AD401">
        <v>60000</v>
      </c>
      <c r="AE401">
        <v>0</v>
      </c>
      <c r="AF401">
        <v>0</v>
      </c>
      <c r="AG401">
        <v>3211.9715125622993</v>
      </c>
      <c r="AH401" t="s">
        <v>58</v>
      </c>
    </row>
    <row r="402" spans="1:34" x14ac:dyDescent="0.3">
      <c r="A402" t="s">
        <v>798</v>
      </c>
      <c r="B402">
        <v>2200009</v>
      </c>
      <c r="C402">
        <v>19887094</v>
      </c>
      <c r="D402" t="s">
        <v>77</v>
      </c>
      <c r="E402" t="s">
        <v>435</v>
      </c>
      <c r="F402" t="s">
        <v>426</v>
      </c>
      <c r="G402" t="s">
        <v>82</v>
      </c>
      <c r="H402" t="s">
        <v>82</v>
      </c>
      <c r="J402" t="s">
        <v>52</v>
      </c>
      <c r="K402" s="15">
        <v>900</v>
      </c>
      <c r="L402" s="15">
        <v>0</v>
      </c>
      <c r="M402" s="13">
        <v>45043</v>
      </c>
      <c r="O402">
        <v>0</v>
      </c>
      <c r="P402">
        <v>0</v>
      </c>
      <c r="Q402">
        <v>0</v>
      </c>
      <c r="R402">
        <v>0</v>
      </c>
      <c r="S402">
        <v>18801.616180538298</v>
      </c>
      <c r="T402">
        <v>0</v>
      </c>
      <c r="U402">
        <v>0</v>
      </c>
      <c r="V402">
        <v>107102.9400910782</v>
      </c>
      <c r="W402">
        <v>0</v>
      </c>
      <c r="X402">
        <v>0</v>
      </c>
      <c r="Y402">
        <v>125904.5562716165</v>
      </c>
      <c r="Z402">
        <v>0</v>
      </c>
      <c r="AA402">
        <v>125904.5562716165</v>
      </c>
      <c r="AB402" t="s">
        <v>242</v>
      </c>
      <c r="AC402">
        <v>9</v>
      </c>
      <c r="AD402">
        <v>8100</v>
      </c>
      <c r="AE402">
        <v>0</v>
      </c>
      <c r="AF402">
        <v>0</v>
      </c>
      <c r="AG402">
        <v>0</v>
      </c>
      <c r="AH402" t="s">
        <v>58</v>
      </c>
    </row>
    <row r="403" spans="1:34" x14ac:dyDescent="0.3">
      <c r="A403" t="s">
        <v>798</v>
      </c>
      <c r="B403">
        <v>62200005</v>
      </c>
      <c r="C403">
        <v>19887124</v>
      </c>
      <c r="D403" t="s">
        <v>77</v>
      </c>
      <c r="E403" t="s">
        <v>435</v>
      </c>
      <c r="F403" t="s">
        <v>432</v>
      </c>
      <c r="G403" t="s">
        <v>82</v>
      </c>
      <c r="H403" t="s">
        <v>82</v>
      </c>
      <c r="J403" t="s">
        <v>52</v>
      </c>
      <c r="K403" s="15">
        <v>1800</v>
      </c>
      <c r="L403" s="15">
        <v>0</v>
      </c>
      <c r="M403" s="13">
        <v>45043</v>
      </c>
      <c r="O403">
        <v>0</v>
      </c>
      <c r="P403">
        <v>0</v>
      </c>
      <c r="Q403">
        <v>0</v>
      </c>
      <c r="R403">
        <v>0</v>
      </c>
      <c r="S403">
        <v>10225.601058092285</v>
      </c>
      <c r="T403">
        <v>0</v>
      </c>
      <c r="U403">
        <v>0</v>
      </c>
      <c r="V403">
        <v>59598.02512483739</v>
      </c>
      <c r="W403">
        <v>0</v>
      </c>
      <c r="X403">
        <v>0</v>
      </c>
      <c r="Y403">
        <v>69823.626182929671</v>
      </c>
      <c r="Z403">
        <v>0</v>
      </c>
      <c r="AA403">
        <v>69823.626182929671</v>
      </c>
      <c r="AB403" t="s">
        <v>242</v>
      </c>
      <c r="AC403">
        <v>9</v>
      </c>
      <c r="AD403">
        <v>16200</v>
      </c>
      <c r="AE403">
        <v>0</v>
      </c>
      <c r="AF403">
        <v>0</v>
      </c>
      <c r="AG403">
        <v>0</v>
      </c>
      <c r="AH403" t="s">
        <v>58</v>
      </c>
    </row>
    <row r="404" spans="1:34" x14ac:dyDescent="0.3">
      <c r="A404" t="s">
        <v>798</v>
      </c>
      <c r="B404">
        <v>62200006</v>
      </c>
      <c r="C404">
        <v>19887213</v>
      </c>
      <c r="D404" t="s">
        <v>77</v>
      </c>
      <c r="E404" t="s">
        <v>435</v>
      </c>
      <c r="F404" t="s">
        <v>432</v>
      </c>
      <c r="G404" t="s">
        <v>82</v>
      </c>
      <c r="H404" t="s">
        <v>82</v>
      </c>
      <c r="J404" t="s">
        <v>52</v>
      </c>
      <c r="K404" s="15">
        <v>1800</v>
      </c>
      <c r="L404" s="15">
        <v>0</v>
      </c>
      <c r="M404" s="13">
        <v>45043</v>
      </c>
      <c r="O404">
        <v>0</v>
      </c>
      <c r="P404">
        <v>0</v>
      </c>
      <c r="Q404">
        <v>0</v>
      </c>
      <c r="R404">
        <v>0</v>
      </c>
      <c r="S404">
        <v>204.99542127979294</v>
      </c>
      <c r="T404">
        <v>0</v>
      </c>
      <c r="U404">
        <v>0</v>
      </c>
      <c r="V404">
        <v>29690.410958904111</v>
      </c>
      <c r="W404">
        <v>0</v>
      </c>
      <c r="X404">
        <v>0</v>
      </c>
      <c r="Y404">
        <v>29895.406380183904</v>
      </c>
      <c r="Z404">
        <v>0</v>
      </c>
      <c r="AA404">
        <v>29895.406380183904</v>
      </c>
      <c r="AB404" t="s">
        <v>242</v>
      </c>
      <c r="AC404">
        <v>9</v>
      </c>
      <c r="AD404">
        <v>16200</v>
      </c>
      <c r="AE404">
        <v>0</v>
      </c>
      <c r="AF404">
        <v>0</v>
      </c>
      <c r="AG404">
        <v>0</v>
      </c>
      <c r="AH404" t="s">
        <v>58</v>
      </c>
    </row>
    <row r="405" spans="1:34" x14ac:dyDescent="0.3">
      <c r="A405" t="s">
        <v>798</v>
      </c>
      <c r="B405">
        <v>82200024</v>
      </c>
      <c r="C405" t="s">
        <v>246</v>
      </c>
      <c r="D405" t="s">
        <v>317</v>
      </c>
      <c r="E405" t="s">
        <v>440</v>
      </c>
      <c r="F405" t="s">
        <v>433</v>
      </c>
      <c r="G405" t="s">
        <v>82</v>
      </c>
      <c r="H405" t="s">
        <v>83</v>
      </c>
      <c r="J405" t="s">
        <v>52</v>
      </c>
      <c r="K405" s="15">
        <v>10000</v>
      </c>
      <c r="L405" s="15">
        <v>0</v>
      </c>
      <c r="M405" s="13">
        <v>45043</v>
      </c>
      <c r="O405">
        <v>0</v>
      </c>
      <c r="P405">
        <v>0</v>
      </c>
      <c r="Q405">
        <v>21675.345380479965</v>
      </c>
      <c r="R405">
        <v>4997.25</v>
      </c>
      <c r="S405">
        <v>0</v>
      </c>
      <c r="T405">
        <v>0</v>
      </c>
      <c r="U405">
        <v>0</v>
      </c>
      <c r="V405">
        <v>251009.55328927108</v>
      </c>
      <c r="W405">
        <v>0</v>
      </c>
      <c r="X405">
        <v>0</v>
      </c>
      <c r="Y405">
        <v>277682.14866975101</v>
      </c>
      <c r="Z405">
        <v>17570.668730248977</v>
      </c>
      <c r="AA405">
        <v>295252.8174</v>
      </c>
      <c r="AB405" t="s">
        <v>242</v>
      </c>
      <c r="AC405">
        <v>5</v>
      </c>
      <c r="AD405">
        <v>90000</v>
      </c>
      <c r="AE405">
        <v>0</v>
      </c>
      <c r="AF405">
        <v>0</v>
      </c>
      <c r="AG405">
        <v>5315.8186697510282</v>
      </c>
      <c r="AH405" t="s">
        <v>58</v>
      </c>
    </row>
    <row r="406" spans="1:34" x14ac:dyDescent="0.3">
      <c r="A406" t="s">
        <v>798</v>
      </c>
      <c r="B406">
        <v>82200006</v>
      </c>
      <c r="C406" t="s">
        <v>109</v>
      </c>
      <c r="D406" t="s">
        <v>532</v>
      </c>
      <c r="E406" t="s">
        <v>440</v>
      </c>
      <c r="F406" t="s">
        <v>433</v>
      </c>
      <c r="G406" t="s">
        <v>417</v>
      </c>
      <c r="H406" t="s">
        <v>83</v>
      </c>
      <c r="J406" t="s">
        <v>52</v>
      </c>
      <c r="K406" s="15">
        <v>550000</v>
      </c>
      <c r="L406" s="15">
        <v>0</v>
      </c>
      <c r="M406" s="13">
        <v>45043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">
        <v>242</v>
      </c>
      <c r="AC406">
        <v>5</v>
      </c>
      <c r="AD406">
        <v>610000</v>
      </c>
      <c r="AE406">
        <v>0</v>
      </c>
      <c r="AF406">
        <v>0</v>
      </c>
      <c r="AG406">
        <v>33026.601433417578</v>
      </c>
      <c r="AH406" t="s">
        <v>58</v>
      </c>
    </row>
    <row r="407" spans="1:34" x14ac:dyDescent="0.3">
      <c r="A407" t="s">
        <v>798</v>
      </c>
      <c r="B407">
        <v>22200068</v>
      </c>
      <c r="C407">
        <v>20579132</v>
      </c>
      <c r="D407" t="s">
        <v>80</v>
      </c>
      <c r="E407" t="s">
        <v>435</v>
      </c>
      <c r="F407" t="s">
        <v>428</v>
      </c>
      <c r="G407" t="s">
        <v>82</v>
      </c>
      <c r="H407" t="s">
        <v>82</v>
      </c>
      <c r="J407" t="s">
        <v>52</v>
      </c>
      <c r="K407" s="15">
        <v>500</v>
      </c>
      <c r="L407" s="15">
        <v>0</v>
      </c>
      <c r="M407" s="13">
        <v>45044</v>
      </c>
      <c r="O407">
        <v>0</v>
      </c>
      <c r="P407">
        <v>0</v>
      </c>
      <c r="Q407">
        <v>0</v>
      </c>
      <c r="R407">
        <v>0</v>
      </c>
      <c r="S407">
        <v>4057.3615921232877</v>
      </c>
      <c r="T407">
        <v>0</v>
      </c>
      <c r="U407">
        <v>0</v>
      </c>
      <c r="V407">
        <v>21133.91</v>
      </c>
      <c r="W407">
        <v>0</v>
      </c>
      <c r="X407">
        <v>0</v>
      </c>
      <c r="Y407">
        <v>25191.271592123288</v>
      </c>
      <c r="Z407">
        <v>0</v>
      </c>
      <c r="AA407">
        <v>25191.271592123288</v>
      </c>
      <c r="AB407" t="s">
        <v>242</v>
      </c>
      <c r="AC407">
        <v>6</v>
      </c>
      <c r="AD407">
        <v>4500</v>
      </c>
      <c r="AE407">
        <v>0</v>
      </c>
      <c r="AF407">
        <v>0</v>
      </c>
      <c r="AG407">
        <v>0</v>
      </c>
      <c r="AH407" t="s">
        <v>58</v>
      </c>
    </row>
    <row r="408" spans="1:34" x14ac:dyDescent="0.3">
      <c r="A408" t="s">
        <v>798</v>
      </c>
      <c r="B408">
        <v>42201151</v>
      </c>
      <c r="C408">
        <v>2759024152</v>
      </c>
      <c r="D408" t="s">
        <v>830</v>
      </c>
      <c r="E408" t="s">
        <v>439</v>
      </c>
      <c r="F408" t="s">
        <v>430</v>
      </c>
      <c r="G408" t="s">
        <v>230</v>
      </c>
      <c r="H408" t="s">
        <v>234</v>
      </c>
      <c r="J408" t="s">
        <v>52</v>
      </c>
      <c r="K408" s="15">
        <v>3000</v>
      </c>
      <c r="L408" s="15">
        <v>0</v>
      </c>
      <c r="M408" s="13">
        <v>45044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324427.59813084116</v>
      </c>
      <c r="Y408">
        <v>324427.59813084116</v>
      </c>
      <c r="Z408">
        <v>22709.931869158881</v>
      </c>
      <c r="AA408">
        <v>347137.53</v>
      </c>
      <c r="AB408" t="s">
        <v>242</v>
      </c>
      <c r="AC408">
        <v>1</v>
      </c>
      <c r="AD408">
        <v>3000</v>
      </c>
      <c r="AE408">
        <v>0</v>
      </c>
      <c r="AF408">
        <v>0</v>
      </c>
      <c r="AG408">
        <v>196.2616822429909</v>
      </c>
      <c r="AH408" t="s">
        <v>72</v>
      </c>
    </row>
    <row r="409" spans="1:34" x14ac:dyDescent="0.3">
      <c r="A409" t="s">
        <v>798</v>
      </c>
      <c r="B409">
        <v>52200412</v>
      </c>
      <c r="C409">
        <v>25145601</v>
      </c>
      <c r="D409" t="s">
        <v>86</v>
      </c>
      <c r="E409" t="s">
        <v>436</v>
      </c>
      <c r="F409" t="s">
        <v>431</v>
      </c>
      <c r="G409" t="s">
        <v>82</v>
      </c>
      <c r="H409" t="s">
        <v>83</v>
      </c>
      <c r="J409" t="s">
        <v>52</v>
      </c>
      <c r="K409" s="15">
        <v>1000</v>
      </c>
      <c r="L409" s="15">
        <v>0</v>
      </c>
      <c r="M409" s="13">
        <v>45044</v>
      </c>
      <c r="O409">
        <v>0</v>
      </c>
      <c r="P409">
        <v>0</v>
      </c>
      <c r="Q409">
        <v>0</v>
      </c>
      <c r="R409">
        <v>838.72866905387912</v>
      </c>
      <c r="S409">
        <v>28569.971637795745</v>
      </c>
      <c r="T409">
        <v>0</v>
      </c>
      <c r="U409">
        <v>0</v>
      </c>
      <c r="V409">
        <v>52616.263104201244</v>
      </c>
      <c r="W409">
        <v>0</v>
      </c>
      <c r="X409">
        <v>0</v>
      </c>
      <c r="Y409">
        <v>82024.963411050863</v>
      </c>
      <c r="Z409">
        <v>5683.0364319397895</v>
      </c>
      <c r="AA409">
        <v>87707.999842990655</v>
      </c>
      <c r="AB409" t="s">
        <v>242</v>
      </c>
      <c r="AC409">
        <v>6</v>
      </c>
      <c r="AD409">
        <v>5100</v>
      </c>
      <c r="AE409">
        <v>0</v>
      </c>
      <c r="AF409">
        <v>0</v>
      </c>
      <c r="AG409">
        <v>330.22524003156224</v>
      </c>
      <c r="AH409" t="s">
        <v>58</v>
      </c>
    </row>
    <row r="410" spans="1:34" x14ac:dyDescent="0.3">
      <c r="A410" t="s">
        <v>798</v>
      </c>
      <c r="B410">
        <v>62200025</v>
      </c>
      <c r="C410">
        <v>9001302</v>
      </c>
      <c r="D410" t="s">
        <v>79</v>
      </c>
      <c r="E410" t="s">
        <v>435</v>
      </c>
      <c r="F410" t="s">
        <v>432</v>
      </c>
      <c r="G410" t="s">
        <v>82</v>
      </c>
      <c r="H410" t="s">
        <v>82</v>
      </c>
      <c r="J410" t="s">
        <v>52</v>
      </c>
      <c r="K410" s="15">
        <v>1000</v>
      </c>
      <c r="L410" s="15">
        <v>0</v>
      </c>
      <c r="M410" s="13">
        <v>45044</v>
      </c>
      <c r="O410">
        <v>0</v>
      </c>
      <c r="P410">
        <v>0</v>
      </c>
      <c r="Q410">
        <v>0</v>
      </c>
      <c r="R410">
        <v>0</v>
      </c>
      <c r="S410">
        <v>4985.2332638356165</v>
      </c>
      <c r="T410">
        <v>0</v>
      </c>
      <c r="U410">
        <v>0</v>
      </c>
      <c r="V410">
        <v>16839.61</v>
      </c>
      <c r="W410">
        <v>0</v>
      </c>
      <c r="X410">
        <v>0</v>
      </c>
      <c r="Y410">
        <v>21824.843263835617</v>
      </c>
      <c r="Z410">
        <v>0</v>
      </c>
      <c r="AA410">
        <v>21824.843263835617</v>
      </c>
      <c r="AB410" t="s">
        <v>242</v>
      </c>
      <c r="AC410">
        <v>8</v>
      </c>
      <c r="AD410">
        <v>8370</v>
      </c>
      <c r="AE410">
        <v>0</v>
      </c>
      <c r="AF410">
        <v>0</v>
      </c>
      <c r="AG410">
        <v>0</v>
      </c>
      <c r="AH410" t="s">
        <v>58</v>
      </c>
    </row>
    <row r="411" spans="1:34" x14ac:dyDescent="0.3">
      <c r="A411" t="s">
        <v>798</v>
      </c>
      <c r="B411">
        <v>62200080</v>
      </c>
      <c r="C411">
        <v>22425262</v>
      </c>
      <c r="D411" t="s">
        <v>80</v>
      </c>
      <c r="E411" t="s">
        <v>435</v>
      </c>
      <c r="F411" t="s">
        <v>432</v>
      </c>
      <c r="G411" t="s">
        <v>82</v>
      </c>
      <c r="H411" t="s">
        <v>82</v>
      </c>
      <c r="J411" t="s">
        <v>52</v>
      </c>
      <c r="K411" s="15">
        <v>500</v>
      </c>
      <c r="L411" s="15">
        <v>0</v>
      </c>
      <c r="M411" s="13">
        <v>45044</v>
      </c>
      <c r="O411">
        <v>0</v>
      </c>
      <c r="P411">
        <v>0</v>
      </c>
      <c r="Q411">
        <v>0</v>
      </c>
      <c r="R411">
        <v>0</v>
      </c>
      <c r="S411">
        <v>11739.219178082192</v>
      </c>
      <c r="T411">
        <v>0</v>
      </c>
      <c r="U411">
        <v>0</v>
      </c>
      <c r="V411">
        <v>30000</v>
      </c>
      <c r="W411">
        <v>0</v>
      </c>
      <c r="X411">
        <v>0</v>
      </c>
      <c r="Y411">
        <v>41739.219178082189</v>
      </c>
      <c r="Z411">
        <v>0</v>
      </c>
      <c r="AA411">
        <v>41739.219178082189</v>
      </c>
      <c r="AB411" t="s">
        <v>242</v>
      </c>
      <c r="AC411">
        <v>4</v>
      </c>
      <c r="AD411">
        <v>2000</v>
      </c>
      <c r="AE411">
        <v>0</v>
      </c>
      <c r="AF411">
        <v>0</v>
      </c>
      <c r="AG411">
        <v>0</v>
      </c>
      <c r="AH411" t="s">
        <v>58</v>
      </c>
    </row>
    <row r="412" spans="1:34" x14ac:dyDescent="0.3">
      <c r="A412" t="s">
        <v>798</v>
      </c>
      <c r="B412">
        <v>4302300007</v>
      </c>
      <c r="C412">
        <v>901021083430</v>
      </c>
      <c r="D412" t="s">
        <v>222</v>
      </c>
      <c r="E412" t="s">
        <v>447</v>
      </c>
      <c r="F412" t="s">
        <v>433</v>
      </c>
      <c r="G412" t="s">
        <v>82</v>
      </c>
      <c r="H412" t="s">
        <v>83</v>
      </c>
      <c r="J412" t="s">
        <v>52</v>
      </c>
      <c r="K412" s="15">
        <v>17725</v>
      </c>
      <c r="L412" s="15">
        <v>0</v>
      </c>
      <c r="M412" s="13">
        <v>45044</v>
      </c>
      <c r="O412">
        <v>0</v>
      </c>
      <c r="P412">
        <v>0</v>
      </c>
      <c r="Q412">
        <v>78634.22861248703</v>
      </c>
      <c r="R412">
        <v>469.7</v>
      </c>
      <c r="S412">
        <v>12016.780362161648</v>
      </c>
      <c r="T412">
        <v>0</v>
      </c>
      <c r="U412">
        <v>0</v>
      </c>
      <c r="V412">
        <v>928343.56</v>
      </c>
      <c r="W412">
        <v>0</v>
      </c>
      <c r="X412">
        <v>0</v>
      </c>
      <c r="Y412">
        <v>1019464.2689746488</v>
      </c>
      <c r="Z412">
        <v>65825.223825351335</v>
      </c>
      <c r="AA412">
        <v>1085289.4928000001</v>
      </c>
      <c r="AB412" t="s">
        <v>242</v>
      </c>
      <c r="AC412">
        <v>1</v>
      </c>
      <c r="AD412">
        <v>17725</v>
      </c>
      <c r="AE412">
        <v>0</v>
      </c>
      <c r="AF412">
        <v>0</v>
      </c>
      <c r="AG412">
        <v>1069.5089746486847</v>
      </c>
      <c r="AH412" t="s">
        <v>72</v>
      </c>
    </row>
    <row r="413" spans="1:34" x14ac:dyDescent="0.3">
      <c r="A413" t="s">
        <v>798</v>
      </c>
      <c r="B413">
        <v>62200104</v>
      </c>
      <c r="C413" t="s">
        <v>245</v>
      </c>
      <c r="D413" t="s">
        <v>316</v>
      </c>
      <c r="E413" t="s">
        <v>435</v>
      </c>
      <c r="F413" t="s">
        <v>432</v>
      </c>
      <c r="G413" t="s">
        <v>82</v>
      </c>
      <c r="H413" t="s">
        <v>82</v>
      </c>
      <c r="J413" t="s">
        <v>52</v>
      </c>
      <c r="K413" s="15">
        <v>2000</v>
      </c>
      <c r="L413" s="15">
        <v>0</v>
      </c>
      <c r="M413" s="13">
        <v>45044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19594.886678808063</v>
      </c>
      <c r="W413">
        <v>0</v>
      </c>
      <c r="X413">
        <v>0</v>
      </c>
      <c r="Y413">
        <v>19594.886678808063</v>
      </c>
      <c r="Z413">
        <v>0</v>
      </c>
      <c r="AA413">
        <v>19594.886678808063</v>
      </c>
      <c r="AB413" t="s">
        <v>242</v>
      </c>
      <c r="AC413">
        <v>9</v>
      </c>
      <c r="AD413">
        <v>18000</v>
      </c>
      <c r="AE413">
        <v>0</v>
      </c>
      <c r="AF413">
        <v>0</v>
      </c>
      <c r="AG413">
        <v>0</v>
      </c>
      <c r="AH413" t="s">
        <v>58</v>
      </c>
    </row>
    <row r="414" spans="1:34" x14ac:dyDescent="0.3">
      <c r="A414" t="s">
        <v>798</v>
      </c>
      <c r="B414">
        <v>42200038</v>
      </c>
      <c r="C414" t="s">
        <v>452</v>
      </c>
      <c r="D414" t="s">
        <v>521</v>
      </c>
      <c r="E414" t="s">
        <v>437</v>
      </c>
      <c r="F414" t="s">
        <v>430</v>
      </c>
      <c r="G414" t="s">
        <v>230</v>
      </c>
      <c r="H414" t="s">
        <v>231</v>
      </c>
      <c r="J414" t="s">
        <v>52</v>
      </c>
      <c r="K414" s="15">
        <v>2000</v>
      </c>
      <c r="L414" s="15">
        <v>0</v>
      </c>
      <c r="M414" s="13">
        <v>45044</v>
      </c>
      <c r="O414">
        <v>0</v>
      </c>
      <c r="P414">
        <v>0</v>
      </c>
      <c r="Q414">
        <v>0</v>
      </c>
      <c r="R414">
        <v>0</v>
      </c>
      <c r="S414">
        <v>22607.454598201024</v>
      </c>
      <c r="T414">
        <v>18266.523419937595</v>
      </c>
      <c r="U414">
        <v>22429.906542056076</v>
      </c>
      <c r="V414">
        <v>0</v>
      </c>
      <c r="W414">
        <v>310280.37383177568</v>
      </c>
      <c r="X414">
        <v>0</v>
      </c>
      <c r="Y414">
        <v>373584.25839197036</v>
      </c>
      <c r="Z414">
        <v>24568.376265563857</v>
      </c>
      <c r="AA414">
        <v>398152.63465753419</v>
      </c>
      <c r="AB414" t="s">
        <v>242</v>
      </c>
      <c r="AC414">
        <v>3</v>
      </c>
      <c r="AD414">
        <v>9000</v>
      </c>
      <c r="AE414">
        <v>0</v>
      </c>
      <c r="AF414">
        <v>0</v>
      </c>
      <c r="AG414">
        <v>553.11906153894779</v>
      </c>
      <c r="AH414" t="s">
        <v>58</v>
      </c>
    </row>
    <row r="415" spans="1:34" x14ac:dyDescent="0.3">
      <c r="A415" t="s">
        <v>798</v>
      </c>
      <c r="B415">
        <v>4142300101</v>
      </c>
      <c r="C415" t="s">
        <v>472</v>
      </c>
      <c r="D415" t="s">
        <v>545</v>
      </c>
      <c r="E415" t="s">
        <v>444</v>
      </c>
      <c r="F415" t="s">
        <v>430</v>
      </c>
      <c r="G415" t="s">
        <v>421</v>
      </c>
      <c r="H415" t="s">
        <v>231</v>
      </c>
      <c r="J415" t="s">
        <v>52</v>
      </c>
      <c r="K415" s="15">
        <v>530000</v>
      </c>
      <c r="L415" s="15">
        <v>0</v>
      </c>
      <c r="M415" s="13">
        <v>45044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">
        <v>242</v>
      </c>
      <c r="AC415">
        <v>1</v>
      </c>
      <c r="AD415">
        <v>530000</v>
      </c>
      <c r="AE415">
        <v>0</v>
      </c>
      <c r="AF415">
        <v>0</v>
      </c>
      <c r="AG415">
        <v>33716.317757009354</v>
      </c>
      <c r="AH415" t="s">
        <v>72</v>
      </c>
    </row>
    <row r="416" spans="1:34" x14ac:dyDescent="0.3">
      <c r="A416" t="s">
        <v>798</v>
      </c>
      <c r="B416">
        <v>12200176</v>
      </c>
      <c r="C416">
        <v>28068851</v>
      </c>
      <c r="D416" t="s">
        <v>119</v>
      </c>
      <c r="E416" t="s">
        <v>438</v>
      </c>
      <c r="F416" t="s">
        <v>427</v>
      </c>
      <c r="G416" t="s">
        <v>82</v>
      </c>
      <c r="H416" t="s">
        <v>82</v>
      </c>
      <c r="J416" t="s">
        <v>52</v>
      </c>
      <c r="K416" s="15">
        <v>2000</v>
      </c>
      <c r="L416" s="15">
        <v>0</v>
      </c>
      <c r="M416" s="13">
        <v>45045</v>
      </c>
      <c r="O416">
        <v>0</v>
      </c>
      <c r="P416">
        <v>0</v>
      </c>
      <c r="Q416">
        <v>0</v>
      </c>
      <c r="R416">
        <v>0</v>
      </c>
      <c r="S416">
        <v>19583.210712701741</v>
      </c>
      <c r="T416">
        <v>0</v>
      </c>
      <c r="U416">
        <v>0</v>
      </c>
      <c r="V416">
        <v>144142.15908220914</v>
      </c>
      <c r="W416">
        <v>0</v>
      </c>
      <c r="X416">
        <v>0</v>
      </c>
      <c r="Y416">
        <v>163725.36979491089</v>
      </c>
      <c r="Z416">
        <v>0</v>
      </c>
      <c r="AA416">
        <v>163725.36979491089</v>
      </c>
      <c r="AB416" t="s">
        <v>242</v>
      </c>
      <c r="AC416">
        <v>1</v>
      </c>
      <c r="AD416">
        <v>2000</v>
      </c>
      <c r="AE416">
        <v>0</v>
      </c>
      <c r="AF416">
        <v>0</v>
      </c>
      <c r="AG416">
        <v>0</v>
      </c>
      <c r="AH416" t="s">
        <v>72</v>
      </c>
    </row>
    <row r="417" spans="1:34" x14ac:dyDescent="0.3">
      <c r="A417" t="s">
        <v>798</v>
      </c>
      <c r="B417">
        <v>12200198</v>
      </c>
      <c r="C417">
        <v>21155200</v>
      </c>
      <c r="D417" t="s">
        <v>815</v>
      </c>
      <c r="E417" t="s">
        <v>438</v>
      </c>
      <c r="F417" t="s">
        <v>427</v>
      </c>
      <c r="G417" t="s">
        <v>82</v>
      </c>
      <c r="H417" t="s">
        <v>82</v>
      </c>
      <c r="J417" t="s">
        <v>52</v>
      </c>
      <c r="K417" s="15">
        <v>3000</v>
      </c>
      <c r="L417" s="15">
        <v>0</v>
      </c>
      <c r="M417" s="13">
        <v>45045</v>
      </c>
      <c r="O417">
        <v>0</v>
      </c>
      <c r="P417">
        <v>0</v>
      </c>
      <c r="Q417">
        <v>0</v>
      </c>
      <c r="R417">
        <v>0</v>
      </c>
      <c r="S417">
        <v>27252.267691327819</v>
      </c>
      <c r="T417">
        <v>0</v>
      </c>
      <c r="U417">
        <v>0</v>
      </c>
      <c r="V417">
        <v>142102.18304325169</v>
      </c>
      <c r="W417">
        <v>0</v>
      </c>
      <c r="X417">
        <v>0</v>
      </c>
      <c r="Y417">
        <v>169354.4507345795</v>
      </c>
      <c r="Z417">
        <v>0</v>
      </c>
      <c r="AA417">
        <v>169354.4507345795</v>
      </c>
      <c r="AB417" t="s">
        <v>242</v>
      </c>
      <c r="AC417">
        <v>5</v>
      </c>
      <c r="AD417">
        <v>12000</v>
      </c>
      <c r="AE417">
        <v>0</v>
      </c>
      <c r="AF417">
        <v>0</v>
      </c>
      <c r="AG417">
        <v>0</v>
      </c>
      <c r="AH417" t="s">
        <v>58</v>
      </c>
    </row>
    <row r="418" spans="1:34" x14ac:dyDescent="0.3">
      <c r="A418" t="s">
        <v>798</v>
      </c>
      <c r="B418">
        <v>32200116</v>
      </c>
      <c r="C418">
        <v>29893893</v>
      </c>
      <c r="D418" t="s">
        <v>119</v>
      </c>
      <c r="E418" t="s">
        <v>438</v>
      </c>
      <c r="F418" t="s">
        <v>429</v>
      </c>
      <c r="G418" t="s">
        <v>82</v>
      </c>
      <c r="H418" t="s">
        <v>82</v>
      </c>
      <c r="J418" t="s">
        <v>52</v>
      </c>
      <c r="K418" s="15">
        <v>1000</v>
      </c>
      <c r="L418" s="15">
        <v>0</v>
      </c>
      <c r="M418" s="13">
        <v>45045</v>
      </c>
      <c r="O418">
        <v>0</v>
      </c>
      <c r="P418">
        <v>0</v>
      </c>
      <c r="Q418">
        <v>0</v>
      </c>
      <c r="R418">
        <v>0</v>
      </c>
      <c r="S418">
        <v>726.09853259718261</v>
      </c>
      <c r="T418">
        <v>0</v>
      </c>
      <c r="U418">
        <v>0</v>
      </c>
      <c r="V418">
        <v>6159.0528874823667</v>
      </c>
      <c r="W418">
        <v>0</v>
      </c>
      <c r="X418">
        <v>0</v>
      </c>
      <c r="Y418">
        <v>6885.1514200795491</v>
      </c>
      <c r="Z418">
        <v>0</v>
      </c>
      <c r="AA418">
        <v>6885.1514200795491</v>
      </c>
      <c r="AB418" t="s">
        <v>242</v>
      </c>
      <c r="AC418">
        <v>1</v>
      </c>
      <c r="AD418">
        <v>1000</v>
      </c>
      <c r="AE418">
        <v>0</v>
      </c>
      <c r="AF418">
        <v>0</v>
      </c>
      <c r="AG418">
        <v>0</v>
      </c>
      <c r="AH418" t="s">
        <v>72</v>
      </c>
    </row>
    <row r="419" spans="1:34" x14ac:dyDescent="0.3">
      <c r="A419" t="s">
        <v>798</v>
      </c>
      <c r="B419">
        <v>42201379</v>
      </c>
      <c r="C419">
        <v>2753003129</v>
      </c>
      <c r="D419" t="s">
        <v>833</v>
      </c>
      <c r="E419" t="s">
        <v>439</v>
      </c>
      <c r="F419" t="s">
        <v>430</v>
      </c>
      <c r="G419" t="s">
        <v>230</v>
      </c>
      <c r="H419" t="s">
        <v>234</v>
      </c>
      <c r="J419" t="s">
        <v>52</v>
      </c>
      <c r="K419" s="15">
        <v>500</v>
      </c>
      <c r="L419" s="15">
        <v>0</v>
      </c>
      <c r="M419" s="13">
        <v>45045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75850.037383177565</v>
      </c>
      <c r="Y419">
        <v>75850.037383177565</v>
      </c>
      <c r="Z419">
        <v>5309.5026168224304</v>
      </c>
      <c r="AA419">
        <v>81159.539999999994</v>
      </c>
      <c r="AB419" t="s">
        <v>242</v>
      </c>
      <c r="AC419">
        <v>1</v>
      </c>
      <c r="AD419">
        <v>500</v>
      </c>
      <c r="AE419">
        <v>0</v>
      </c>
      <c r="AF419">
        <v>0</v>
      </c>
      <c r="AG419">
        <v>32.710280373831779</v>
      </c>
      <c r="AH419" t="s">
        <v>72</v>
      </c>
    </row>
    <row r="420" spans="1:34" x14ac:dyDescent="0.3">
      <c r="A420" t="s">
        <v>798</v>
      </c>
      <c r="B420">
        <v>52200698</v>
      </c>
      <c r="C420">
        <v>29796909</v>
      </c>
      <c r="D420" t="s">
        <v>858</v>
      </c>
      <c r="E420" t="s">
        <v>438</v>
      </c>
      <c r="F420" t="s">
        <v>431</v>
      </c>
      <c r="G420" t="s">
        <v>82</v>
      </c>
      <c r="H420" t="s">
        <v>83</v>
      </c>
      <c r="J420" t="s">
        <v>52</v>
      </c>
      <c r="K420" s="15">
        <v>1600</v>
      </c>
      <c r="L420" s="15">
        <v>0</v>
      </c>
      <c r="M420" s="13">
        <v>45045</v>
      </c>
      <c r="O420">
        <v>0</v>
      </c>
      <c r="P420">
        <v>0</v>
      </c>
      <c r="Q420">
        <v>0</v>
      </c>
      <c r="R420">
        <v>936.37239476392961</v>
      </c>
      <c r="S420">
        <v>29502.508322650516</v>
      </c>
      <c r="T420">
        <v>0</v>
      </c>
      <c r="U420">
        <v>0</v>
      </c>
      <c r="V420">
        <v>52314.898317757012</v>
      </c>
      <c r="W420">
        <v>0</v>
      </c>
      <c r="X420">
        <v>0</v>
      </c>
      <c r="Y420">
        <v>82753.779035171465</v>
      </c>
      <c r="Z420">
        <v>5727.2184648285274</v>
      </c>
      <c r="AA420">
        <v>88480.997499999998</v>
      </c>
      <c r="AB420" t="s">
        <v>242</v>
      </c>
      <c r="AC420">
        <v>2</v>
      </c>
      <c r="AD420">
        <v>4726</v>
      </c>
      <c r="AE420">
        <v>0</v>
      </c>
      <c r="AF420">
        <v>0</v>
      </c>
      <c r="AG420">
        <v>305.66922208735991</v>
      </c>
      <c r="AH420" t="s">
        <v>58</v>
      </c>
    </row>
    <row r="421" spans="1:34" x14ac:dyDescent="0.3">
      <c r="A421" t="s">
        <v>798</v>
      </c>
      <c r="B421">
        <v>52200709</v>
      </c>
      <c r="C421">
        <v>25387582</v>
      </c>
      <c r="D421" t="s">
        <v>859</v>
      </c>
      <c r="E421" t="s">
        <v>438</v>
      </c>
      <c r="F421" t="s">
        <v>431</v>
      </c>
      <c r="G421" t="s">
        <v>82</v>
      </c>
      <c r="H421" t="s">
        <v>83</v>
      </c>
      <c r="J421" t="s">
        <v>52</v>
      </c>
      <c r="K421" s="15">
        <v>1600</v>
      </c>
      <c r="L421" s="15">
        <v>0</v>
      </c>
      <c r="M421" s="13">
        <v>45045</v>
      </c>
      <c r="O421">
        <v>0</v>
      </c>
      <c r="P421">
        <v>0</v>
      </c>
      <c r="Q421">
        <v>0</v>
      </c>
      <c r="R421">
        <v>874.29552501888247</v>
      </c>
      <c r="S421">
        <v>32895.56599660404</v>
      </c>
      <c r="T421">
        <v>0</v>
      </c>
      <c r="U421">
        <v>0</v>
      </c>
      <c r="V421">
        <v>50076.119419790222</v>
      </c>
      <c r="W421">
        <v>0</v>
      </c>
      <c r="X421">
        <v>0</v>
      </c>
      <c r="Y421">
        <v>83845.980941413145</v>
      </c>
      <c r="Z421">
        <v>5808.0179791475994</v>
      </c>
      <c r="AA421">
        <v>89653.998920560742</v>
      </c>
      <c r="AB421" t="s">
        <v>242</v>
      </c>
      <c r="AC421">
        <v>1</v>
      </c>
      <c r="AD421">
        <v>1600</v>
      </c>
      <c r="AE421">
        <v>0</v>
      </c>
      <c r="AF421">
        <v>0</v>
      </c>
      <c r="AG421">
        <v>103.58008107600176</v>
      </c>
      <c r="AH421" t="s">
        <v>72</v>
      </c>
    </row>
    <row r="422" spans="1:34" x14ac:dyDescent="0.3">
      <c r="A422" t="s">
        <v>798</v>
      </c>
      <c r="B422">
        <v>52201479</v>
      </c>
      <c r="C422">
        <v>26373941</v>
      </c>
      <c r="D422" t="s">
        <v>159</v>
      </c>
      <c r="E422" t="s">
        <v>438</v>
      </c>
      <c r="F422" t="s">
        <v>431</v>
      </c>
      <c r="G422" t="s">
        <v>82</v>
      </c>
      <c r="H422" t="s">
        <v>83</v>
      </c>
      <c r="J422" t="s">
        <v>52</v>
      </c>
      <c r="K422" s="15">
        <v>2500</v>
      </c>
      <c r="L422" s="15">
        <v>0</v>
      </c>
      <c r="M422" s="13">
        <v>45045</v>
      </c>
      <c r="O422">
        <v>0</v>
      </c>
      <c r="P422">
        <v>0</v>
      </c>
      <c r="Q422">
        <v>0</v>
      </c>
      <c r="R422">
        <v>858.6584160273643</v>
      </c>
      <c r="S422">
        <v>16980.449786102596</v>
      </c>
      <c r="T422">
        <v>0</v>
      </c>
      <c r="U422">
        <v>0</v>
      </c>
      <c r="V422">
        <v>48696.505044756617</v>
      </c>
      <c r="W422">
        <v>0</v>
      </c>
      <c r="X422">
        <v>0</v>
      </c>
      <c r="Y422">
        <v>66535.613246886584</v>
      </c>
      <c r="Z422">
        <v>4597.3868381601451</v>
      </c>
      <c r="AA422">
        <v>71133.000085046733</v>
      </c>
      <c r="AB422" t="s">
        <v>242</v>
      </c>
      <c r="AC422">
        <v>1</v>
      </c>
      <c r="AD422">
        <v>2500</v>
      </c>
      <c r="AE422">
        <v>0</v>
      </c>
      <c r="AF422">
        <v>0</v>
      </c>
      <c r="AG422">
        <v>161.4355973102015</v>
      </c>
      <c r="AH422" t="s">
        <v>72</v>
      </c>
    </row>
    <row r="423" spans="1:34" x14ac:dyDescent="0.3">
      <c r="A423" t="s">
        <v>798</v>
      </c>
      <c r="B423">
        <v>52201746</v>
      </c>
      <c r="C423">
        <v>27419275</v>
      </c>
      <c r="D423" t="s">
        <v>885</v>
      </c>
      <c r="E423" t="s">
        <v>438</v>
      </c>
      <c r="F423" t="s">
        <v>431</v>
      </c>
      <c r="G423" t="s">
        <v>82</v>
      </c>
      <c r="H423" t="s">
        <v>83</v>
      </c>
      <c r="J423" t="s">
        <v>52</v>
      </c>
      <c r="K423" s="15">
        <v>2000</v>
      </c>
      <c r="L423" s="15">
        <v>0</v>
      </c>
      <c r="M423" s="13">
        <v>45045</v>
      </c>
      <c r="O423">
        <v>0</v>
      </c>
      <c r="P423">
        <v>0</v>
      </c>
      <c r="Q423">
        <v>0</v>
      </c>
      <c r="R423">
        <v>879.72854414457743</v>
      </c>
      <c r="S423">
        <v>64651.735539649417</v>
      </c>
      <c r="T423">
        <v>0</v>
      </c>
      <c r="U423">
        <v>0</v>
      </c>
      <c r="V423">
        <v>90697.116269910635</v>
      </c>
      <c r="W423">
        <v>0</v>
      </c>
      <c r="X423">
        <v>0</v>
      </c>
      <c r="Y423">
        <v>156228.58035370463</v>
      </c>
      <c r="Z423">
        <v>10874.419626669205</v>
      </c>
      <c r="AA423">
        <v>167102.99998037383</v>
      </c>
      <c r="AB423" t="s">
        <v>242</v>
      </c>
      <c r="AC423">
        <v>1</v>
      </c>
      <c r="AD423">
        <v>2000</v>
      </c>
      <c r="AE423">
        <v>0</v>
      </c>
      <c r="AF423">
        <v>0</v>
      </c>
      <c r="AG423">
        <v>130.10373653282295</v>
      </c>
      <c r="AH423" t="s">
        <v>72</v>
      </c>
    </row>
    <row r="424" spans="1:34" x14ac:dyDescent="0.3">
      <c r="A424" t="s">
        <v>798</v>
      </c>
      <c r="B424">
        <v>4132300102</v>
      </c>
      <c r="C424">
        <v>1070191047</v>
      </c>
      <c r="D424" t="s">
        <v>900</v>
      </c>
      <c r="E424" t="s">
        <v>441</v>
      </c>
      <c r="F424" t="s">
        <v>430</v>
      </c>
      <c r="G424" t="s">
        <v>230</v>
      </c>
      <c r="H424" t="s">
        <v>231</v>
      </c>
      <c r="J424" t="s">
        <v>52</v>
      </c>
      <c r="K424" s="15">
        <v>2000</v>
      </c>
      <c r="L424" s="15">
        <v>0</v>
      </c>
      <c r="M424" s="13">
        <v>45045</v>
      </c>
      <c r="O424">
        <v>0</v>
      </c>
      <c r="P424">
        <v>26828.388313867606</v>
      </c>
      <c r="Q424">
        <v>0</v>
      </c>
      <c r="R424">
        <v>0</v>
      </c>
      <c r="S424">
        <v>17268.904109589042</v>
      </c>
      <c r="T424">
        <v>82342.627744048965</v>
      </c>
      <c r="U424">
        <v>0</v>
      </c>
      <c r="V424">
        <v>0</v>
      </c>
      <c r="W424">
        <v>700934.57943925238</v>
      </c>
      <c r="X424">
        <v>0</v>
      </c>
      <c r="Y424">
        <v>827374.49960675801</v>
      </c>
      <c r="Z424">
        <v>54829.404502831101</v>
      </c>
      <c r="AA424">
        <v>882203.90410958906</v>
      </c>
      <c r="AB424" t="s">
        <v>242</v>
      </c>
      <c r="AC424">
        <v>1</v>
      </c>
      <c r="AD424">
        <v>2000</v>
      </c>
      <c r="AE424">
        <v>0</v>
      </c>
      <c r="AF424">
        <v>0</v>
      </c>
      <c r="AG424">
        <v>123.86652520629218</v>
      </c>
      <c r="AH424" t="s">
        <v>72</v>
      </c>
    </row>
    <row r="425" spans="1:34" x14ac:dyDescent="0.3">
      <c r="A425" t="s">
        <v>798</v>
      </c>
      <c r="B425">
        <v>4302300011</v>
      </c>
      <c r="C425">
        <v>901014013205</v>
      </c>
      <c r="D425" t="s">
        <v>223</v>
      </c>
      <c r="E425" t="s">
        <v>447</v>
      </c>
      <c r="F425" t="s">
        <v>433</v>
      </c>
      <c r="G425" t="s">
        <v>82</v>
      </c>
      <c r="H425" t="s">
        <v>83</v>
      </c>
      <c r="J425" t="s">
        <v>52</v>
      </c>
      <c r="K425" s="15">
        <v>25000</v>
      </c>
      <c r="L425" s="15">
        <v>0</v>
      </c>
      <c r="M425" s="13">
        <v>45045</v>
      </c>
      <c r="O425">
        <v>0</v>
      </c>
      <c r="P425">
        <v>0</v>
      </c>
      <c r="Q425">
        <v>96250.692518507567</v>
      </c>
      <c r="R425">
        <v>53777.27</v>
      </c>
      <c r="S425">
        <v>227375.52073036676</v>
      </c>
      <c r="T425">
        <v>0</v>
      </c>
      <c r="U425">
        <v>0</v>
      </c>
      <c r="V425">
        <v>1369513.93</v>
      </c>
      <c r="W425">
        <v>0</v>
      </c>
      <c r="X425">
        <v>0</v>
      </c>
      <c r="Y425">
        <v>1746917.4132488742</v>
      </c>
      <c r="Z425">
        <v>111782.26155112567</v>
      </c>
      <c r="AA425">
        <v>1858699.6747999999</v>
      </c>
      <c r="AB425" t="s">
        <v>242</v>
      </c>
      <c r="AC425">
        <v>1</v>
      </c>
      <c r="AD425">
        <v>25000</v>
      </c>
      <c r="AE425">
        <v>0</v>
      </c>
      <c r="AF425">
        <v>0</v>
      </c>
      <c r="AG425">
        <v>1494.9332488743275</v>
      </c>
      <c r="AH425" t="s">
        <v>72</v>
      </c>
    </row>
    <row r="426" spans="1:34" x14ac:dyDescent="0.3">
      <c r="A426" t="s">
        <v>798</v>
      </c>
      <c r="B426">
        <v>4302300009</v>
      </c>
      <c r="C426" t="s">
        <v>107</v>
      </c>
      <c r="D426" t="s">
        <v>223</v>
      </c>
      <c r="E426" t="s">
        <v>447</v>
      </c>
      <c r="F426" t="s">
        <v>433</v>
      </c>
      <c r="G426" t="s">
        <v>82</v>
      </c>
      <c r="H426" t="s">
        <v>83</v>
      </c>
      <c r="J426" t="s">
        <v>52</v>
      </c>
      <c r="K426" s="15">
        <v>25000</v>
      </c>
      <c r="L426" s="15">
        <v>0</v>
      </c>
      <c r="M426" s="13">
        <v>45045</v>
      </c>
      <c r="O426">
        <v>0</v>
      </c>
      <c r="P426">
        <v>0</v>
      </c>
      <c r="Q426">
        <v>65163.556215812947</v>
      </c>
      <c r="R426">
        <v>49137.270000000004</v>
      </c>
      <c r="S426">
        <v>172523.33559269816</v>
      </c>
      <c r="T426">
        <v>0</v>
      </c>
      <c r="U426">
        <v>0</v>
      </c>
      <c r="V426">
        <v>929644.61</v>
      </c>
      <c r="W426">
        <v>0</v>
      </c>
      <c r="X426">
        <v>0</v>
      </c>
      <c r="Y426">
        <v>1216468.7718085111</v>
      </c>
      <c r="Z426">
        <v>77151.756191488879</v>
      </c>
      <c r="AA426">
        <v>1293620.5279999999</v>
      </c>
      <c r="AB426" t="s">
        <v>242</v>
      </c>
      <c r="AC426">
        <v>1</v>
      </c>
      <c r="AD426">
        <v>25000</v>
      </c>
      <c r="AE426">
        <v>0</v>
      </c>
      <c r="AF426">
        <v>0</v>
      </c>
      <c r="AG426">
        <v>1481.6518085111275</v>
      </c>
      <c r="AH426" t="s">
        <v>72</v>
      </c>
    </row>
    <row r="427" spans="1:34" x14ac:dyDescent="0.3">
      <c r="A427" t="s">
        <v>798</v>
      </c>
      <c r="B427">
        <v>4302300010</v>
      </c>
      <c r="C427" t="s">
        <v>107</v>
      </c>
      <c r="D427" t="s">
        <v>223</v>
      </c>
      <c r="E427" t="s">
        <v>447</v>
      </c>
      <c r="F427" t="s">
        <v>433</v>
      </c>
      <c r="G427" t="s">
        <v>82</v>
      </c>
      <c r="H427" t="s">
        <v>83</v>
      </c>
      <c r="J427" t="s">
        <v>52</v>
      </c>
      <c r="K427" s="15">
        <v>25000</v>
      </c>
      <c r="L427" s="15">
        <v>0</v>
      </c>
      <c r="M427" s="13">
        <v>45045</v>
      </c>
      <c r="O427">
        <v>0</v>
      </c>
      <c r="P427">
        <v>0</v>
      </c>
      <c r="Q427">
        <v>75020.754497452916</v>
      </c>
      <c r="R427">
        <v>51860.51</v>
      </c>
      <c r="S427">
        <v>177853.50065658608</v>
      </c>
      <c r="T427">
        <v>0</v>
      </c>
      <c r="U427">
        <v>0</v>
      </c>
      <c r="V427">
        <v>1078083.51</v>
      </c>
      <c r="W427">
        <v>0</v>
      </c>
      <c r="X427">
        <v>0</v>
      </c>
      <c r="Y427">
        <v>1382818.275154039</v>
      </c>
      <c r="Z427">
        <v>87915.590745961032</v>
      </c>
      <c r="AA427">
        <v>1470733.8659000001</v>
      </c>
      <c r="AB427" t="s">
        <v>242</v>
      </c>
      <c r="AC427">
        <v>1</v>
      </c>
      <c r="AD427">
        <v>25000</v>
      </c>
      <c r="AE427">
        <v>0</v>
      </c>
      <c r="AF427">
        <v>0</v>
      </c>
      <c r="AG427">
        <v>1485.2851540389747</v>
      </c>
      <c r="AH427" t="s">
        <v>72</v>
      </c>
    </row>
    <row r="428" spans="1:34" x14ac:dyDescent="0.3">
      <c r="A428" t="s">
        <v>798</v>
      </c>
      <c r="B428">
        <v>12200035</v>
      </c>
      <c r="C428" t="s">
        <v>632</v>
      </c>
      <c r="D428" t="s">
        <v>631</v>
      </c>
      <c r="E428" t="s">
        <v>435</v>
      </c>
      <c r="F428" t="s">
        <v>427</v>
      </c>
      <c r="G428" t="s">
        <v>230</v>
      </c>
      <c r="H428" t="s">
        <v>230</v>
      </c>
      <c r="J428" t="s">
        <v>52</v>
      </c>
      <c r="K428" s="15">
        <v>1500</v>
      </c>
      <c r="M428" s="13">
        <v>45045</v>
      </c>
      <c r="O428">
        <v>2600</v>
      </c>
      <c r="P428">
        <v>0</v>
      </c>
      <c r="Q428">
        <v>0</v>
      </c>
      <c r="R428">
        <v>0</v>
      </c>
      <c r="S428">
        <v>70999.029999999984</v>
      </c>
      <c r="T428">
        <v>0</v>
      </c>
      <c r="U428">
        <v>0</v>
      </c>
      <c r="V428">
        <v>79907.710000000006</v>
      </c>
      <c r="W428">
        <v>0</v>
      </c>
      <c r="X428">
        <v>0</v>
      </c>
      <c r="Y428">
        <v>153506.74</v>
      </c>
      <c r="Z428">
        <v>0</v>
      </c>
      <c r="AA428">
        <v>153506.74</v>
      </c>
      <c r="AB428" t="s">
        <v>242</v>
      </c>
      <c r="AC428">
        <v>3</v>
      </c>
      <c r="AD428">
        <v>4500</v>
      </c>
      <c r="AE428">
        <v>0</v>
      </c>
      <c r="AF428">
        <v>0</v>
      </c>
      <c r="AG428">
        <v>0</v>
      </c>
      <c r="AH428" t="s">
        <v>58</v>
      </c>
    </row>
    <row r="429" spans="1:34" x14ac:dyDescent="0.3">
      <c r="A429" t="s">
        <v>798</v>
      </c>
      <c r="B429">
        <v>52201517</v>
      </c>
      <c r="C429" t="s">
        <v>642</v>
      </c>
      <c r="D429" t="s">
        <v>641</v>
      </c>
      <c r="E429" t="s">
        <v>438</v>
      </c>
      <c r="F429" t="s">
        <v>431</v>
      </c>
      <c r="G429" t="s">
        <v>82</v>
      </c>
      <c r="H429" t="s">
        <v>83</v>
      </c>
      <c r="J429" t="s">
        <v>52</v>
      </c>
      <c r="K429" s="15">
        <v>1000</v>
      </c>
      <c r="M429" s="13">
        <v>45045</v>
      </c>
      <c r="O429">
        <v>0</v>
      </c>
      <c r="P429">
        <v>0</v>
      </c>
      <c r="Q429">
        <v>0</v>
      </c>
      <c r="R429">
        <v>781.59490821665372</v>
      </c>
      <c r="S429">
        <v>61057.017188612248</v>
      </c>
      <c r="T429">
        <v>0</v>
      </c>
      <c r="U429">
        <v>0</v>
      </c>
      <c r="V429">
        <v>88491.95986895448</v>
      </c>
      <c r="W429">
        <v>0</v>
      </c>
      <c r="X429">
        <v>0</v>
      </c>
      <c r="Y429">
        <v>150330.57196578337</v>
      </c>
      <c r="Z429">
        <v>10468.428394029672</v>
      </c>
      <c r="AA429">
        <v>160799.00035981304</v>
      </c>
      <c r="AB429" t="s">
        <v>242</v>
      </c>
      <c r="AC429">
        <v>2</v>
      </c>
      <c r="AD429">
        <v>2000</v>
      </c>
      <c r="AE429">
        <v>0</v>
      </c>
      <c r="AF429">
        <v>0</v>
      </c>
      <c r="AG429">
        <v>130.16041455622963</v>
      </c>
      <c r="AH429" t="s">
        <v>58</v>
      </c>
    </row>
    <row r="430" spans="1:34" x14ac:dyDescent="0.3">
      <c r="A430" t="s">
        <v>798</v>
      </c>
      <c r="B430">
        <v>22200010</v>
      </c>
      <c r="C430">
        <v>18928437</v>
      </c>
      <c r="D430" t="s">
        <v>85</v>
      </c>
      <c r="E430" t="s">
        <v>435</v>
      </c>
      <c r="F430" t="s">
        <v>428</v>
      </c>
      <c r="G430" t="s">
        <v>82</v>
      </c>
      <c r="H430" t="s">
        <v>82</v>
      </c>
      <c r="J430" t="s">
        <v>52</v>
      </c>
      <c r="K430" s="15">
        <v>1000</v>
      </c>
      <c r="L430" s="15">
        <v>0</v>
      </c>
      <c r="M430" s="13">
        <v>45046</v>
      </c>
      <c r="O430">
        <v>0</v>
      </c>
      <c r="P430">
        <v>0</v>
      </c>
      <c r="Q430">
        <v>0</v>
      </c>
      <c r="R430">
        <v>0</v>
      </c>
      <c r="S430">
        <v>3431.76186550685</v>
      </c>
      <c r="T430">
        <v>0</v>
      </c>
      <c r="U430">
        <v>0</v>
      </c>
      <c r="V430">
        <v>18637.990000000002</v>
      </c>
      <c r="W430">
        <v>0</v>
      </c>
      <c r="X430">
        <v>0</v>
      </c>
      <c r="Y430">
        <v>22069.751865506852</v>
      </c>
      <c r="Z430">
        <v>0</v>
      </c>
      <c r="AA430">
        <v>22069.751865506852</v>
      </c>
      <c r="AB430" t="s">
        <v>242</v>
      </c>
      <c r="AC430">
        <v>8</v>
      </c>
      <c r="AD430">
        <v>6000</v>
      </c>
      <c r="AE430">
        <v>0</v>
      </c>
      <c r="AF430">
        <v>0</v>
      </c>
      <c r="AG430">
        <v>0</v>
      </c>
      <c r="AH430" t="s">
        <v>58</v>
      </c>
    </row>
    <row r="431" spans="1:34" x14ac:dyDescent="0.3">
      <c r="A431" t="s">
        <v>798</v>
      </c>
      <c r="B431">
        <v>52200647</v>
      </c>
      <c r="C431">
        <v>29594859</v>
      </c>
      <c r="D431" t="s">
        <v>139</v>
      </c>
      <c r="E431" t="s">
        <v>438</v>
      </c>
      <c r="F431" t="s">
        <v>431</v>
      </c>
      <c r="G431" t="s">
        <v>82</v>
      </c>
      <c r="H431" t="s">
        <v>83</v>
      </c>
      <c r="J431" t="s">
        <v>52</v>
      </c>
      <c r="K431" s="15">
        <v>2000</v>
      </c>
      <c r="L431" s="15">
        <v>0</v>
      </c>
      <c r="M431" s="13">
        <v>45046</v>
      </c>
      <c r="O431">
        <v>0</v>
      </c>
      <c r="P431">
        <v>0</v>
      </c>
      <c r="Q431">
        <v>0</v>
      </c>
      <c r="R431">
        <v>979.52579911060786</v>
      </c>
      <c r="S431">
        <v>39624.014112980738</v>
      </c>
      <c r="T431">
        <v>0</v>
      </c>
      <c r="U431">
        <v>0</v>
      </c>
      <c r="V431">
        <v>58470.824672897194</v>
      </c>
      <c r="W431">
        <v>0</v>
      </c>
      <c r="X431">
        <v>0</v>
      </c>
      <c r="Y431">
        <v>99074.364584988536</v>
      </c>
      <c r="Z431">
        <v>6866.638715011456</v>
      </c>
      <c r="AA431">
        <v>105941.0033</v>
      </c>
      <c r="AB431" t="s">
        <v>242</v>
      </c>
      <c r="AC431">
        <v>3</v>
      </c>
      <c r="AD431">
        <v>6000</v>
      </c>
      <c r="AE431">
        <v>0</v>
      </c>
      <c r="AF431">
        <v>0</v>
      </c>
      <c r="AG431">
        <v>388.63252891377806</v>
      </c>
      <c r="AH431" t="s">
        <v>58</v>
      </c>
    </row>
    <row r="432" spans="1:34" x14ac:dyDescent="0.3">
      <c r="A432" t="s">
        <v>798</v>
      </c>
      <c r="B432">
        <v>52200714</v>
      </c>
      <c r="C432">
        <v>30196144</v>
      </c>
      <c r="D432" t="s">
        <v>860</v>
      </c>
      <c r="E432" t="s">
        <v>438</v>
      </c>
      <c r="F432" t="s">
        <v>431</v>
      </c>
      <c r="G432" t="s">
        <v>82</v>
      </c>
      <c r="H432" t="s">
        <v>83</v>
      </c>
      <c r="J432" t="s">
        <v>52</v>
      </c>
      <c r="K432" s="15">
        <v>1000</v>
      </c>
      <c r="L432" s="15">
        <v>0</v>
      </c>
      <c r="M432" s="13">
        <v>45046</v>
      </c>
      <c r="O432">
        <v>0</v>
      </c>
      <c r="P432">
        <v>0</v>
      </c>
      <c r="Q432">
        <v>0</v>
      </c>
      <c r="R432">
        <v>1001.3923851372265</v>
      </c>
      <c r="S432">
        <v>26694.025808282968</v>
      </c>
      <c r="T432">
        <v>0</v>
      </c>
      <c r="U432">
        <v>0</v>
      </c>
      <c r="V432">
        <v>52336.448598130839</v>
      </c>
      <c r="W432">
        <v>0</v>
      </c>
      <c r="X432">
        <v>0</v>
      </c>
      <c r="Y432">
        <v>80031.86679155103</v>
      </c>
      <c r="Z432">
        <v>5532.1332084489668</v>
      </c>
      <c r="AA432">
        <v>85564</v>
      </c>
      <c r="AB432" t="s">
        <v>242</v>
      </c>
      <c r="AC432">
        <v>2</v>
      </c>
      <c r="AD432">
        <v>3000</v>
      </c>
      <c r="AE432">
        <v>0</v>
      </c>
      <c r="AF432">
        <v>0</v>
      </c>
      <c r="AG432">
        <v>193.80137099028582</v>
      </c>
      <c r="AH432" t="s">
        <v>58</v>
      </c>
    </row>
    <row r="433" spans="1:34" x14ac:dyDescent="0.3">
      <c r="A433" t="s">
        <v>798</v>
      </c>
      <c r="B433">
        <v>22200039</v>
      </c>
      <c r="C433" t="s">
        <v>340</v>
      </c>
      <c r="D433" t="s">
        <v>382</v>
      </c>
      <c r="E433" t="s">
        <v>435</v>
      </c>
      <c r="F433" t="s">
        <v>428</v>
      </c>
      <c r="G433" t="s">
        <v>82</v>
      </c>
      <c r="H433" t="s">
        <v>82</v>
      </c>
      <c r="J433" t="s">
        <v>52</v>
      </c>
      <c r="K433" s="15">
        <v>3000</v>
      </c>
      <c r="L433" s="15">
        <v>0</v>
      </c>
      <c r="M433" s="13">
        <v>45046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12984.318080000001</v>
      </c>
      <c r="W433">
        <v>0</v>
      </c>
      <c r="X433">
        <v>0</v>
      </c>
      <c r="Y433">
        <v>12984.318080000001</v>
      </c>
      <c r="Z433">
        <v>0</v>
      </c>
      <c r="AA433">
        <v>12984.318080000001</v>
      </c>
      <c r="AB433" t="s">
        <v>242</v>
      </c>
      <c r="AC433">
        <v>6</v>
      </c>
      <c r="AD433">
        <v>10000</v>
      </c>
      <c r="AE433">
        <v>0</v>
      </c>
      <c r="AF433">
        <v>0</v>
      </c>
      <c r="AG433">
        <v>0</v>
      </c>
      <c r="AH433" t="s">
        <v>58</v>
      </c>
    </row>
    <row r="434" spans="1:34" x14ac:dyDescent="0.3">
      <c r="A434" t="s">
        <v>798</v>
      </c>
      <c r="B434">
        <v>12200042</v>
      </c>
      <c r="C434" t="s">
        <v>625</v>
      </c>
      <c r="D434" t="s">
        <v>624</v>
      </c>
      <c r="E434" t="s">
        <v>435</v>
      </c>
      <c r="F434" t="s">
        <v>427</v>
      </c>
      <c r="G434" t="s">
        <v>230</v>
      </c>
      <c r="H434" t="s">
        <v>230</v>
      </c>
      <c r="J434" t="s">
        <v>52</v>
      </c>
      <c r="K434" s="15">
        <v>2000</v>
      </c>
      <c r="M434" s="13">
        <v>45046</v>
      </c>
      <c r="O434">
        <v>1600</v>
      </c>
      <c r="P434">
        <v>0</v>
      </c>
      <c r="Q434">
        <v>0</v>
      </c>
      <c r="R434">
        <v>0</v>
      </c>
      <c r="S434">
        <v>31573.699999999997</v>
      </c>
      <c r="T434">
        <v>0</v>
      </c>
      <c r="U434">
        <v>0</v>
      </c>
      <c r="V434">
        <v>80000</v>
      </c>
      <c r="W434">
        <v>0</v>
      </c>
      <c r="X434">
        <v>0</v>
      </c>
      <c r="Y434">
        <v>113173.7</v>
      </c>
      <c r="Z434">
        <v>0</v>
      </c>
      <c r="AA434">
        <v>113173.7</v>
      </c>
      <c r="AB434" t="s">
        <v>242</v>
      </c>
      <c r="AC434">
        <v>4</v>
      </c>
      <c r="AD434">
        <v>7600</v>
      </c>
      <c r="AE434">
        <v>0</v>
      </c>
      <c r="AF434">
        <v>0</v>
      </c>
      <c r="AG434">
        <v>0</v>
      </c>
      <c r="AH434" t="s">
        <v>58</v>
      </c>
    </row>
    <row r="435" spans="1:34" x14ac:dyDescent="0.3">
      <c r="A435" t="s">
        <v>798</v>
      </c>
      <c r="B435">
        <v>52200005</v>
      </c>
      <c r="C435" t="s">
        <v>634</v>
      </c>
      <c r="D435" t="s">
        <v>633</v>
      </c>
      <c r="E435" t="s">
        <v>435</v>
      </c>
      <c r="F435" t="s">
        <v>431</v>
      </c>
      <c r="G435" t="s">
        <v>230</v>
      </c>
      <c r="H435" t="s">
        <v>231</v>
      </c>
      <c r="J435" t="s">
        <v>52</v>
      </c>
      <c r="K435" s="15">
        <v>2000</v>
      </c>
      <c r="M435" s="13">
        <v>45046</v>
      </c>
      <c r="O435">
        <v>4403.3353442840071</v>
      </c>
      <c r="P435">
        <v>0</v>
      </c>
      <c r="Q435">
        <v>0</v>
      </c>
      <c r="R435">
        <v>0</v>
      </c>
      <c r="S435">
        <v>0</v>
      </c>
      <c r="T435">
        <v>15510.901547398124</v>
      </c>
      <c r="U435">
        <v>0</v>
      </c>
      <c r="V435">
        <v>0</v>
      </c>
      <c r="W435">
        <v>39636.775700934581</v>
      </c>
      <c r="X435">
        <v>0</v>
      </c>
      <c r="Y435">
        <v>59551.012592616709</v>
      </c>
      <c r="Z435">
        <v>3860.3374073832897</v>
      </c>
      <c r="AA435">
        <v>63411.35</v>
      </c>
      <c r="AB435" t="s">
        <v>242</v>
      </c>
      <c r="AC435">
        <v>3</v>
      </c>
      <c r="AD435">
        <v>6000</v>
      </c>
      <c r="AE435">
        <v>0</v>
      </c>
      <c r="AF435">
        <v>0</v>
      </c>
      <c r="AG435">
        <v>371.65357309309456</v>
      </c>
      <c r="AH435" t="s">
        <v>58</v>
      </c>
    </row>
    <row r="436" spans="1:34" x14ac:dyDescent="0.3">
      <c r="A436" t="s">
        <v>798</v>
      </c>
      <c r="B436">
        <v>52200619</v>
      </c>
      <c r="C436">
        <v>6102060118</v>
      </c>
      <c r="D436" t="s">
        <v>138</v>
      </c>
      <c r="E436" t="s">
        <v>437</v>
      </c>
      <c r="F436" t="s">
        <v>431</v>
      </c>
      <c r="G436" t="s">
        <v>82</v>
      </c>
      <c r="H436" t="s">
        <v>83</v>
      </c>
      <c r="J436" t="s">
        <v>52</v>
      </c>
      <c r="K436" s="15">
        <v>500</v>
      </c>
      <c r="L436" s="15">
        <v>0</v>
      </c>
      <c r="M436" s="13">
        <v>45047</v>
      </c>
      <c r="O436">
        <v>0</v>
      </c>
      <c r="P436">
        <v>0</v>
      </c>
      <c r="Q436">
        <v>0</v>
      </c>
      <c r="R436">
        <v>0</v>
      </c>
      <c r="S436">
        <v>4696.8971962616824</v>
      </c>
      <c r="T436">
        <v>0</v>
      </c>
      <c r="U436">
        <v>0</v>
      </c>
      <c r="V436">
        <v>10196.728971962617</v>
      </c>
      <c r="W436">
        <v>0</v>
      </c>
      <c r="X436">
        <v>0</v>
      </c>
      <c r="Y436">
        <v>14893.626168224298</v>
      </c>
      <c r="Z436">
        <v>1042.5538317757009</v>
      </c>
      <c r="AA436">
        <v>15936.18</v>
      </c>
      <c r="AB436" t="s">
        <v>242</v>
      </c>
      <c r="AC436">
        <v>4</v>
      </c>
      <c r="AD436">
        <v>2000</v>
      </c>
      <c r="AE436">
        <v>0</v>
      </c>
      <c r="AF436">
        <v>0</v>
      </c>
      <c r="AG436">
        <v>130.84112149532712</v>
      </c>
      <c r="AH436" t="s">
        <v>58</v>
      </c>
    </row>
    <row r="437" spans="1:34" x14ac:dyDescent="0.3">
      <c r="A437" t="s">
        <v>798</v>
      </c>
      <c r="B437">
        <v>52200759</v>
      </c>
      <c r="C437">
        <v>28121445</v>
      </c>
      <c r="D437" t="s">
        <v>861</v>
      </c>
      <c r="E437" t="s">
        <v>438</v>
      </c>
      <c r="F437" t="s">
        <v>431</v>
      </c>
      <c r="G437" t="s">
        <v>82</v>
      </c>
      <c r="H437" t="s">
        <v>83</v>
      </c>
      <c r="J437" t="s">
        <v>52</v>
      </c>
      <c r="K437" s="15">
        <v>1000</v>
      </c>
      <c r="L437" s="15">
        <v>0</v>
      </c>
      <c r="M437" s="13">
        <v>45047</v>
      </c>
      <c r="O437">
        <v>0</v>
      </c>
      <c r="P437">
        <v>0</v>
      </c>
      <c r="Q437">
        <v>0</v>
      </c>
      <c r="R437">
        <v>849.85809478081103</v>
      </c>
      <c r="S437">
        <v>11078.320603256312</v>
      </c>
      <c r="T437">
        <v>0</v>
      </c>
      <c r="U437">
        <v>0</v>
      </c>
      <c r="V437">
        <v>39834.895745406931</v>
      </c>
      <c r="W437">
        <v>0</v>
      </c>
      <c r="X437">
        <v>0</v>
      </c>
      <c r="Y437">
        <v>51763.074443444057</v>
      </c>
      <c r="Z437">
        <v>3563.9251444064271</v>
      </c>
      <c r="AA437">
        <v>55326.999587850485</v>
      </c>
      <c r="AB437" t="s">
        <v>242</v>
      </c>
      <c r="AC437">
        <v>2</v>
      </c>
      <c r="AD437">
        <v>2500</v>
      </c>
      <c r="AE437">
        <v>0</v>
      </c>
      <c r="AF437">
        <v>0</v>
      </c>
      <c r="AG437">
        <v>160.85987535949243</v>
      </c>
      <c r="AH437" t="s">
        <v>58</v>
      </c>
    </row>
    <row r="438" spans="1:34" x14ac:dyDescent="0.3">
      <c r="A438" t="s">
        <v>798</v>
      </c>
      <c r="B438">
        <v>52200310</v>
      </c>
      <c r="C438">
        <v>23939176</v>
      </c>
      <c r="D438" t="s">
        <v>136</v>
      </c>
      <c r="E438" t="s">
        <v>436</v>
      </c>
      <c r="F438" t="s">
        <v>431</v>
      </c>
      <c r="G438" t="s">
        <v>82</v>
      </c>
      <c r="H438" t="s">
        <v>83</v>
      </c>
      <c r="J438" t="s">
        <v>52</v>
      </c>
      <c r="K438" s="15">
        <v>1000</v>
      </c>
      <c r="L438" s="15">
        <v>0</v>
      </c>
      <c r="M438" s="13">
        <v>45048</v>
      </c>
      <c r="O438">
        <v>0</v>
      </c>
      <c r="P438">
        <v>0</v>
      </c>
      <c r="Q438">
        <v>0</v>
      </c>
      <c r="R438">
        <v>970.36332728966374</v>
      </c>
      <c r="S438">
        <v>27141.99057891524</v>
      </c>
      <c r="T438">
        <v>0</v>
      </c>
      <c r="U438">
        <v>0</v>
      </c>
      <c r="V438">
        <v>46086.640510961653</v>
      </c>
      <c r="W438">
        <v>0</v>
      </c>
      <c r="X438">
        <v>0</v>
      </c>
      <c r="Y438">
        <v>74198.994417166556</v>
      </c>
      <c r="Z438">
        <v>5126.0041762913834</v>
      </c>
      <c r="AA438">
        <v>79324.998593457945</v>
      </c>
      <c r="AB438" t="s">
        <v>242</v>
      </c>
      <c r="AC438">
        <v>2</v>
      </c>
      <c r="AD438">
        <v>1500</v>
      </c>
      <c r="AE438">
        <v>0</v>
      </c>
      <c r="AF438">
        <v>0</v>
      </c>
      <c r="AG438">
        <v>96.846198981566829</v>
      </c>
      <c r="AH438" t="s">
        <v>58</v>
      </c>
    </row>
    <row r="439" spans="1:34" x14ac:dyDescent="0.3">
      <c r="A439" t="s">
        <v>798</v>
      </c>
      <c r="B439">
        <v>4302300030</v>
      </c>
      <c r="C439">
        <v>901014009060</v>
      </c>
      <c r="D439" t="s">
        <v>226</v>
      </c>
      <c r="E439" t="s">
        <v>447</v>
      </c>
      <c r="F439" t="s">
        <v>433</v>
      </c>
      <c r="G439" t="s">
        <v>82</v>
      </c>
      <c r="H439" t="s">
        <v>83</v>
      </c>
      <c r="J439" t="s">
        <v>52</v>
      </c>
      <c r="K439" s="15">
        <v>7000</v>
      </c>
      <c r="L439" s="15">
        <v>0</v>
      </c>
      <c r="M439" s="13">
        <v>45048</v>
      </c>
      <c r="O439">
        <v>0</v>
      </c>
      <c r="P439">
        <v>0</v>
      </c>
      <c r="Q439">
        <v>42116.496020929932</v>
      </c>
      <c r="R439">
        <v>24628.69</v>
      </c>
      <c r="S439">
        <v>126163.22895240191</v>
      </c>
      <c r="T439">
        <v>0</v>
      </c>
      <c r="U439">
        <v>0</v>
      </c>
      <c r="V439">
        <v>587264.66</v>
      </c>
      <c r="W439">
        <v>0</v>
      </c>
      <c r="X439">
        <v>0</v>
      </c>
      <c r="Y439">
        <v>780173.07497333188</v>
      </c>
      <c r="Z439">
        <v>49939.952226668138</v>
      </c>
      <c r="AA439">
        <v>830113.02720000001</v>
      </c>
      <c r="AB439" t="s">
        <v>242</v>
      </c>
      <c r="AC439">
        <v>1</v>
      </c>
      <c r="AD439">
        <v>7000</v>
      </c>
      <c r="AE439">
        <v>0</v>
      </c>
      <c r="AF439">
        <v>0</v>
      </c>
      <c r="AG439">
        <v>418.74497333186537</v>
      </c>
      <c r="AH439" t="s">
        <v>72</v>
      </c>
    </row>
    <row r="440" spans="1:34" x14ac:dyDescent="0.3">
      <c r="A440" t="s">
        <v>798</v>
      </c>
      <c r="B440">
        <v>4302300036</v>
      </c>
      <c r="C440">
        <v>901015004180</v>
      </c>
      <c r="D440" t="s">
        <v>226</v>
      </c>
      <c r="E440" t="s">
        <v>447</v>
      </c>
      <c r="F440" t="s">
        <v>433</v>
      </c>
      <c r="G440" t="s">
        <v>82</v>
      </c>
      <c r="H440" t="s">
        <v>83</v>
      </c>
      <c r="J440" t="s">
        <v>52</v>
      </c>
      <c r="K440" s="15">
        <v>13000</v>
      </c>
      <c r="L440" s="15">
        <v>0</v>
      </c>
      <c r="M440" s="13">
        <v>45048</v>
      </c>
      <c r="O440">
        <v>0</v>
      </c>
      <c r="P440">
        <v>0</v>
      </c>
      <c r="Q440">
        <v>75429.607208274072</v>
      </c>
      <c r="R440">
        <v>32364.02</v>
      </c>
      <c r="S440">
        <v>201989.02130067843</v>
      </c>
      <c r="T440">
        <v>0</v>
      </c>
      <c r="U440">
        <v>0</v>
      </c>
      <c r="V440">
        <v>1054424.3799999999</v>
      </c>
      <c r="W440">
        <v>0</v>
      </c>
      <c r="X440">
        <v>0</v>
      </c>
      <c r="Y440">
        <v>1364207.0285089524</v>
      </c>
      <c r="Z440">
        <v>87948.938091047487</v>
      </c>
      <c r="AA440">
        <v>1452155.9665999999</v>
      </c>
      <c r="AB440" t="s">
        <v>242</v>
      </c>
      <c r="AC440">
        <v>1</v>
      </c>
      <c r="AD440">
        <v>13000</v>
      </c>
      <c r="AE440">
        <v>0</v>
      </c>
      <c r="AF440">
        <v>0</v>
      </c>
      <c r="AG440">
        <v>783.22850895251031</v>
      </c>
      <c r="AH440" t="s">
        <v>72</v>
      </c>
    </row>
    <row r="441" spans="1:34" x14ac:dyDescent="0.3">
      <c r="A441" t="s">
        <v>798</v>
      </c>
      <c r="B441">
        <v>4302300048</v>
      </c>
      <c r="C441">
        <v>901020006420</v>
      </c>
      <c r="D441" t="s">
        <v>228</v>
      </c>
      <c r="E441" t="s">
        <v>447</v>
      </c>
      <c r="F441" t="s">
        <v>433</v>
      </c>
      <c r="G441" t="s">
        <v>82</v>
      </c>
      <c r="H441" t="s">
        <v>83</v>
      </c>
      <c r="J441" t="s">
        <v>52</v>
      </c>
      <c r="K441" s="15">
        <v>30701</v>
      </c>
      <c r="L441" s="15">
        <v>0</v>
      </c>
      <c r="M441" s="13">
        <v>45048</v>
      </c>
      <c r="O441">
        <v>0</v>
      </c>
      <c r="P441">
        <v>0</v>
      </c>
      <c r="Q441">
        <v>32131.314360447239</v>
      </c>
      <c r="R441">
        <v>2772.12</v>
      </c>
      <c r="S441">
        <v>0</v>
      </c>
      <c r="T441">
        <v>0</v>
      </c>
      <c r="U441">
        <v>0</v>
      </c>
      <c r="V441">
        <v>463193.10143883433</v>
      </c>
      <c r="W441">
        <v>0</v>
      </c>
      <c r="X441">
        <v>0</v>
      </c>
      <c r="Y441">
        <v>498096.53579928156</v>
      </c>
      <c r="Z441">
        <v>32423.517100718407</v>
      </c>
      <c r="AA441">
        <v>530520.05290000001</v>
      </c>
      <c r="AB441" t="s">
        <v>242</v>
      </c>
      <c r="AC441">
        <v>1</v>
      </c>
      <c r="AD441">
        <v>30701</v>
      </c>
      <c r="AE441">
        <v>0</v>
      </c>
      <c r="AF441">
        <v>0</v>
      </c>
      <c r="AG441">
        <v>1867.2057992815935</v>
      </c>
      <c r="AH441" t="s">
        <v>72</v>
      </c>
    </row>
    <row r="442" spans="1:34" x14ac:dyDescent="0.3">
      <c r="A442" t="s">
        <v>798</v>
      </c>
      <c r="B442">
        <v>42200091</v>
      </c>
      <c r="C442" t="s">
        <v>249</v>
      </c>
      <c r="D442" t="s">
        <v>320</v>
      </c>
      <c r="E442" t="s">
        <v>437</v>
      </c>
      <c r="F442" t="s">
        <v>430</v>
      </c>
      <c r="G442" t="s">
        <v>328</v>
      </c>
      <c r="H442" t="s">
        <v>83</v>
      </c>
      <c r="J442" t="s">
        <v>52</v>
      </c>
      <c r="K442" s="15">
        <v>30424</v>
      </c>
      <c r="L442" s="15">
        <v>0</v>
      </c>
      <c r="M442" s="13">
        <v>45048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242</v>
      </c>
      <c r="AC442">
        <v>1</v>
      </c>
      <c r="AD442">
        <v>30424</v>
      </c>
      <c r="AE442">
        <v>0</v>
      </c>
      <c r="AF442">
        <v>0</v>
      </c>
      <c r="AG442">
        <v>1990.3551401869154</v>
      </c>
      <c r="AH442" t="s">
        <v>72</v>
      </c>
    </row>
    <row r="443" spans="1:34" x14ac:dyDescent="0.3">
      <c r="A443" t="s">
        <v>798</v>
      </c>
      <c r="B443">
        <v>42201317</v>
      </c>
      <c r="C443">
        <v>2757009008</v>
      </c>
      <c r="D443" t="s">
        <v>832</v>
      </c>
      <c r="E443" t="s">
        <v>439</v>
      </c>
      <c r="F443" t="s">
        <v>430</v>
      </c>
      <c r="G443" t="s">
        <v>230</v>
      </c>
      <c r="H443" t="s">
        <v>234</v>
      </c>
      <c r="J443" t="s">
        <v>52</v>
      </c>
      <c r="K443" s="15">
        <v>1000</v>
      </c>
      <c r="L443" s="15">
        <v>0</v>
      </c>
      <c r="M443" s="13">
        <v>45049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416168.22429906542</v>
      </c>
      <c r="Y443">
        <v>416168.22429906542</v>
      </c>
      <c r="Z443">
        <v>29131.775700934581</v>
      </c>
      <c r="AA443">
        <v>445300</v>
      </c>
      <c r="AB443" t="s">
        <v>242</v>
      </c>
      <c r="AC443">
        <v>1</v>
      </c>
      <c r="AD443">
        <v>1000</v>
      </c>
      <c r="AE443">
        <v>0</v>
      </c>
      <c r="AF443">
        <v>0</v>
      </c>
      <c r="AG443">
        <v>65.420560747663558</v>
      </c>
      <c r="AH443" t="s">
        <v>72</v>
      </c>
    </row>
    <row r="444" spans="1:34" x14ac:dyDescent="0.3">
      <c r="A444" t="s">
        <v>798</v>
      </c>
      <c r="B444">
        <v>52200671</v>
      </c>
      <c r="C444">
        <v>27488939</v>
      </c>
      <c r="D444" t="s">
        <v>857</v>
      </c>
      <c r="E444" t="s">
        <v>438</v>
      </c>
      <c r="F444" t="s">
        <v>431</v>
      </c>
      <c r="G444" t="s">
        <v>82</v>
      </c>
      <c r="H444" t="s">
        <v>83</v>
      </c>
      <c r="J444" t="s">
        <v>52</v>
      </c>
      <c r="K444" s="15">
        <v>3000</v>
      </c>
      <c r="L444" s="15">
        <v>0</v>
      </c>
      <c r="M444" s="13">
        <v>45049</v>
      </c>
      <c r="O444">
        <v>0</v>
      </c>
      <c r="P444">
        <v>0</v>
      </c>
      <c r="Q444">
        <v>0</v>
      </c>
      <c r="R444">
        <v>956.34803220847402</v>
      </c>
      <c r="S444">
        <v>31010.126957723664</v>
      </c>
      <c r="T444">
        <v>0</v>
      </c>
      <c r="U444">
        <v>0</v>
      </c>
      <c r="V444">
        <v>53483.939690487481</v>
      </c>
      <c r="W444">
        <v>0</v>
      </c>
      <c r="X444">
        <v>0</v>
      </c>
      <c r="Y444">
        <v>85450.414680419621</v>
      </c>
      <c r="Z444">
        <v>5914.5846653747803</v>
      </c>
      <c r="AA444">
        <v>91364.999345794407</v>
      </c>
      <c r="AB444" t="s">
        <v>242</v>
      </c>
      <c r="AC444">
        <v>1</v>
      </c>
      <c r="AD444">
        <v>3000</v>
      </c>
      <c r="AE444">
        <v>0</v>
      </c>
      <c r="AF444">
        <v>0</v>
      </c>
      <c r="AG444">
        <v>194.06015163980692</v>
      </c>
      <c r="AH444" t="s">
        <v>72</v>
      </c>
    </row>
    <row r="445" spans="1:34" x14ac:dyDescent="0.3">
      <c r="A445" t="s">
        <v>798</v>
      </c>
      <c r="B445">
        <v>4132300224</v>
      </c>
      <c r="C445">
        <v>1020354336</v>
      </c>
      <c r="D445" t="s">
        <v>902</v>
      </c>
      <c r="E445" t="s">
        <v>441</v>
      </c>
      <c r="F445" t="s">
        <v>430</v>
      </c>
      <c r="G445" t="s">
        <v>230</v>
      </c>
      <c r="H445" t="s">
        <v>231</v>
      </c>
      <c r="J445" t="s">
        <v>52</v>
      </c>
      <c r="K445" s="15">
        <v>300</v>
      </c>
      <c r="L445" s="15">
        <v>0</v>
      </c>
      <c r="M445" s="13">
        <v>45049</v>
      </c>
      <c r="O445">
        <v>0</v>
      </c>
      <c r="P445">
        <v>17131.465717829255</v>
      </c>
      <c r="Q445">
        <v>0</v>
      </c>
      <c r="R445">
        <v>0</v>
      </c>
      <c r="S445">
        <v>4867.3972602739723</v>
      </c>
      <c r="T445">
        <v>8141.6208244586414</v>
      </c>
      <c r="U445">
        <v>0</v>
      </c>
      <c r="V445">
        <v>0</v>
      </c>
      <c r="W445">
        <v>542056.0747663551</v>
      </c>
      <c r="X445">
        <v>0</v>
      </c>
      <c r="Y445">
        <v>572196.55856891698</v>
      </c>
      <c r="Z445">
        <v>38513.83869135697</v>
      </c>
      <c r="AA445">
        <v>610710.39726027392</v>
      </c>
      <c r="AB445" t="s">
        <v>242</v>
      </c>
      <c r="AC445">
        <v>1</v>
      </c>
      <c r="AD445">
        <v>300</v>
      </c>
      <c r="AE445">
        <v>0</v>
      </c>
      <c r="AF445">
        <v>0</v>
      </c>
      <c r="AG445">
        <v>18.871589016867063</v>
      </c>
      <c r="AH445" t="s">
        <v>72</v>
      </c>
    </row>
    <row r="446" spans="1:34" x14ac:dyDescent="0.3">
      <c r="A446" t="s">
        <v>798</v>
      </c>
      <c r="B446">
        <v>42201090</v>
      </c>
      <c r="C446" t="s">
        <v>370</v>
      </c>
      <c r="D446" t="s">
        <v>409</v>
      </c>
      <c r="E446" t="s">
        <v>439</v>
      </c>
      <c r="F446" t="s">
        <v>430</v>
      </c>
      <c r="G446" t="s">
        <v>233</v>
      </c>
      <c r="H446" t="s">
        <v>234</v>
      </c>
      <c r="J446" t="s">
        <v>416</v>
      </c>
      <c r="K446" s="15">
        <v>0.46576963124361936</v>
      </c>
      <c r="L446" s="15">
        <v>0</v>
      </c>
      <c r="M446" s="13">
        <v>45049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135514.01869158878</v>
      </c>
      <c r="Y446">
        <v>135514.01869158878</v>
      </c>
      <c r="Z446">
        <v>9485.9813084112157</v>
      </c>
      <c r="AA446">
        <v>145000</v>
      </c>
      <c r="AB446" t="s">
        <v>242</v>
      </c>
      <c r="AC446">
        <v>0</v>
      </c>
      <c r="AD446">
        <v>0</v>
      </c>
      <c r="AE446">
        <v>0</v>
      </c>
      <c r="AF446">
        <v>0</v>
      </c>
      <c r="AG446">
        <v>0</v>
      </c>
      <c r="AH446" t="s">
        <v>72</v>
      </c>
    </row>
    <row r="447" spans="1:34" x14ac:dyDescent="0.3">
      <c r="A447" t="s">
        <v>798</v>
      </c>
      <c r="B447">
        <v>12200041</v>
      </c>
      <c r="C447">
        <v>23113175</v>
      </c>
      <c r="D447" t="s">
        <v>78</v>
      </c>
      <c r="E447" t="s">
        <v>435</v>
      </c>
      <c r="F447" t="s">
        <v>427</v>
      </c>
      <c r="G447" t="s">
        <v>82</v>
      </c>
      <c r="H447" t="s">
        <v>82</v>
      </c>
      <c r="J447" t="s">
        <v>52</v>
      </c>
      <c r="K447" s="15">
        <v>3000</v>
      </c>
      <c r="L447" s="15">
        <v>0</v>
      </c>
      <c r="M447" s="13">
        <v>45050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184565.03142572055</v>
      </c>
      <c r="W447">
        <v>0</v>
      </c>
      <c r="X447">
        <v>0</v>
      </c>
      <c r="Y447">
        <v>184565.03142572055</v>
      </c>
      <c r="Z447">
        <v>0</v>
      </c>
      <c r="AA447">
        <v>184565.03142572055</v>
      </c>
      <c r="AB447" t="s">
        <v>242</v>
      </c>
      <c r="AC447">
        <v>11</v>
      </c>
      <c r="AD447">
        <v>38000</v>
      </c>
      <c r="AE447">
        <v>0</v>
      </c>
      <c r="AF447">
        <v>0</v>
      </c>
      <c r="AG447">
        <v>0</v>
      </c>
      <c r="AH447" t="s">
        <v>58</v>
      </c>
    </row>
    <row r="448" spans="1:34" x14ac:dyDescent="0.3">
      <c r="A448" t="s">
        <v>798</v>
      </c>
      <c r="B448">
        <v>12200104</v>
      </c>
      <c r="C448" t="s">
        <v>800</v>
      </c>
      <c r="D448" t="s">
        <v>810</v>
      </c>
      <c r="E448" t="s">
        <v>437</v>
      </c>
      <c r="F448" t="s">
        <v>427</v>
      </c>
      <c r="G448" t="s">
        <v>230</v>
      </c>
      <c r="H448" t="s">
        <v>230</v>
      </c>
      <c r="J448" t="s">
        <v>52</v>
      </c>
      <c r="K448" s="15">
        <v>2500</v>
      </c>
      <c r="L448" s="15">
        <v>0</v>
      </c>
      <c r="M448" s="13">
        <v>45050</v>
      </c>
      <c r="O448">
        <v>0</v>
      </c>
      <c r="P448">
        <v>1100</v>
      </c>
      <c r="Q448">
        <v>0</v>
      </c>
      <c r="R448">
        <v>0</v>
      </c>
      <c r="S448">
        <v>86643.898399999976</v>
      </c>
      <c r="T448">
        <v>0</v>
      </c>
      <c r="U448">
        <v>0</v>
      </c>
      <c r="V448">
        <v>139995.57999999999</v>
      </c>
      <c r="W448">
        <v>0</v>
      </c>
      <c r="X448">
        <v>0</v>
      </c>
      <c r="Y448">
        <v>227739.47839999996</v>
      </c>
      <c r="Z448">
        <v>0</v>
      </c>
      <c r="AA448">
        <v>227739.47839999996</v>
      </c>
      <c r="AB448" t="s">
        <v>242</v>
      </c>
      <c r="AC448">
        <v>1</v>
      </c>
      <c r="AD448">
        <v>2500</v>
      </c>
      <c r="AE448">
        <v>0</v>
      </c>
      <c r="AF448">
        <v>0</v>
      </c>
      <c r="AG448">
        <v>0</v>
      </c>
      <c r="AH448" t="s">
        <v>72</v>
      </c>
    </row>
    <row r="449" spans="1:34" x14ac:dyDescent="0.3">
      <c r="A449" t="s">
        <v>798</v>
      </c>
      <c r="B449">
        <v>52201323</v>
      </c>
      <c r="C449">
        <v>26835889</v>
      </c>
      <c r="D449" t="s">
        <v>877</v>
      </c>
      <c r="E449" t="s">
        <v>438</v>
      </c>
      <c r="F449" t="s">
        <v>431</v>
      </c>
      <c r="G449" t="s">
        <v>82</v>
      </c>
      <c r="H449" t="s">
        <v>83</v>
      </c>
      <c r="J449" t="s">
        <v>52</v>
      </c>
      <c r="K449" s="15">
        <v>1000</v>
      </c>
      <c r="L449" s="15">
        <v>0</v>
      </c>
      <c r="M449" s="13">
        <v>45050</v>
      </c>
      <c r="O449">
        <v>0</v>
      </c>
      <c r="P449">
        <v>0</v>
      </c>
      <c r="Q449">
        <v>0</v>
      </c>
      <c r="R449">
        <v>954.37477496351505</v>
      </c>
      <c r="S449">
        <v>18018.600205841303</v>
      </c>
      <c r="T449">
        <v>0</v>
      </c>
      <c r="U449">
        <v>0</v>
      </c>
      <c r="V449">
        <v>48109.079118336827</v>
      </c>
      <c r="W449">
        <v>0</v>
      </c>
      <c r="X449">
        <v>0</v>
      </c>
      <c r="Y449">
        <v>67082.054099141649</v>
      </c>
      <c r="Z449">
        <v>4628.9375526924696</v>
      </c>
      <c r="AA449">
        <v>71710.99165183412</v>
      </c>
      <c r="AB449" t="s">
        <v>242</v>
      </c>
      <c r="AC449">
        <v>3</v>
      </c>
      <c r="AD449">
        <v>2500</v>
      </c>
      <c r="AE449">
        <v>0</v>
      </c>
      <c r="AF449">
        <v>0</v>
      </c>
      <c r="AG449">
        <v>161.22077967051035</v>
      </c>
      <c r="AH449" t="s">
        <v>58</v>
      </c>
    </row>
    <row r="450" spans="1:34" x14ac:dyDescent="0.3">
      <c r="A450" t="s">
        <v>798</v>
      </c>
      <c r="B450">
        <v>22200050</v>
      </c>
      <c r="C450">
        <v>20757954</v>
      </c>
      <c r="D450" t="s">
        <v>120</v>
      </c>
      <c r="E450" t="s">
        <v>435</v>
      </c>
      <c r="F450" t="s">
        <v>428</v>
      </c>
      <c r="G450" t="s">
        <v>82</v>
      </c>
      <c r="H450" t="s">
        <v>82</v>
      </c>
      <c r="J450" t="s">
        <v>52</v>
      </c>
      <c r="K450" s="15">
        <v>500</v>
      </c>
      <c r="L450" s="15">
        <v>0</v>
      </c>
      <c r="M450" s="13">
        <v>45051</v>
      </c>
      <c r="O450">
        <v>0</v>
      </c>
      <c r="P450">
        <v>0</v>
      </c>
      <c r="Q450">
        <v>0</v>
      </c>
      <c r="R450">
        <v>0</v>
      </c>
      <c r="S450">
        <v>3932.2079698630132</v>
      </c>
      <c r="T450">
        <v>0</v>
      </c>
      <c r="U450">
        <v>0</v>
      </c>
      <c r="V450">
        <v>14084.08</v>
      </c>
      <c r="W450">
        <v>0</v>
      </c>
      <c r="X450">
        <v>0</v>
      </c>
      <c r="Y450">
        <v>18016.287969863013</v>
      </c>
      <c r="Z450">
        <v>0</v>
      </c>
      <c r="AA450">
        <v>18016.287969863013</v>
      </c>
      <c r="AB450" t="s">
        <v>242</v>
      </c>
      <c r="AC450">
        <v>4</v>
      </c>
      <c r="AD450">
        <v>2000</v>
      </c>
      <c r="AE450">
        <v>0</v>
      </c>
      <c r="AF450">
        <v>0</v>
      </c>
      <c r="AG450">
        <v>0</v>
      </c>
      <c r="AH450" t="s">
        <v>58</v>
      </c>
    </row>
    <row r="451" spans="1:34" x14ac:dyDescent="0.3">
      <c r="A451" t="s">
        <v>798</v>
      </c>
      <c r="B451">
        <v>32200045</v>
      </c>
      <c r="C451">
        <v>20758058</v>
      </c>
      <c r="D451" t="s">
        <v>120</v>
      </c>
      <c r="E451" t="s">
        <v>435</v>
      </c>
      <c r="F451" t="s">
        <v>429</v>
      </c>
      <c r="G451" t="s">
        <v>82</v>
      </c>
      <c r="H451" t="s">
        <v>82</v>
      </c>
      <c r="J451" t="s">
        <v>52</v>
      </c>
      <c r="K451" s="15">
        <v>500</v>
      </c>
      <c r="L451" s="15">
        <v>0</v>
      </c>
      <c r="M451" s="13">
        <v>45051</v>
      </c>
      <c r="O451">
        <v>0</v>
      </c>
      <c r="P451">
        <v>0</v>
      </c>
      <c r="Q451">
        <v>0</v>
      </c>
      <c r="R451">
        <v>0</v>
      </c>
      <c r="S451">
        <v>5424.0488810958905</v>
      </c>
      <c r="T451">
        <v>0</v>
      </c>
      <c r="U451">
        <v>0</v>
      </c>
      <c r="V451">
        <v>18314.54</v>
      </c>
      <c r="W451">
        <v>0</v>
      </c>
      <c r="X451">
        <v>0</v>
      </c>
      <c r="Y451">
        <v>23738.588881095893</v>
      </c>
      <c r="Z451">
        <v>0</v>
      </c>
      <c r="AA451">
        <v>23738.588881095893</v>
      </c>
      <c r="AB451" t="s">
        <v>242</v>
      </c>
      <c r="AC451">
        <v>4</v>
      </c>
      <c r="AD451">
        <v>2000</v>
      </c>
      <c r="AE451">
        <v>0</v>
      </c>
      <c r="AF451">
        <v>0</v>
      </c>
      <c r="AG451">
        <v>0</v>
      </c>
      <c r="AH451" t="s">
        <v>58</v>
      </c>
    </row>
    <row r="452" spans="1:34" x14ac:dyDescent="0.3">
      <c r="A452" t="s">
        <v>798</v>
      </c>
      <c r="B452">
        <v>42200060</v>
      </c>
      <c r="C452" t="s">
        <v>801</v>
      </c>
      <c r="D452" t="s">
        <v>821</v>
      </c>
      <c r="E452" t="s">
        <v>437</v>
      </c>
      <c r="F452" t="s">
        <v>430</v>
      </c>
      <c r="G452" t="s">
        <v>230</v>
      </c>
      <c r="H452" t="s">
        <v>231</v>
      </c>
      <c r="J452" t="s">
        <v>52</v>
      </c>
      <c r="K452" s="15">
        <v>1000</v>
      </c>
      <c r="L452" s="15">
        <v>0</v>
      </c>
      <c r="M452" s="13">
        <v>45051</v>
      </c>
      <c r="O452">
        <v>0</v>
      </c>
      <c r="P452">
        <v>2401.1483364333367</v>
      </c>
      <c r="Q452">
        <v>0</v>
      </c>
      <c r="R452">
        <v>0</v>
      </c>
      <c r="S452">
        <v>0</v>
      </c>
      <c r="T452">
        <v>16848.459498660432</v>
      </c>
      <c r="U452">
        <v>22429.906542056076</v>
      </c>
      <c r="V452">
        <v>0</v>
      </c>
      <c r="W452">
        <v>130841.1214953271</v>
      </c>
      <c r="X452">
        <v>0</v>
      </c>
      <c r="Y452">
        <v>172520.63587247694</v>
      </c>
      <c r="Z452">
        <v>11908.364127523053</v>
      </c>
      <c r="AA452">
        <v>184429</v>
      </c>
      <c r="AB452" t="s">
        <v>242</v>
      </c>
      <c r="AC452">
        <v>2</v>
      </c>
      <c r="AD452">
        <v>2000</v>
      </c>
      <c r="AE452">
        <v>0</v>
      </c>
      <c r="AF452">
        <v>0</v>
      </c>
      <c r="AG452">
        <v>129.01905004704076</v>
      </c>
      <c r="AH452" t="s">
        <v>58</v>
      </c>
    </row>
    <row r="453" spans="1:34" x14ac:dyDescent="0.3">
      <c r="A453" t="s">
        <v>798</v>
      </c>
      <c r="B453">
        <v>62200095</v>
      </c>
      <c r="C453" t="s">
        <v>640</v>
      </c>
      <c r="D453" t="s">
        <v>639</v>
      </c>
      <c r="E453" t="s">
        <v>435</v>
      </c>
      <c r="F453" t="s">
        <v>432</v>
      </c>
      <c r="G453" t="s">
        <v>235</v>
      </c>
      <c r="H453" t="s">
        <v>235</v>
      </c>
      <c r="J453" t="s">
        <v>52</v>
      </c>
      <c r="K453" s="15">
        <v>2000</v>
      </c>
      <c r="M453" s="13">
        <v>45051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52352.790000000008</v>
      </c>
      <c r="W453">
        <v>0</v>
      </c>
      <c r="X453">
        <v>0</v>
      </c>
      <c r="Y453">
        <v>52352.790000000008</v>
      </c>
      <c r="Z453">
        <v>0</v>
      </c>
      <c r="AA453">
        <v>52352.790000000008</v>
      </c>
      <c r="AB453" t="s">
        <v>242</v>
      </c>
      <c r="AC453">
        <v>2</v>
      </c>
      <c r="AD453">
        <v>4000</v>
      </c>
      <c r="AE453">
        <v>0</v>
      </c>
      <c r="AF453">
        <v>0</v>
      </c>
      <c r="AG453">
        <v>0</v>
      </c>
      <c r="AH453" t="s">
        <v>58</v>
      </c>
    </row>
    <row r="454" spans="1:34" x14ac:dyDescent="0.3">
      <c r="A454" t="s">
        <v>798</v>
      </c>
      <c r="B454">
        <v>42200934</v>
      </c>
      <c r="C454">
        <v>2756008296</v>
      </c>
      <c r="D454" t="s">
        <v>827</v>
      </c>
      <c r="E454" t="s">
        <v>439</v>
      </c>
      <c r="F454" t="s">
        <v>430</v>
      </c>
      <c r="G454" t="s">
        <v>233</v>
      </c>
      <c r="H454" t="s">
        <v>234</v>
      </c>
      <c r="J454" t="s">
        <v>52</v>
      </c>
      <c r="K454" s="15">
        <v>3000</v>
      </c>
      <c r="L454" s="15">
        <v>0</v>
      </c>
      <c r="M454" s="13">
        <v>45054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458691.90654205607</v>
      </c>
      <c r="Y454">
        <v>458691.90654205607</v>
      </c>
      <c r="Z454">
        <v>32108.433457943927</v>
      </c>
      <c r="AA454">
        <v>490800.33999999997</v>
      </c>
      <c r="AB454" t="s">
        <v>242</v>
      </c>
      <c r="AC454">
        <v>1</v>
      </c>
      <c r="AD454">
        <v>3000</v>
      </c>
      <c r="AE454">
        <v>0</v>
      </c>
      <c r="AF454">
        <v>0</v>
      </c>
      <c r="AG454">
        <v>196.2616822429909</v>
      </c>
      <c r="AH454" t="s">
        <v>72</v>
      </c>
    </row>
    <row r="455" spans="1:34" x14ac:dyDescent="0.3">
      <c r="A455" t="s">
        <v>798</v>
      </c>
      <c r="B455">
        <v>4132301259</v>
      </c>
      <c r="C455">
        <v>1050072084</v>
      </c>
      <c r="D455" t="s">
        <v>911</v>
      </c>
      <c r="E455" t="s">
        <v>441</v>
      </c>
      <c r="F455" t="s">
        <v>430</v>
      </c>
      <c r="G455" t="s">
        <v>230</v>
      </c>
      <c r="H455" t="s">
        <v>231</v>
      </c>
      <c r="J455" t="s">
        <v>52</v>
      </c>
      <c r="K455" s="15">
        <v>3000</v>
      </c>
      <c r="L455" s="15">
        <v>0</v>
      </c>
      <c r="M455" s="13">
        <v>45054</v>
      </c>
      <c r="O455">
        <v>0</v>
      </c>
      <c r="P455">
        <v>2453.4954165971758</v>
      </c>
      <c r="Q455">
        <v>0</v>
      </c>
      <c r="R455">
        <v>0</v>
      </c>
      <c r="S455">
        <v>11736.986301369863</v>
      </c>
      <c r="T455">
        <v>0</v>
      </c>
      <c r="U455">
        <v>0</v>
      </c>
      <c r="V455">
        <v>0</v>
      </c>
      <c r="W455">
        <v>46398.602414395165</v>
      </c>
      <c r="X455">
        <v>0</v>
      </c>
      <c r="Y455">
        <v>60589.084132362201</v>
      </c>
      <c r="Z455">
        <v>3247.902169007662</v>
      </c>
      <c r="AA455">
        <v>63836.986301369863</v>
      </c>
      <c r="AB455" t="s">
        <v>242</v>
      </c>
      <c r="AC455">
        <v>2</v>
      </c>
      <c r="AD455">
        <v>7000</v>
      </c>
      <c r="AE455">
        <v>0</v>
      </c>
      <c r="AF455">
        <v>0</v>
      </c>
      <c r="AG455">
        <v>350.22867211383391</v>
      </c>
      <c r="AH455" t="s">
        <v>58</v>
      </c>
    </row>
    <row r="456" spans="1:34" x14ac:dyDescent="0.3">
      <c r="A456" t="s">
        <v>798</v>
      </c>
      <c r="B456">
        <v>52201188</v>
      </c>
      <c r="C456" t="s">
        <v>463</v>
      </c>
      <c r="D456" t="s">
        <v>531</v>
      </c>
      <c r="E456" t="s">
        <v>438</v>
      </c>
      <c r="F456" t="s">
        <v>431</v>
      </c>
      <c r="G456" t="s">
        <v>82</v>
      </c>
      <c r="H456" t="s">
        <v>83</v>
      </c>
      <c r="J456" t="s">
        <v>52</v>
      </c>
      <c r="K456" s="15">
        <v>1692</v>
      </c>
      <c r="L456" s="15">
        <v>0</v>
      </c>
      <c r="M456" s="13">
        <v>45054</v>
      </c>
      <c r="O456">
        <v>0</v>
      </c>
      <c r="P456">
        <v>0</v>
      </c>
      <c r="Q456">
        <v>0</v>
      </c>
      <c r="R456">
        <v>746.31924061283735</v>
      </c>
      <c r="S456">
        <v>30607.51972843476</v>
      </c>
      <c r="T456">
        <v>0</v>
      </c>
      <c r="U456">
        <v>0</v>
      </c>
      <c r="V456">
        <v>51829.564677665592</v>
      </c>
      <c r="W456">
        <v>0</v>
      </c>
      <c r="X456">
        <v>0</v>
      </c>
      <c r="Y456">
        <v>83183.403646713181</v>
      </c>
      <c r="Z456">
        <v>5770.5959084270253</v>
      </c>
      <c r="AA456">
        <v>88953.99955514021</v>
      </c>
      <c r="AB456" t="s">
        <v>242</v>
      </c>
      <c r="AC456">
        <v>2</v>
      </c>
      <c r="AD456">
        <v>5076</v>
      </c>
      <c r="AE456">
        <v>0</v>
      </c>
      <c r="AF456">
        <v>0</v>
      </c>
      <c r="AG456">
        <v>329.08630546065297</v>
      </c>
      <c r="AH456" t="s">
        <v>58</v>
      </c>
    </row>
    <row r="457" spans="1:34" x14ac:dyDescent="0.3">
      <c r="A457" t="s">
        <v>798</v>
      </c>
      <c r="B457">
        <v>12200041</v>
      </c>
      <c r="C457">
        <v>23113175</v>
      </c>
      <c r="D457" t="s">
        <v>78</v>
      </c>
      <c r="E457" t="s">
        <v>435</v>
      </c>
      <c r="F457" t="s">
        <v>427</v>
      </c>
      <c r="G457" t="s">
        <v>82</v>
      </c>
      <c r="H457" t="s">
        <v>82</v>
      </c>
      <c r="J457" t="s">
        <v>52</v>
      </c>
      <c r="K457" s="15">
        <v>2000</v>
      </c>
      <c r="L457" s="15">
        <v>0</v>
      </c>
      <c r="M457" s="13">
        <v>45055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182565.03142572055</v>
      </c>
      <c r="W457">
        <v>0</v>
      </c>
      <c r="X457">
        <v>0</v>
      </c>
      <c r="Y457">
        <v>182565.03142572055</v>
      </c>
      <c r="Z457">
        <v>0</v>
      </c>
      <c r="AA457">
        <v>182565.03142572055</v>
      </c>
      <c r="AB457" t="s">
        <v>242</v>
      </c>
      <c r="AC457">
        <v>12</v>
      </c>
      <c r="AD457">
        <v>40000</v>
      </c>
      <c r="AE457">
        <v>0</v>
      </c>
      <c r="AF457">
        <v>0</v>
      </c>
      <c r="AG457">
        <v>0</v>
      </c>
      <c r="AH457" t="s">
        <v>58</v>
      </c>
    </row>
    <row r="458" spans="1:34" x14ac:dyDescent="0.3">
      <c r="A458" t="s">
        <v>798</v>
      </c>
      <c r="B458">
        <v>12200122</v>
      </c>
      <c r="C458">
        <v>5900440096</v>
      </c>
      <c r="D458" t="s">
        <v>113</v>
      </c>
      <c r="E458" t="s">
        <v>437</v>
      </c>
      <c r="F458" t="s">
        <v>427</v>
      </c>
      <c r="G458" t="s">
        <v>82</v>
      </c>
      <c r="H458" t="s">
        <v>82</v>
      </c>
      <c r="J458" t="s">
        <v>52</v>
      </c>
      <c r="K458" s="15">
        <v>500</v>
      </c>
      <c r="L458" s="15">
        <v>0</v>
      </c>
      <c r="M458" s="13">
        <v>45055</v>
      </c>
      <c r="O458">
        <v>0</v>
      </c>
      <c r="P458">
        <v>0</v>
      </c>
      <c r="Q458">
        <v>0</v>
      </c>
      <c r="R458">
        <v>0</v>
      </c>
      <c r="S458">
        <v>4947.4300000000021</v>
      </c>
      <c r="T458">
        <v>0</v>
      </c>
      <c r="U458">
        <v>0</v>
      </c>
      <c r="V458">
        <v>14052.06</v>
      </c>
      <c r="W458">
        <v>0</v>
      </c>
      <c r="X458">
        <v>0</v>
      </c>
      <c r="Y458">
        <v>18999.490000000002</v>
      </c>
      <c r="Z458">
        <v>0</v>
      </c>
      <c r="AA458">
        <v>18999.490000000002</v>
      </c>
      <c r="AB458" t="s">
        <v>242</v>
      </c>
      <c r="AC458">
        <v>2</v>
      </c>
      <c r="AD458">
        <v>2276</v>
      </c>
      <c r="AE458">
        <v>0</v>
      </c>
      <c r="AF458">
        <v>0</v>
      </c>
      <c r="AG458">
        <v>0</v>
      </c>
      <c r="AH458" t="s">
        <v>58</v>
      </c>
    </row>
    <row r="459" spans="1:34" x14ac:dyDescent="0.3">
      <c r="A459" t="s">
        <v>798</v>
      </c>
      <c r="B459">
        <v>42201161</v>
      </c>
      <c r="C459">
        <v>2754001332</v>
      </c>
      <c r="D459" t="s">
        <v>831</v>
      </c>
      <c r="E459" t="s">
        <v>439</v>
      </c>
      <c r="F459" t="s">
        <v>430</v>
      </c>
      <c r="G459" t="s">
        <v>230</v>
      </c>
      <c r="H459" t="s">
        <v>234</v>
      </c>
      <c r="J459" t="s">
        <v>52</v>
      </c>
      <c r="K459" s="15">
        <v>2000</v>
      </c>
      <c r="L459" s="15">
        <v>0</v>
      </c>
      <c r="M459" s="13">
        <v>45056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484887.85046728974</v>
      </c>
      <c r="Y459">
        <v>484887.85046728974</v>
      </c>
      <c r="Z459">
        <v>33942.149532710282</v>
      </c>
      <c r="AA459">
        <v>518830</v>
      </c>
      <c r="AB459" t="s">
        <v>242</v>
      </c>
      <c r="AC459">
        <v>1</v>
      </c>
      <c r="AD459">
        <v>2000</v>
      </c>
      <c r="AE459">
        <v>0</v>
      </c>
      <c r="AF459">
        <v>0</v>
      </c>
      <c r="AG459">
        <v>130.84112149532712</v>
      </c>
      <c r="AH459" t="s">
        <v>72</v>
      </c>
    </row>
    <row r="460" spans="1:34" x14ac:dyDescent="0.3">
      <c r="A460" t="s">
        <v>798</v>
      </c>
      <c r="B460">
        <v>52200515</v>
      </c>
      <c r="C460" t="s">
        <v>250</v>
      </c>
      <c r="D460" t="s">
        <v>321</v>
      </c>
      <c r="E460" t="s">
        <v>437</v>
      </c>
      <c r="F460" t="s">
        <v>431</v>
      </c>
      <c r="G460" t="s">
        <v>328</v>
      </c>
      <c r="H460" t="s">
        <v>83</v>
      </c>
      <c r="J460" t="s">
        <v>52</v>
      </c>
      <c r="K460" s="15">
        <v>1494</v>
      </c>
      <c r="L460" s="15">
        <v>0</v>
      </c>
      <c r="M460" s="13">
        <v>45056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">
        <v>242</v>
      </c>
      <c r="AC460">
        <v>1</v>
      </c>
      <c r="AD460">
        <v>1494</v>
      </c>
      <c r="AE460">
        <v>0</v>
      </c>
      <c r="AF460">
        <v>0</v>
      </c>
      <c r="AG460">
        <v>97.738317757009327</v>
      </c>
      <c r="AH460" t="s">
        <v>72</v>
      </c>
    </row>
    <row r="461" spans="1:34" x14ac:dyDescent="0.3">
      <c r="A461" t="s">
        <v>798</v>
      </c>
      <c r="B461">
        <v>52200046</v>
      </c>
      <c r="C461">
        <v>25363376</v>
      </c>
      <c r="D461" t="s">
        <v>834</v>
      </c>
      <c r="E461" t="s">
        <v>435</v>
      </c>
      <c r="F461" t="s">
        <v>431</v>
      </c>
      <c r="G461" t="s">
        <v>82</v>
      </c>
      <c r="H461" t="s">
        <v>83</v>
      </c>
      <c r="J461" t="s">
        <v>52</v>
      </c>
      <c r="K461" s="15">
        <v>10000</v>
      </c>
      <c r="L461" s="15">
        <v>0</v>
      </c>
      <c r="M461" s="13">
        <v>45057</v>
      </c>
      <c r="O461">
        <v>0</v>
      </c>
      <c r="P461">
        <v>0</v>
      </c>
      <c r="Q461">
        <v>0</v>
      </c>
      <c r="R461">
        <v>899.89737573224693</v>
      </c>
      <c r="S461">
        <v>29623.072919876402</v>
      </c>
      <c r="T461">
        <v>0</v>
      </c>
      <c r="U461">
        <v>0</v>
      </c>
      <c r="V461">
        <v>73844.314392523374</v>
      </c>
      <c r="W461">
        <v>0</v>
      </c>
      <c r="X461">
        <v>0</v>
      </c>
      <c r="Y461">
        <v>104367.28468813203</v>
      </c>
      <c r="Z461">
        <v>7242.7171118679853</v>
      </c>
      <c r="AA461">
        <v>111610.00180000001</v>
      </c>
      <c r="AB461" t="s">
        <v>242</v>
      </c>
      <c r="AC461">
        <v>2</v>
      </c>
      <c r="AD461">
        <v>10500</v>
      </c>
      <c r="AE461">
        <v>0</v>
      </c>
      <c r="AF461">
        <v>0</v>
      </c>
      <c r="AG461">
        <v>680.95590308528745</v>
      </c>
      <c r="AH461" t="s">
        <v>58</v>
      </c>
    </row>
    <row r="462" spans="1:34" x14ac:dyDescent="0.3">
      <c r="A462" t="s">
        <v>798</v>
      </c>
      <c r="B462">
        <v>52200750</v>
      </c>
      <c r="C462">
        <v>26151957</v>
      </c>
      <c r="D462" t="s">
        <v>141</v>
      </c>
      <c r="E462" t="s">
        <v>438</v>
      </c>
      <c r="F462" t="s">
        <v>431</v>
      </c>
      <c r="G462" t="s">
        <v>82</v>
      </c>
      <c r="H462" t="s">
        <v>83</v>
      </c>
      <c r="J462" t="s">
        <v>52</v>
      </c>
      <c r="K462" s="15">
        <v>1000</v>
      </c>
      <c r="L462" s="15">
        <v>0</v>
      </c>
      <c r="M462" s="13">
        <v>45057</v>
      </c>
      <c r="O462">
        <v>0</v>
      </c>
      <c r="P462">
        <v>0</v>
      </c>
      <c r="Q462">
        <v>0</v>
      </c>
      <c r="R462">
        <v>929.60359839533385</v>
      </c>
      <c r="S462">
        <v>28473.20313743738</v>
      </c>
      <c r="T462">
        <v>0</v>
      </c>
      <c r="U462">
        <v>0</v>
      </c>
      <c r="V462">
        <v>47756.1392450563</v>
      </c>
      <c r="W462">
        <v>0</v>
      </c>
      <c r="X462">
        <v>0</v>
      </c>
      <c r="Y462">
        <v>77158.94598088901</v>
      </c>
      <c r="Z462">
        <v>5336.0539667745579</v>
      </c>
      <c r="AA462">
        <v>82494.999947663571</v>
      </c>
      <c r="AB462" t="s">
        <v>242</v>
      </c>
      <c r="AC462">
        <v>4</v>
      </c>
      <c r="AD462">
        <v>5000</v>
      </c>
      <c r="AE462">
        <v>0</v>
      </c>
      <c r="AF462">
        <v>0</v>
      </c>
      <c r="AG462">
        <v>323.15163727819947</v>
      </c>
      <c r="AH462" t="s">
        <v>58</v>
      </c>
    </row>
    <row r="463" spans="1:34" x14ac:dyDescent="0.3">
      <c r="A463" t="s">
        <v>798</v>
      </c>
      <c r="B463">
        <v>82200034</v>
      </c>
      <c r="C463" t="s">
        <v>107</v>
      </c>
      <c r="D463" t="s">
        <v>536</v>
      </c>
      <c r="E463" t="s">
        <v>440</v>
      </c>
      <c r="F463" t="s">
        <v>433</v>
      </c>
      <c r="G463" t="s">
        <v>82</v>
      </c>
      <c r="H463" t="s">
        <v>83</v>
      </c>
      <c r="J463" t="s">
        <v>416</v>
      </c>
      <c r="K463" s="15">
        <v>0.25796243345849068</v>
      </c>
      <c r="L463" s="15">
        <v>0</v>
      </c>
      <c r="M463" s="13">
        <v>45057</v>
      </c>
      <c r="O463">
        <v>0</v>
      </c>
      <c r="P463">
        <v>0</v>
      </c>
      <c r="Q463">
        <v>43936.421261010619</v>
      </c>
      <c r="R463">
        <v>27122.437705928671</v>
      </c>
      <c r="S463">
        <v>73372.420561526611</v>
      </c>
      <c r="T463">
        <v>0</v>
      </c>
      <c r="U463">
        <v>0</v>
      </c>
      <c r="V463">
        <v>420965.09442264237</v>
      </c>
      <c r="W463">
        <v>0</v>
      </c>
      <c r="X463">
        <v>0</v>
      </c>
      <c r="Y463">
        <v>565396.37395110831</v>
      </c>
      <c r="Z463">
        <v>34603.626048891834</v>
      </c>
      <c r="AA463">
        <v>600000.00000000012</v>
      </c>
      <c r="AB463" t="s">
        <v>242</v>
      </c>
      <c r="AC463">
        <v>3</v>
      </c>
      <c r="AD463">
        <v>23000</v>
      </c>
      <c r="AE463">
        <v>0</v>
      </c>
      <c r="AF463">
        <v>0</v>
      </c>
      <c r="AG463">
        <v>1315.3456627582877</v>
      </c>
      <c r="AH463" t="s">
        <v>58</v>
      </c>
    </row>
    <row r="464" spans="1:34" x14ac:dyDescent="0.3">
      <c r="A464" t="s">
        <v>798</v>
      </c>
      <c r="B464">
        <v>52201809</v>
      </c>
      <c r="C464">
        <v>28380987</v>
      </c>
      <c r="D464" t="s">
        <v>164</v>
      </c>
      <c r="E464" t="s">
        <v>438</v>
      </c>
      <c r="F464" t="s">
        <v>431</v>
      </c>
      <c r="G464" t="s">
        <v>82</v>
      </c>
      <c r="H464" t="s">
        <v>83</v>
      </c>
      <c r="J464" t="s">
        <v>52</v>
      </c>
      <c r="K464" s="15">
        <v>500</v>
      </c>
      <c r="L464" s="15">
        <v>0</v>
      </c>
      <c r="M464" s="13">
        <v>45058</v>
      </c>
      <c r="O464">
        <v>0</v>
      </c>
      <c r="P464">
        <v>0</v>
      </c>
      <c r="Q464">
        <v>0</v>
      </c>
      <c r="R464">
        <v>998.46399750272212</v>
      </c>
      <c r="S464">
        <v>33486.171121221967</v>
      </c>
      <c r="T464">
        <v>0</v>
      </c>
      <c r="U464">
        <v>0</v>
      </c>
      <c r="V464">
        <v>51867.600635850336</v>
      </c>
      <c r="W464">
        <v>0</v>
      </c>
      <c r="X464">
        <v>0</v>
      </c>
      <c r="Y464">
        <v>86352.235754575027</v>
      </c>
      <c r="Z464">
        <v>5974.7640229950621</v>
      </c>
      <c r="AA464">
        <v>92326.99977757009</v>
      </c>
      <c r="AB464" t="s">
        <v>242</v>
      </c>
      <c r="AC464">
        <v>5</v>
      </c>
      <c r="AD464">
        <v>3500</v>
      </c>
      <c r="AE464">
        <v>0</v>
      </c>
      <c r="AF464">
        <v>0</v>
      </c>
      <c r="AG464">
        <v>226.32007460298183</v>
      </c>
      <c r="AH464" t="s">
        <v>58</v>
      </c>
    </row>
    <row r="465" spans="1:34" x14ac:dyDescent="0.3">
      <c r="A465" t="s">
        <v>798</v>
      </c>
      <c r="B465">
        <v>52201809</v>
      </c>
      <c r="C465">
        <v>28380987</v>
      </c>
      <c r="D465" t="s">
        <v>164</v>
      </c>
      <c r="E465" t="s">
        <v>438</v>
      </c>
      <c r="F465" t="s">
        <v>431</v>
      </c>
      <c r="G465" t="s">
        <v>82</v>
      </c>
      <c r="H465" t="s">
        <v>83</v>
      </c>
      <c r="J465" t="s">
        <v>52</v>
      </c>
      <c r="K465" s="15">
        <v>500</v>
      </c>
      <c r="L465" s="15">
        <v>0</v>
      </c>
      <c r="M465" s="13">
        <v>45061</v>
      </c>
      <c r="O465">
        <v>0</v>
      </c>
      <c r="P465">
        <v>0</v>
      </c>
      <c r="Q465">
        <v>0</v>
      </c>
      <c r="R465">
        <v>992.68265328634016</v>
      </c>
      <c r="S465">
        <v>33024.284527031668</v>
      </c>
      <c r="T465">
        <v>0</v>
      </c>
      <c r="U465">
        <v>0</v>
      </c>
      <c r="V465">
        <v>51867.600635850336</v>
      </c>
      <c r="W465">
        <v>0</v>
      </c>
      <c r="X465">
        <v>0</v>
      </c>
      <c r="Y465">
        <v>85884.567816168346</v>
      </c>
      <c r="Z465">
        <v>5942.4319614017413</v>
      </c>
      <c r="AA465">
        <v>91826.99977757009</v>
      </c>
      <c r="AB465" t="s">
        <v>242</v>
      </c>
      <c r="AC465">
        <v>6</v>
      </c>
      <c r="AD465">
        <v>4000</v>
      </c>
      <c r="AE465">
        <v>0</v>
      </c>
      <c r="AF465">
        <v>0</v>
      </c>
      <c r="AG465">
        <v>258.65213619630265</v>
      </c>
      <c r="AH465" t="s">
        <v>58</v>
      </c>
    </row>
    <row r="466" spans="1:34" x14ac:dyDescent="0.3">
      <c r="A466" t="s">
        <v>798</v>
      </c>
      <c r="B466">
        <v>4142300300</v>
      </c>
      <c r="C466">
        <v>10131172</v>
      </c>
      <c r="D466" t="s">
        <v>196</v>
      </c>
      <c r="E466" t="s">
        <v>445</v>
      </c>
      <c r="F466" t="s">
        <v>430</v>
      </c>
      <c r="G466" t="s">
        <v>230</v>
      </c>
      <c r="H466" t="s">
        <v>234</v>
      </c>
      <c r="J466" t="s">
        <v>52</v>
      </c>
      <c r="K466" s="15">
        <v>30000</v>
      </c>
      <c r="L466" s="15">
        <v>0</v>
      </c>
      <c r="M466" s="13">
        <v>45061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727700.14018691599</v>
      </c>
      <c r="Y466">
        <v>727700.14018691599</v>
      </c>
      <c r="Z466">
        <v>50939.009813084122</v>
      </c>
      <c r="AA466">
        <v>778639.15000000014</v>
      </c>
      <c r="AB466" t="s">
        <v>242</v>
      </c>
      <c r="AC466">
        <v>1</v>
      </c>
      <c r="AD466">
        <v>30000</v>
      </c>
      <c r="AE466">
        <v>0</v>
      </c>
      <c r="AF466">
        <v>0</v>
      </c>
      <c r="AG466">
        <v>1962.6168224299072</v>
      </c>
      <c r="AH466" t="s">
        <v>72</v>
      </c>
    </row>
    <row r="467" spans="1:34" x14ac:dyDescent="0.3">
      <c r="A467" t="s">
        <v>798</v>
      </c>
      <c r="B467">
        <v>52201220</v>
      </c>
      <c r="C467">
        <v>25378599</v>
      </c>
      <c r="D467" t="s">
        <v>150</v>
      </c>
      <c r="E467" t="s">
        <v>438</v>
      </c>
      <c r="F467" t="s">
        <v>431</v>
      </c>
      <c r="G467" t="s">
        <v>82</v>
      </c>
      <c r="H467" t="s">
        <v>83</v>
      </c>
      <c r="J467" t="s">
        <v>52</v>
      </c>
      <c r="K467" s="15">
        <v>2000</v>
      </c>
      <c r="L467" s="15">
        <v>0</v>
      </c>
      <c r="M467" s="13">
        <v>45062</v>
      </c>
      <c r="O467">
        <v>0</v>
      </c>
      <c r="P467">
        <v>0</v>
      </c>
      <c r="Q467">
        <v>0</v>
      </c>
      <c r="R467">
        <v>740.35242482115564</v>
      </c>
      <c r="S467">
        <v>20185.962365577663</v>
      </c>
      <c r="T467">
        <v>0</v>
      </c>
      <c r="U467">
        <v>0</v>
      </c>
      <c r="V467">
        <v>79718.38097920474</v>
      </c>
      <c r="W467">
        <v>0</v>
      </c>
      <c r="X467">
        <v>0</v>
      </c>
      <c r="Y467">
        <v>100644.69576960355</v>
      </c>
      <c r="Z467">
        <v>6993.3040341347687</v>
      </c>
      <c r="AA467">
        <v>107637.99980373832</v>
      </c>
      <c r="AB467" t="s">
        <v>242</v>
      </c>
      <c r="AC467">
        <v>3</v>
      </c>
      <c r="AD467">
        <v>7000</v>
      </c>
      <c r="AE467">
        <v>0</v>
      </c>
      <c r="AF467">
        <v>0</v>
      </c>
      <c r="AG467">
        <v>454.56511190418792</v>
      </c>
      <c r="AH467" t="s">
        <v>58</v>
      </c>
    </row>
    <row r="468" spans="1:34" x14ac:dyDescent="0.3">
      <c r="A468" t="s">
        <v>798</v>
      </c>
      <c r="B468">
        <v>52201828</v>
      </c>
      <c r="C468">
        <v>25536725</v>
      </c>
      <c r="D468" t="s">
        <v>166</v>
      </c>
      <c r="E468" t="s">
        <v>438</v>
      </c>
      <c r="F468" t="s">
        <v>431</v>
      </c>
      <c r="G468" t="s">
        <v>82</v>
      </c>
      <c r="H468" t="s">
        <v>83</v>
      </c>
      <c r="J468" t="s">
        <v>52</v>
      </c>
      <c r="K468" s="15">
        <v>1500</v>
      </c>
      <c r="L468" s="15">
        <v>0</v>
      </c>
      <c r="M468" s="13">
        <v>45062</v>
      </c>
      <c r="O468">
        <v>0</v>
      </c>
      <c r="P468">
        <v>0</v>
      </c>
      <c r="Q468">
        <v>0</v>
      </c>
      <c r="R468">
        <v>943.52118151793275</v>
      </c>
      <c r="S468">
        <v>22233.963569506534</v>
      </c>
      <c r="T468">
        <v>0</v>
      </c>
      <c r="U468">
        <v>0</v>
      </c>
      <c r="V468">
        <v>46273.024665951423</v>
      </c>
      <c r="W468">
        <v>0</v>
      </c>
      <c r="X468">
        <v>0</v>
      </c>
      <c r="Y468">
        <v>69450.509416975896</v>
      </c>
      <c r="Z468">
        <v>4795.4891764820577</v>
      </c>
      <c r="AA468">
        <v>74245.99859345796</v>
      </c>
      <c r="AB468" t="s">
        <v>242</v>
      </c>
      <c r="AC468">
        <v>4</v>
      </c>
      <c r="AD468">
        <v>7000</v>
      </c>
      <c r="AE468">
        <v>0</v>
      </c>
      <c r="AF468">
        <v>0</v>
      </c>
      <c r="AG468">
        <v>451.69764738902359</v>
      </c>
      <c r="AH468" t="s">
        <v>58</v>
      </c>
    </row>
    <row r="469" spans="1:34" x14ac:dyDescent="0.3">
      <c r="A469" t="s">
        <v>798</v>
      </c>
      <c r="B469">
        <v>52201830</v>
      </c>
      <c r="C469">
        <v>25560817</v>
      </c>
      <c r="D469" t="s">
        <v>167</v>
      </c>
      <c r="E469" t="s">
        <v>438</v>
      </c>
      <c r="F469" t="s">
        <v>431</v>
      </c>
      <c r="G469" t="s">
        <v>82</v>
      </c>
      <c r="H469" t="s">
        <v>83</v>
      </c>
      <c r="J469" t="s">
        <v>52</v>
      </c>
      <c r="K469" s="15">
        <v>3000</v>
      </c>
      <c r="L469" s="15">
        <v>0</v>
      </c>
      <c r="M469" s="13">
        <v>45062</v>
      </c>
      <c r="O469">
        <v>0</v>
      </c>
      <c r="P469">
        <v>0</v>
      </c>
      <c r="Q469">
        <v>0</v>
      </c>
      <c r="R469">
        <v>957.23959683381679</v>
      </c>
      <c r="S469">
        <v>33421.036359268976</v>
      </c>
      <c r="T469">
        <v>0</v>
      </c>
      <c r="U469">
        <v>0</v>
      </c>
      <c r="V469">
        <v>53474.06748157987</v>
      </c>
      <c r="W469">
        <v>0</v>
      </c>
      <c r="X469">
        <v>0</v>
      </c>
      <c r="Y469">
        <v>87852.343437682663</v>
      </c>
      <c r="Z469">
        <v>6082.6572688594197</v>
      </c>
      <c r="AA469">
        <v>93935.00070654208</v>
      </c>
      <c r="AB469" t="s">
        <v>242</v>
      </c>
      <c r="AC469">
        <v>1</v>
      </c>
      <c r="AD469">
        <v>3000</v>
      </c>
      <c r="AE469">
        <v>0</v>
      </c>
      <c r="AF469">
        <v>0</v>
      </c>
      <c r="AG469">
        <v>194.11847829753924</v>
      </c>
      <c r="AH469" t="s">
        <v>72</v>
      </c>
    </row>
    <row r="470" spans="1:34" x14ac:dyDescent="0.3">
      <c r="A470" t="s">
        <v>798</v>
      </c>
      <c r="B470">
        <v>2200002</v>
      </c>
      <c r="C470" t="s">
        <v>645</v>
      </c>
      <c r="D470" t="s">
        <v>407</v>
      </c>
      <c r="E470" t="s">
        <v>435</v>
      </c>
      <c r="F470" t="s">
        <v>426</v>
      </c>
      <c r="G470" t="s">
        <v>235</v>
      </c>
      <c r="H470" t="s">
        <v>235</v>
      </c>
      <c r="J470" t="s">
        <v>672</v>
      </c>
      <c r="M470" s="13">
        <v>45062</v>
      </c>
      <c r="O470">
        <v>5000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123625</v>
      </c>
      <c r="W470">
        <v>0</v>
      </c>
      <c r="X470">
        <v>0</v>
      </c>
      <c r="Y470">
        <v>128625</v>
      </c>
      <c r="Z470">
        <v>0</v>
      </c>
      <c r="AA470">
        <v>128625</v>
      </c>
      <c r="AB470" t="s">
        <v>242</v>
      </c>
      <c r="AC470">
        <v>0</v>
      </c>
      <c r="AD470">
        <v>0</v>
      </c>
      <c r="AE470">
        <v>0</v>
      </c>
      <c r="AF470">
        <v>0</v>
      </c>
      <c r="AG470">
        <v>0</v>
      </c>
      <c r="AH470" t="s">
        <v>72</v>
      </c>
    </row>
    <row r="471" spans="1:34" x14ac:dyDescent="0.3">
      <c r="A471" t="s">
        <v>798</v>
      </c>
      <c r="B471">
        <v>2200002</v>
      </c>
      <c r="C471" t="s">
        <v>645</v>
      </c>
      <c r="D471" t="s">
        <v>407</v>
      </c>
      <c r="E471" t="s">
        <v>435</v>
      </c>
      <c r="F471" t="s">
        <v>426</v>
      </c>
      <c r="G471" t="s">
        <v>235</v>
      </c>
      <c r="H471" t="s">
        <v>235</v>
      </c>
      <c r="J471" t="s">
        <v>52</v>
      </c>
      <c r="K471" s="15">
        <v>5000</v>
      </c>
      <c r="M471" s="13">
        <v>45062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123625</v>
      </c>
      <c r="W471">
        <v>0</v>
      </c>
      <c r="X471">
        <v>0</v>
      </c>
      <c r="Y471">
        <v>123625</v>
      </c>
      <c r="Z471">
        <v>0</v>
      </c>
      <c r="AA471">
        <v>123625</v>
      </c>
      <c r="AB471" t="s">
        <v>242</v>
      </c>
      <c r="AC471">
        <v>1</v>
      </c>
      <c r="AD471">
        <v>5000</v>
      </c>
      <c r="AE471">
        <v>0</v>
      </c>
      <c r="AF471">
        <v>0</v>
      </c>
      <c r="AG471">
        <v>0</v>
      </c>
      <c r="AH471" t="s">
        <v>58</v>
      </c>
    </row>
    <row r="472" spans="1:34" x14ac:dyDescent="0.3">
      <c r="A472" t="s">
        <v>798</v>
      </c>
      <c r="B472">
        <v>2200003</v>
      </c>
      <c r="C472" t="s">
        <v>646</v>
      </c>
      <c r="D472" t="s">
        <v>407</v>
      </c>
      <c r="E472" t="s">
        <v>435</v>
      </c>
      <c r="F472" t="s">
        <v>426</v>
      </c>
      <c r="G472" t="s">
        <v>235</v>
      </c>
      <c r="H472" t="s">
        <v>235</v>
      </c>
      <c r="J472" t="s">
        <v>672</v>
      </c>
      <c r="M472" s="13">
        <v>45062</v>
      </c>
      <c r="O472">
        <v>5000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133250</v>
      </c>
      <c r="W472">
        <v>0</v>
      </c>
      <c r="X472">
        <v>0</v>
      </c>
      <c r="Y472">
        <v>138250</v>
      </c>
      <c r="Z472">
        <v>0</v>
      </c>
      <c r="AA472">
        <v>138250</v>
      </c>
      <c r="AB472" t="s">
        <v>242</v>
      </c>
      <c r="AC472">
        <v>0</v>
      </c>
      <c r="AD472">
        <v>0</v>
      </c>
      <c r="AE472">
        <v>0</v>
      </c>
      <c r="AF472">
        <v>0</v>
      </c>
      <c r="AG472">
        <v>0</v>
      </c>
      <c r="AH472" t="s">
        <v>72</v>
      </c>
    </row>
    <row r="473" spans="1:34" x14ac:dyDescent="0.3">
      <c r="A473" t="s">
        <v>798</v>
      </c>
      <c r="B473">
        <v>2200003</v>
      </c>
      <c r="C473" t="s">
        <v>646</v>
      </c>
      <c r="D473" t="s">
        <v>407</v>
      </c>
      <c r="E473" t="s">
        <v>435</v>
      </c>
      <c r="F473" t="s">
        <v>426</v>
      </c>
      <c r="G473" t="s">
        <v>235</v>
      </c>
      <c r="H473" t="s">
        <v>235</v>
      </c>
      <c r="J473" t="s">
        <v>52</v>
      </c>
      <c r="K473" s="15">
        <v>5000</v>
      </c>
      <c r="M473" s="13">
        <v>45062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133250</v>
      </c>
      <c r="W473">
        <v>0</v>
      </c>
      <c r="X473">
        <v>0</v>
      </c>
      <c r="Y473">
        <v>133250</v>
      </c>
      <c r="Z473">
        <v>0</v>
      </c>
      <c r="AA473">
        <v>133250</v>
      </c>
      <c r="AB473" t="s">
        <v>242</v>
      </c>
      <c r="AC473">
        <v>1</v>
      </c>
      <c r="AD473">
        <v>5000</v>
      </c>
      <c r="AE473">
        <v>0</v>
      </c>
      <c r="AF473">
        <v>0</v>
      </c>
      <c r="AG473">
        <v>0</v>
      </c>
      <c r="AH473" t="s">
        <v>58</v>
      </c>
    </row>
    <row r="474" spans="1:34" x14ac:dyDescent="0.3">
      <c r="A474" t="s">
        <v>798</v>
      </c>
      <c r="B474">
        <v>62200129</v>
      </c>
      <c r="C474" t="s">
        <v>803</v>
      </c>
      <c r="D474" t="s">
        <v>897</v>
      </c>
      <c r="E474" t="s">
        <v>437</v>
      </c>
      <c r="F474" t="s">
        <v>432</v>
      </c>
      <c r="G474" t="s">
        <v>235</v>
      </c>
      <c r="H474" t="s">
        <v>235</v>
      </c>
      <c r="J474" t="s">
        <v>52</v>
      </c>
      <c r="K474" s="15">
        <v>2000</v>
      </c>
      <c r="L474" s="15">
        <v>0</v>
      </c>
      <c r="M474" s="13">
        <v>45063</v>
      </c>
      <c r="O474">
        <v>0</v>
      </c>
      <c r="P474">
        <v>0</v>
      </c>
      <c r="Q474">
        <v>0</v>
      </c>
      <c r="R474">
        <v>0</v>
      </c>
      <c r="S474">
        <v>9538.3985863013695</v>
      </c>
      <c r="T474">
        <v>0</v>
      </c>
      <c r="U474">
        <v>0</v>
      </c>
      <c r="V474">
        <v>17834.86</v>
      </c>
      <c r="W474">
        <v>0</v>
      </c>
      <c r="X474">
        <v>0</v>
      </c>
      <c r="Y474">
        <v>27373.25858630137</v>
      </c>
      <c r="Z474">
        <v>0</v>
      </c>
      <c r="AA474">
        <v>27373.25858630137</v>
      </c>
      <c r="AB474" t="s">
        <v>242</v>
      </c>
      <c r="AC474">
        <v>1</v>
      </c>
      <c r="AD474">
        <v>2000</v>
      </c>
      <c r="AE474">
        <v>0</v>
      </c>
      <c r="AF474">
        <v>0</v>
      </c>
      <c r="AG474">
        <v>0</v>
      </c>
      <c r="AH474" t="s">
        <v>72</v>
      </c>
    </row>
    <row r="475" spans="1:34" x14ac:dyDescent="0.3">
      <c r="A475" t="s">
        <v>798</v>
      </c>
      <c r="B475">
        <v>82200034</v>
      </c>
      <c r="C475" t="s">
        <v>107</v>
      </c>
      <c r="D475" t="s">
        <v>536</v>
      </c>
      <c r="E475" t="s">
        <v>440</v>
      </c>
      <c r="F475" t="s">
        <v>433</v>
      </c>
      <c r="G475" t="s">
        <v>417</v>
      </c>
      <c r="H475" t="s">
        <v>83</v>
      </c>
      <c r="J475" t="s">
        <v>52</v>
      </c>
      <c r="K475" s="15">
        <v>600000</v>
      </c>
      <c r="L475" s="15">
        <v>0</v>
      </c>
      <c r="M475" s="13">
        <v>45063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">
        <v>242</v>
      </c>
      <c r="AC475">
        <v>4</v>
      </c>
      <c r="AD475">
        <v>623000</v>
      </c>
      <c r="AE475">
        <v>0</v>
      </c>
      <c r="AF475">
        <v>0</v>
      </c>
      <c r="AG475">
        <v>35918.971711650091</v>
      </c>
      <c r="AH475" t="s">
        <v>58</v>
      </c>
    </row>
    <row r="476" spans="1:34" x14ac:dyDescent="0.3">
      <c r="A476" t="s">
        <v>798</v>
      </c>
      <c r="B476">
        <v>52200012</v>
      </c>
      <c r="C476" t="s">
        <v>638</v>
      </c>
      <c r="D476" t="s">
        <v>637</v>
      </c>
      <c r="E476" t="s">
        <v>435</v>
      </c>
      <c r="F476" t="s">
        <v>431</v>
      </c>
      <c r="G476" t="s">
        <v>230</v>
      </c>
      <c r="H476" t="s">
        <v>231</v>
      </c>
      <c r="J476" t="s">
        <v>52</v>
      </c>
      <c r="K476" s="15">
        <v>2500</v>
      </c>
      <c r="M476" s="13">
        <v>45064</v>
      </c>
      <c r="O476">
        <v>5261.6763557303984</v>
      </c>
      <c r="P476">
        <v>0</v>
      </c>
      <c r="Q476">
        <v>0</v>
      </c>
      <c r="R476">
        <v>0</v>
      </c>
      <c r="S476">
        <v>0</v>
      </c>
      <c r="T476">
        <v>30260.115555392142</v>
      </c>
      <c r="U476">
        <v>0</v>
      </c>
      <c r="V476">
        <v>0</v>
      </c>
      <c r="W476">
        <v>42990.654205607476</v>
      </c>
      <c r="X476">
        <v>0</v>
      </c>
      <c r="Y476">
        <v>78512.446116730018</v>
      </c>
      <c r="Z476">
        <v>5127.553883269974</v>
      </c>
      <c r="AA476">
        <v>83639.999999999985</v>
      </c>
      <c r="AB476" t="s">
        <v>242</v>
      </c>
      <c r="AC476">
        <v>3</v>
      </c>
      <c r="AD476">
        <v>8000</v>
      </c>
      <c r="AE476">
        <v>0</v>
      </c>
      <c r="AF476">
        <v>0</v>
      </c>
      <c r="AG476">
        <v>488.1470513094655</v>
      </c>
      <c r="AH476" t="s">
        <v>58</v>
      </c>
    </row>
    <row r="477" spans="1:34" x14ac:dyDescent="0.3">
      <c r="A477" t="s">
        <v>798</v>
      </c>
      <c r="B477">
        <v>52200238</v>
      </c>
      <c r="C477" t="s">
        <v>648</v>
      </c>
      <c r="D477" t="s">
        <v>647</v>
      </c>
      <c r="E477" t="s">
        <v>436</v>
      </c>
      <c r="F477" t="s">
        <v>431</v>
      </c>
      <c r="G477" t="s">
        <v>674</v>
      </c>
      <c r="H477" t="s">
        <v>83</v>
      </c>
      <c r="J477" t="s">
        <v>52</v>
      </c>
      <c r="K477" s="15">
        <v>1000</v>
      </c>
      <c r="M477" s="13">
        <v>45064</v>
      </c>
      <c r="O477">
        <v>0</v>
      </c>
      <c r="P477">
        <v>0</v>
      </c>
      <c r="Q477">
        <v>0</v>
      </c>
      <c r="R477">
        <v>765.79655483265003</v>
      </c>
      <c r="S477">
        <v>39625.876861148623</v>
      </c>
      <c r="T477">
        <v>0</v>
      </c>
      <c r="U477">
        <v>0</v>
      </c>
      <c r="V477">
        <v>76681.788968468842</v>
      </c>
      <c r="W477">
        <v>0</v>
      </c>
      <c r="X477">
        <v>0</v>
      </c>
      <c r="Y477">
        <v>117073.4623844501</v>
      </c>
      <c r="Z477">
        <v>8141.5366080732238</v>
      </c>
      <c r="AA477">
        <v>125214.99899252332</v>
      </c>
      <c r="AB477" t="s">
        <v>242</v>
      </c>
      <c r="AC477">
        <v>3</v>
      </c>
      <c r="AD477">
        <v>4000</v>
      </c>
      <c r="AE477">
        <v>0</v>
      </c>
      <c r="AF477">
        <v>0</v>
      </c>
      <c r="AG477">
        <v>259.96799891428554</v>
      </c>
      <c r="AH477" t="s">
        <v>58</v>
      </c>
    </row>
    <row r="478" spans="1:34" x14ac:dyDescent="0.3">
      <c r="A478" t="s">
        <v>798</v>
      </c>
      <c r="B478">
        <v>52200750</v>
      </c>
      <c r="C478">
        <v>26151957</v>
      </c>
      <c r="D478" t="s">
        <v>141</v>
      </c>
      <c r="E478" t="s">
        <v>438</v>
      </c>
      <c r="F478" t="s">
        <v>431</v>
      </c>
      <c r="G478" t="s">
        <v>82</v>
      </c>
      <c r="H478" t="s">
        <v>83</v>
      </c>
      <c r="J478" t="s">
        <v>52</v>
      </c>
      <c r="K478" s="15">
        <v>1000</v>
      </c>
      <c r="L478" s="15">
        <v>0</v>
      </c>
      <c r="M478" s="13">
        <v>45065</v>
      </c>
      <c r="O478">
        <v>0</v>
      </c>
      <c r="P478">
        <v>0</v>
      </c>
      <c r="Q478">
        <v>0</v>
      </c>
      <c r="R478">
        <v>917.55569407811333</v>
      </c>
      <c r="S478">
        <v>27549.883421845996</v>
      </c>
      <c r="T478">
        <v>0</v>
      </c>
      <c r="U478">
        <v>0</v>
      </c>
      <c r="V478">
        <v>47756.1392450563</v>
      </c>
      <c r="W478">
        <v>0</v>
      </c>
      <c r="X478">
        <v>0</v>
      </c>
      <c r="Y478">
        <v>76223.578360980406</v>
      </c>
      <c r="Z478">
        <v>5271.421586683161</v>
      </c>
      <c r="AA478">
        <v>81494.999947663571</v>
      </c>
      <c r="AB478" t="s">
        <v>242</v>
      </c>
      <c r="AC478">
        <v>5</v>
      </c>
      <c r="AD478">
        <v>6000</v>
      </c>
      <c r="AE478">
        <v>0</v>
      </c>
      <c r="AF478">
        <v>0</v>
      </c>
      <c r="AG478">
        <v>387.78401736959631</v>
      </c>
      <c r="AH478" t="s">
        <v>58</v>
      </c>
    </row>
    <row r="479" spans="1:34" x14ac:dyDescent="0.3">
      <c r="A479" t="s">
        <v>798</v>
      </c>
      <c r="B479">
        <v>52201007</v>
      </c>
      <c r="C479">
        <v>25682794</v>
      </c>
      <c r="D479" t="s">
        <v>868</v>
      </c>
      <c r="E479" t="s">
        <v>438</v>
      </c>
      <c r="F479" t="s">
        <v>431</v>
      </c>
      <c r="G479" t="s">
        <v>82</v>
      </c>
      <c r="H479" t="s">
        <v>83</v>
      </c>
      <c r="J479" t="s">
        <v>52</v>
      </c>
      <c r="K479" s="15">
        <v>1587</v>
      </c>
      <c r="L479" s="15">
        <v>0</v>
      </c>
      <c r="M479" s="13">
        <v>45065</v>
      </c>
      <c r="O479">
        <v>0</v>
      </c>
      <c r="P479">
        <v>0</v>
      </c>
      <c r="Q479">
        <v>0</v>
      </c>
      <c r="R479">
        <v>1102.5908508923101</v>
      </c>
      <c r="S479">
        <v>39786.244348821769</v>
      </c>
      <c r="T479">
        <v>0</v>
      </c>
      <c r="U479">
        <v>0</v>
      </c>
      <c r="V479">
        <v>58098.249805478597</v>
      </c>
      <c r="W479">
        <v>0</v>
      </c>
      <c r="X479">
        <v>0</v>
      </c>
      <c r="Y479">
        <v>98987.085005192668</v>
      </c>
      <c r="Z479">
        <v>6851.914590801026</v>
      </c>
      <c r="AA479">
        <v>105838.99959599369</v>
      </c>
      <c r="AB479" t="s">
        <v>242</v>
      </c>
      <c r="AC479">
        <v>2</v>
      </c>
      <c r="AD479">
        <v>3174</v>
      </c>
      <c r="AE479">
        <v>0</v>
      </c>
      <c r="AF479">
        <v>0</v>
      </c>
      <c r="AG479">
        <v>205.32837342286143</v>
      </c>
      <c r="AH479" t="s">
        <v>58</v>
      </c>
    </row>
    <row r="480" spans="1:34" x14ac:dyDescent="0.3">
      <c r="A480" t="s">
        <v>798</v>
      </c>
      <c r="B480">
        <v>42201090</v>
      </c>
      <c r="C480" t="s">
        <v>370</v>
      </c>
      <c r="D480" t="s">
        <v>409</v>
      </c>
      <c r="E480" t="s">
        <v>439</v>
      </c>
      <c r="F480" t="s">
        <v>430</v>
      </c>
      <c r="G480" t="s">
        <v>419</v>
      </c>
      <c r="H480" t="s">
        <v>234</v>
      </c>
      <c r="J480" t="s">
        <v>52</v>
      </c>
      <c r="K480" s="15">
        <v>145000</v>
      </c>
      <c r="L480" s="15">
        <v>0</v>
      </c>
      <c r="M480" s="13">
        <v>45065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">
        <v>242</v>
      </c>
      <c r="AC480">
        <v>1</v>
      </c>
      <c r="AD480">
        <v>145000</v>
      </c>
      <c r="AE480">
        <v>0</v>
      </c>
      <c r="AF480">
        <v>0</v>
      </c>
      <c r="AG480">
        <v>9485.9813084112247</v>
      </c>
      <c r="AH480" t="s">
        <v>58</v>
      </c>
    </row>
    <row r="481" spans="1:34" x14ac:dyDescent="0.3">
      <c r="A481" t="s">
        <v>798</v>
      </c>
      <c r="B481">
        <v>4142300300</v>
      </c>
      <c r="C481">
        <v>10131172</v>
      </c>
      <c r="D481" t="s">
        <v>196</v>
      </c>
      <c r="E481" t="s">
        <v>445</v>
      </c>
      <c r="F481" t="s">
        <v>430</v>
      </c>
      <c r="G481" t="s">
        <v>230</v>
      </c>
      <c r="H481" t="s">
        <v>234</v>
      </c>
      <c r="J481" t="s">
        <v>52</v>
      </c>
      <c r="K481" s="15">
        <v>20000</v>
      </c>
      <c r="L481" s="15">
        <v>0</v>
      </c>
      <c r="M481" s="13">
        <v>45066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709008.55140186928</v>
      </c>
      <c r="Y481">
        <v>709008.55140186928</v>
      </c>
      <c r="Z481">
        <v>49630.598598130855</v>
      </c>
      <c r="AA481">
        <v>758639.15000000014</v>
      </c>
      <c r="AB481" t="s">
        <v>242</v>
      </c>
      <c r="AC481">
        <v>2</v>
      </c>
      <c r="AD481">
        <v>50000</v>
      </c>
      <c r="AE481">
        <v>0</v>
      </c>
      <c r="AF481">
        <v>0</v>
      </c>
      <c r="AG481">
        <v>3271.0280373831774</v>
      </c>
      <c r="AH481" t="s">
        <v>58</v>
      </c>
    </row>
    <row r="482" spans="1:34" x14ac:dyDescent="0.3">
      <c r="A482" t="s">
        <v>798</v>
      </c>
      <c r="B482">
        <v>32200123</v>
      </c>
      <c r="C482">
        <v>26112598</v>
      </c>
      <c r="D482" t="s">
        <v>815</v>
      </c>
      <c r="E482" t="s">
        <v>438</v>
      </c>
      <c r="F482" t="s">
        <v>429</v>
      </c>
      <c r="G482" t="s">
        <v>82</v>
      </c>
      <c r="H482" t="s">
        <v>82</v>
      </c>
      <c r="J482" t="s">
        <v>52</v>
      </c>
      <c r="K482" s="15">
        <v>2000</v>
      </c>
      <c r="L482" s="15">
        <v>0</v>
      </c>
      <c r="M482" s="13">
        <v>45068</v>
      </c>
      <c r="O482">
        <v>0</v>
      </c>
      <c r="P482">
        <v>0</v>
      </c>
      <c r="Q482">
        <v>0</v>
      </c>
      <c r="R482">
        <v>0</v>
      </c>
      <c r="S482">
        <v>5254.7013698630144</v>
      </c>
      <c r="T482">
        <v>0</v>
      </c>
      <c r="U482">
        <v>0</v>
      </c>
      <c r="V482">
        <v>18150</v>
      </c>
      <c r="W482">
        <v>0</v>
      </c>
      <c r="X482">
        <v>0</v>
      </c>
      <c r="Y482">
        <v>23404.701369863014</v>
      </c>
      <c r="Z482">
        <v>0</v>
      </c>
      <c r="AA482">
        <v>23404.701369863014</v>
      </c>
      <c r="AB482" t="s">
        <v>242</v>
      </c>
      <c r="AC482">
        <v>1</v>
      </c>
      <c r="AD482">
        <v>2000</v>
      </c>
      <c r="AE482">
        <v>0</v>
      </c>
      <c r="AF482">
        <v>0</v>
      </c>
      <c r="AG482">
        <v>0</v>
      </c>
      <c r="AH482" t="s">
        <v>72</v>
      </c>
    </row>
    <row r="483" spans="1:34" x14ac:dyDescent="0.3">
      <c r="A483" t="s">
        <v>798</v>
      </c>
      <c r="B483">
        <v>12200122</v>
      </c>
      <c r="C483">
        <v>5900440096</v>
      </c>
      <c r="D483" t="s">
        <v>113</v>
      </c>
      <c r="E483" t="s">
        <v>437</v>
      </c>
      <c r="F483" t="s">
        <v>427</v>
      </c>
      <c r="G483" t="s">
        <v>82</v>
      </c>
      <c r="H483" t="s">
        <v>82</v>
      </c>
      <c r="J483" t="s">
        <v>52</v>
      </c>
      <c r="K483" s="15">
        <v>1000</v>
      </c>
      <c r="L483" s="15">
        <v>0</v>
      </c>
      <c r="M483" s="13">
        <v>45070</v>
      </c>
      <c r="O483">
        <v>0</v>
      </c>
      <c r="P483">
        <v>0</v>
      </c>
      <c r="Q483">
        <v>0</v>
      </c>
      <c r="R483">
        <v>0</v>
      </c>
      <c r="S483">
        <v>3947.4300000000021</v>
      </c>
      <c r="T483">
        <v>0</v>
      </c>
      <c r="U483">
        <v>0</v>
      </c>
      <c r="V483">
        <v>14052.06</v>
      </c>
      <c r="W483">
        <v>0</v>
      </c>
      <c r="X483">
        <v>0</v>
      </c>
      <c r="Y483">
        <v>17999.490000000002</v>
      </c>
      <c r="Z483">
        <v>0</v>
      </c>
      <c r="AA483">
        <v>17999.490000000002</v>
      </c>
      <c r="AB483" t="s">
        <v>242</v>
      </c>
      <c r="AC483">
        <v>3</v>
      </c>
      <c r="AD483">
        <v>3276</v>
      </c>
      <c r="AE483">
        <v>0</v>
      </c>
      <c r="AF483">
        <v>0</v>
      </c>
      <c r="AG483">
        <v>0</v>
      </c>
      <c r="AH483" t="s">
        <v>58</v>
      </c>
    </row>
    <row r="484" spans="1:34" x14ac:dyDescent="0.3">
      <c r="A484" t="s">
        <v>798</v>
      </c>
      <c r="B484">
        <v>52201479</v>
      </c>
      <c r="C484">
        <v>26373941</v>
      </c>
      <c r="D484" t="s">
        <v>159</v>
      </c>
      <c r="E484" t="s">
        <v>438</v>
      </c>
      <c r="F484" t="s">
        <v>431</v>
      </c>
      <c r="G484" t="s">
        <v>82</v>
      </c>
      <c r="H484" t="s">
        <v>83</v>
      </c>
      <c r="J484" t="s">
        <v>52</v>
      </c>
      <c r="K484" s="15">
        <v>2500</v>
      </c>
      <c r="L484" s="15">
        <v>0</v>
      </c>
      <c r="M484" s="13">
        <v>45070</v>
      </c>
      <c r="O484">
        <v>0</v>
      </c>
      <c r="P484">
        <v>0</v>
      </c>
      <c r="Q484">
        <v>0</v>
      </c>
      <c r="R484">
        <v>826.39530255604018</v>
      </c>
      <c r="S484">
        <v>14674.15363046832</v>
      </c>
      <c r="T484">
        <v>0</v>
      </c>
      <c r="U484">
        <v>0</v>
      </c>
      <c r="V484">
        <v>48696.505044756617</v>
      </c>
      <c r="W484">
        <v>0</v>
      </c>
      <c r="X484">
        <v>0</v>
      </c>
      <c r="Y484">
        <v>64197.053977780975</v>
      </c>
      <c r="Z484">
        <v>4435.9461072657459</v>
      </c>
      <c r="AA484">
        <v>68633.000085046719</v>
      </c>
      <c r="AB484" t="s">
        <v>242</v>
      </c>
      <c r="AC484">
        <v>2</v>
      </c>
      <c r="AD484">
        <v>5000</v>
      </c>
      <c r="AE484">
        <v>0</v>
      </c>
      <c r="AF484">
        <v>0</v>
      </c>
      <c r="AG484">
        <v>322.87632820460067</v>
      </c>
      <c r="AH484" t="s">
        <v>58</v>
      </c>
    </row>
    <row r="485" spans="1:34" x14ac:dyDescent="0.3">
      <c r="A485" t="s">
        <v>798</v>
      </c>
      <c r="B485">
        <v>42200856</v>
      </c>
      <c r="C485">
        <v>2757002330</v>
      </c>
      <c r="D485" t="s">
        <v>127</v>
      </c>
      <c r="E485" t="s">
        <v>439</v>
      </c>
      <c r="F485" t="s">
        <v>430</v>
      </c>
      <c r="G485" t="s">
        <v>233</v>
      </c>
      <c r="H485" t="s">
        <v>234</v>
      </c>
      <c r="J485" t="s">
        <v>52</v>
      </c>
      <c r="K485" s="15">
        <v>500</v>
      </c>
      <c r="L485" s="15">
        <v>0</v>
      </c>
      <c r="M485" s="13">
        <v>45071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37236.88785046729</v>
      </c>
      <c r="Y485">
        <v>37236.88785046729</v>
      </c>
      <c r="Z485">
        <v>2606.5821495327104</v>
      </c>
      <c r="AA485">
        <v>39843.47</v>
      </c>
      <c r="AB485" t="s">
        <v>242</v>
      </c>
      <c r="AC485">
        <v>1</v>
      </c>
      <c r="AD485">
        <v>500</v>
      </c>
      <c r="AE485">
        <v>0</v>
      </c>
      <c r="AF485">
        <v>0</v>
      </c>
      <c r="AG485">
        <v>32.710280373831779</v>
      </c>
      <c r="AH485" t="s">
        <v>72</v>
      </c>
    </row>
    <row r="486" spans="1:34" x14ac:dyDescent="0.3">
      <c r="A486" t="s">
        <v>798</v>
      </c>
      <c r="B486">
        <v>2200001</v>
      </c>
      <c r="C486" t="s">
        <v>630</v>
      </c>
      <c r="D486" t="s">
        <v>407</v>
      </c>
      <c r="E486" t="s">
        <v>435</v>
      </c>
      <c r="F486" t="s">
        <v>675</v>
      </c>
      <c r="G486" t="s">
        <v>235</v>
      </c>
      <c r="H486" t="s">
        <v>235</v>
      </c>
      <c r="J486" t="s">
        <v>52</v>
      </c>
      <c r="K486" s="15">
        <v>3000</v>
      </c>
      <c r="M486" s="13">
        <v>45071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57246.990000000005</v>
      </c>
      <c r="W486">
        <v>0</v>
      </c>
      <c r="X486">
        <v>0</v>
      </c>
      <c r="Y486">
        <v>57246.990000000005</v>
      </c>
      <c r="Z486">
        <v>0</v>
      </c>
      <c r="AA486">
        <v>57246.990000000005</v>
      </c>
      <c r="AB486" t="s">
        <v>242</v>
      </c>
      <c r="AC486">
        <v>4</v>
      </c>
      <c r="AD486">
        <v>12000</v>
      </c>
      <c r="AE486">
        <v>0</v>
      </c>
      <c r="AF486">
        <v>0</v>
      </c>
      <c r="AG486">
        <v>0</v>
      </c>
      <c r="AH486" t="s">
        <v>58</v>
      </c>
    </row>
    <row r="487" spans="1:34" x14ac:dyDescent="0.3">
      <c r="A487" t="s">
        <v>798</v>
      </c>
      <c r="B487">
        <v>12200038</v>
      </c>
      <c r="C487">
        <v>19668536</v>
      </c>
      <c r="D487" t="s">
        <v>808</v>
      </c>
      <c r="E487" t="s">
        <v>435</v>
      </c>
      <c r="F487" t="s">
        <v>427</v>
      </c>
      <c r="G487" t="s">
        <v>82</v>
      </c>
      <c r="H487" t="s">
        <v>82</v>
      </c>
      <c r="J487" t="s">
        <v>52</v>
      </c>
      <c r="K487" s="15">
        <v>300</v>
      </c>
      <c r="L487" s="15">
        <v>0</v>
      </c>
      <c r="M487" s="13">
        <v>45072</v>
      </c>
      <c r="O487">
        <v>0</v>
      </c>
      <c r="P487">
        <v>0</v>
      </c>
      <c r="Q487">
        <v>0</v>
      </c>
      <c r="R487">
        <v>0</v>
      </c>
      <c r="S487">
        <v>17480.96446684932</v>
      </c>
      <c r="T487">
        <v>0</v>
      </c>
      <c r="U487">
        <v>0</v>
      </c>
      <c r="V487">
        <v>213784.64</v>
      </c>
      <c r="W487">
        <v>0</v>
      </c>
      <c r="X487">
        <v>0</v>
      </c>
      <c r="Y487">
        <v>231265.60446684933</v>
      </c>
      <c r="Z487">
        <v>0</v>
      </c>
      <c r="AA487">
        <v>231265.60446684933</v>
      </c>
      <c r="AB487" t="s">
        <v>242</v>
      </c>
      <c r="AC487">
        <v>10</v>
      </c>
      <c r="AD487">
        <v>19100</v>
      </c>
      <c r="AE487">
        <v>0</v>
      </c>
      <c r="AF487">
        <v>0</v>
      </c>
      <c r="AG487">
        <v>0</v>
      </c>
      <c r="AH487" t="s">
        <v>58</v>
      </c>
    </row>
    <row r="488" spans="1:34" x14ac:dyDescent="0.3">
      <c r="A488" t="s">
        <v>798</v>
      </c>
      <c r="B488">
        <v>12200071</v>
      </c>
      <c r="C488">
        <v>25700539</v>
      </c>
      <c r="D488" t="s">
        <v>809</v>
      </c>
      <c r="E488" t="s">
        <v>436</v>
      </c>
      <c r="F488" t="s">
        <v>427</v>
      </c>
      <c r="G488" t="s">
        <v>82</v>
      </c>
      <c r="H488" t="s">
        <v>82</v>
      </c>
      <c r="J488" t="s">
        <v>52</v>
      </c>
      <c r="K488" s="15">
        <v>300</v>
      </c>
      <c r="L488" s="15">
        <v>0</v>
      </c>
      <c r="M488" s="13">
        <v>45072</v>
      </c>
      <c r="O488">
        <v>0</v>
      </c>
      <c r="P488">
        <v>0</v>
      </c>
      <c r="Q488">
        <v>0</v>
      </c>
      <c r="R488">
        <v>0</v>
      </c>
      <c r="S488">
        <v>15877.865803435059</v>
      </c>
      <c r="T488">
        <v>0</v>
      </c>
      <c r="U488">
        <v>0</v>
      </c>
      <c r="V488">
        <v>88785.817371424288</v>
      </c>
      <c r="W488">
        <v>0</v>
      </c>
      <c r="X488">
        <v>0</v>
      </c>
      <c r="Y488">
        <v>104663.68317485935</v>
      </c>
      <c r="Z488">
        <v>0</v>
      </c>
      <c r="AA488">
        <v>104663.68317485935</v>
      </c>
      <c r="AB488" t="s">
        <v>242</v>
      </c>
      <c r="AC488">
        <v>3</v>
      </c>
      <c r="AD488">
        <v>1300</v>
      </c>
      <c r="AE488">
        <v>0</v>
      </c>
      <c r="AF488">
        <v>0</v>
      </c>
      <c r="AG488">
        <v>0</v>
      </c>
      <c r="AH488" t="s">
        <v>58</v>
      </c>
    </row>
    <row r="489" spans="1:34" x14ac:dyDescent="0.3">
      <c r="A489" t="s">
        <v>798</v>
      </c>
      <c r="B489">
        <v>52200239</v>
      </c>
      <c r="C489">
        <v>25091589</v>
      </c>
      <c r="D489" t="s">
        <v>844</v>
      </c>
      <c r="E489" t="s">
        <v>436</v>
      </c>
      <c r="F489" t="s">
        <v>431</v>
      </c>
      <c r="G489" t="s">
        <v>82</v>
      </c>
      <c r="H489" t="s">
        <v>83</v>
      </c>
      <c r="J489" t="s">
        <v>52</v>
      </c>
      <c r="K489" s="15">
        <v>2500</v>
      </c>
      <c r="L489" s="15">
        <v>0</v>
      </c>
      <c r="M489" s="13">
        <v>45072</v>
      </c>
      <c r="O489">
        <v>0</v>
      </c>
      <c r="P489">
        <v>0</v>
      </c>
      <c r="Q489">
        <v>0</v>
      </c>
      <c r="R489">
        <v>805.64157007349957</v>
      </c>
      <c r="S489">
        <v>22136.740158984496</v>
      </c>
      <c r="T489">
        <v>0</v>
      </c>
      <c r="U489">
        <v>0</v>
      </c>
      <c r="V489">
        <v>54126.211626342912</v>
      </c>
      <c r="W489">
        <v>0</v>
      </c>
      <c r="X489">
        <v>0</v>
      </c>
      <c r="Y489">
        <v>77068.59335540091</v>
      </c>
      <c r="Z489">
        <v>5338.4066249729185</v>
      </c>
      <c r="AA489">
        <v>82406.999980373832</v>
      </c>
      <c r="AB489" t="s">
        <v>242</v>
      </c>
      <c r="AC489">
        <v>10</v>
      </c>
      <c r="AD489">
        <v>17500</v>
      </c>
      <c r="AE489">
        <v>0</v>
      </c>
      <c r="AF489">
        <v>0</v>
      </c>
      <c r="AG489">
        <v>1132.7989812197613</v>
      </c>
      <c r="AH489" t="s">
        <v>58</v>
      </c>
    </row>
    <row r="490" spans="1:34" x14ac:dyDescent="0.3">
      <c r="A490" t="s">
        <v>798</v>
      </c>
      <c r="B490">
        <v>4142300277</v>
      </c>
      <c r="C490" t="s">
        <v>251</v>
      </c>
      <c r="D490" t="s">
        <v>322</v>
      </c>
      <c r="E490" t="s">
        <v>445</v>
      </c>
      <c r="F490" t="s">
        <v>430</v>
      </c>
      <c r="G490" t="s">
        <v>329</v>
      </c>
      <c r="H490" t="s">
        <v>234</v>
      </c>
      <c r="J490" t="s">
        <v>425</v>
      </c>
      <c r="K490" s="15">
        <v>396000</v>
      </c>
      <c r="L490" s="15">
        <v>847</v>
      </c>
      <c r="M490" s="13">
        <v>45072</v>
      </c>
      <c r="O490">
        <v>847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847</v>
      </c>
      <c r="Z490">
        <v>0</v>
      </c>
      <c r="AA490">
        <v>847</v>
      </c>
      <c r="AB490" t="s">
        <v>242</v>
      </c>
      <c r="AC490">
        <v>0</v>
      </c>
      <c r="AD490">
        <v>0</v>
      </c>
      <c r="AE490">
        <v>0</v>
      </c>
      <c r="AF490">
        <v>423720</v>
      </c>
      <c r="AG490">
        <v>27720</v>
      </c>
      <c r="AH490" t="s">
        <v>72</v>
      </c>
    </row>
    <row r="491" spans="1:34" x14ac:dyDescent="0.3">
      <c r="A491" t="s">
        <v>798</v>
      </c>
      <c r="B491">
        <v>4302300020</v>
      </c>
      <c r="C491">
        <v>901019009381</v>
      </c>
      <c r="D491" t="s">
        <v>926</v>
      </c>
      <c r="E491" t="s">
        <v>447</v>
      </c>
      <c r="F491" t="s">
        <v>433</v>
      </c>
      <c r="G491" t="s">
        <v>82</v>
      </c>
      <c r="H491" t="s">
        <v>83</v>
      </c>
      <c r="J491" t="s">
        <v>52</v>
      </c>
      <c r="K491" s="15">
        <v>56000</v>
      </c>
      <c r="L491" s="15">
        <v>0</v>
      </c>
      <c r="M491" s="13">
        <v>45073</v>
      </c>
      <c r="O491">
        <v>0</v>
      </c>
      <c r="P491">
        <v>0</v>
      </c>
      <c r="Q491">
        <v>103472.86817808432</v>
      </c>
      <c r="R491">
        <v>7058.07</v>
      </c>
      <c r="S491">
        <v>0</v>
      </c>
      <c r="T491">
        <v>0</v>
      </c>
      <c r="U491">
        <v>0</v>
      </c>
      <c r="V491">
        <v>1545991.9952541268</v>
      </c>
      <c r="W491">
        <v>0</v>
      </c>
      <c r="X491">
        <v>0</v>
      </c>
      <c r="Y491">
        <v>1656522.9334322112</v>
      </c>
      <c r="Z491">
        <v>108219.43966778889</v>
      </c>
      <c r="AA491">
        <v>1764742.3731</v>
      </c>
      <c r="AB491" t="s">
        <v>242</v>
      </c>
      <c r="AC491">
        <v>2</v>
      </c>
      <c r="AD491">
        <v>111000</v>
      </c>
      <c r="AE491">
        <v>0</v>
      </c>
      <c r="AF491">
        <v>0</v>
      </c>
      <c r="AG491">
        <v>6775.6734322111297</v>
      </c>
      <c r="AH491" t="s">
        <v>58</v>
      </c>
    </row>
    <row r="492" spans="1:34" x14ac:dyDescent="0.3">
      <c r="A492" t="s">
        <v>798</v>
      </c>
      <c r="B492">
        <v>82200036</v>
      </c>
      <c r="C492" t="s">
        <v>621</v>
      </c>
      <c r="D492" t="s">
        <v>620</v>
      </c>
      <c r="E492" t="s">
        <v>440</v>
      </c>
      <c r="F492" t="s">
        <v>433</v>
      </c>
      <c r="G492" t="s">
        <v>82</v>
      </c>
      <c r="H492" t="s">
        <v>83</v>
      </c>
      <c r="J492" t="s">
        <v>52</v>
      </c>
      <c r="K492" s="15">
        <v>17000</v>
      </c>
      <c r="M492" s="13">
        <v>45073</v>
      </c>
      <c r="O492">
        <v>0</v>
      </c>
      <c r="P492">
        <v>0</v>
      </c>
      <c r="Q492">
        <v>23117.440124213383</v>
      </c>
      <c r="R492">
        <v>15062.529999999999</v>
      </c>
      <c r="S492">
        <v>6102.1675474641233</v>
      </c>
      <c r="T492">
        <v>0</v>
      </c>
      <c r="U492">
        <v>0</v>
      </c>
      <c r="V492">
        <v>349928.98</v>
      </c>
      <c r="W492">
        <v>0</v>
      </c>
      <c r="X492">
        <v>0</v>
      </c>
      <c r="Y492">
        <v>394211.11767167749</v>
      </c>
      <c r="Z492">
        <v>24922.180328322491</v>
      </c>
      <c r="AA492">
        <v>419133.29800000001</v>
      </c>
      <c r="AB492" t="s">
        <v>242</v>
      </c>
      <c r="AC492">
        <v>3</v>
      </c>
      <c r="AD492">
        <v>51000</v>
      </c>
      <c r="AE492">
        <v>0</v>
      </c>
      <c r="AF492">
        <v>0</v>
      </c>
      <c r="AG492">
        <v>3011.6976716775098</v>
      </c>
      <c r="AH492" t="s">
        <v>58</v>
      </c>
    </row>
    <row r="493" spans="1:34" x14ac:dyDescent="0.3">
      <c r="A493" t="s">
        <v>798</v>
      </c>
      <c r="B493">
        <v>82200035</v>
      </c>
      <c r="C493">
        <v>901014014454</v>
      </c>
      <c r="D493" s="38" t="s">
        <v>255</v>
      </c>
      <c r="E493" t="s">
        <v>440</v>
      </c>
      <c r="F493" t="s">
        <v>433</v>
      </c>
      <c r="G493" t="s">
        <v>326</v>
      </c>
      <c r="H493" t="s">
        <v>236</v>
      </c>
      <c r="J493" s="37" t="s">
        <v>425</v>
      </c>
      <c r="K493">
        <v>500000</v>
      </c>
      <c r="L493" s="15">
        <v>11090</v>
      </c>
      <c r="M493" s="13">
        <v>45075</v>
      </c>
      <c r="O493">
        <v>0</v>
      </c>
      <c r="P493">
        <v>0</v>
      </c>
      <c r="Q493">
        <v>0</v>
      </c>
      <c r="R493">
        <v>0</v>
      </c>
      <c r="S493">
        <v>207440.91150321925</v>
      </c>
      <c r="T493">
        <v>0</v>
      </c>
      <c r="U493">
        <v>43516.429887658334</v>
      </c>
      <c r="V493">
        <v>651776.34000000008</v>
      </c>
      <c r="W493">
        <v>0</v>
      </c>
      <c r="X493">
        <v>0</v>
      </c>
      <c r="Y493">
        <v>902733.6813908777</v>
      </c>
      <c r="Z493">
        <v>48670.493892136095</v>
      </c>
      <c r="AA493">
        <v>951404.17528301384</v>
      </c>
      <c r="AB493" t="s">
        <v>242</v>
      </c>
      <c r="AC493">
        <v>1</v>
      </c>
      <c r="AD493">
        <v>488910</v>
      </c>
      <c r="AE493">
        <v>0</v>
      </c>
      <c r="AF493">
        <v>0</v>
      </c>
      <c r="AG493">
        <v>24430.485421882593</v>
      </c>
      <c r="AH493" t="s">
        <v>72</v>
      </c>
    </row>
    <row r="494" spans="1:34" x14ac:dyDescent="0.3">
      <c r="A494" t="s">
        <v>798</v>
      </c>
      <c r="B494">
        <v>2200009</v>
      </c>
      <c r="C494">
        <v>19887094</v>
      </c>
      <c r="D494" t="s">
        <v>77</v>
      </c>
      <c r="E494" t="s">
        <v>435</v>
      </c>
      <c r="F494" t="s">
        <v>426</v>
      </c>
      <c r="G494" t="s">
        <v>82</v>
      </c>
      <c r="H494" t="s">
        <v>82</v>
      </c>
      <c r="J494" t="s">
        <v>52</v>
      </c>
      <c r="K494" s="15">
        <v>900</v>
      </c>
      <c r="L494" s="15">
        <v>0</v>
      </c>
      <c r="M494" s="13">
        <v>45075</v>
      </c>
      <c r="O494">
        <v>0</v>
      </c>
      <c r="P494">
        <v>0</v>
      </c>
      <c r="Q494">
        <v>0</v>
      </c>
      <c r="R494">
        <v>0</v>
      </c>
      <c r="S494">
        <v>17901.616180538298</v>
      </c>
      <c r="T494">
        <v>0</v>
      </c>
      <c r="U494">
        <v>0</v>
      </c>
      <c r="V494">
        <v>107102.9400910782</v>
      </c>
      <c r="W494">
        <v>0</v>
      </c>
      <c r="X494">
        <v>0</v>
      </c>
      <c r="Y494">
        <v>125004.5562716165</v>
      </c>
      <c r="Z494">
        <v>0</v>
      </c>
      <c r="AA494">
        <v>125004.5562716165</v>
      </c>
      <c r="AB494" t="s">
        <v>242</v>
      </c>
      <c r="AC494">
        <v>10</v>
      </c>
      <c r="AD494">
        <v>9000</v>
      </c>
      <c r="AE494">
        <v>0</v>
      </c>
      <c r="AF494">
        <v>0</v>
      </c>
      <c r="AG494">
        <v>0</v>
      </c>
      <c r="AH494" t="s">
        <v>58</v>
      </c>
    </row>
    <row r="495" spans="1:34" x14ac:dyDescent="0.3">
      <c r="A495" t="s">
        <v>798</v>
      </c>
      <c r="B495">
        <v>2200015</v>
      </c>
      <c r="C495">
        <v>20972229</v>
      </c>
      <c r="D495" t="s">
        <v>76</v>
      </c>
      <c r="E495" t="s">
        <v>435</v>
      </c>
      <c r="F495" t="s">
        <v>426</v>
      </c>
      <c r="G495" t="s">
        <v>82</v>
      </c>
      <c r="H495" t="s">
        <v>82</v>
      </c>
      <c r="J495" t="s">
        <v>52</v>
      </c>
      <c r="K495" s="15">
        <v>1000</v>
      </c>
      <c r="L495" s="15">
        <v>0</v>
      </c>
      <c r="M495" s="13">
        <v>45075</v>
      </c>
      <c r="O495">
        <v>0</v>
      </c>
      <c r="P495">
        <v>0</v>
      </c>
      <c r="Q495">
        <v>0</v>
      </c>
      <c r="R495">
        <v>0</v>
      </c>
      <c r="S495">
        <v>9809.5975322232734</v>
      </c>
      <c r="T495">
        <v>0</v>
      </c>
      <c r="U495">
        <v>0</v>
      </c>
      <c r="V495">
        <v>122323.98354815517</v>
      </c>
      <c r="W495">
        <v>0</v>
      </c>
      <c r="X495">
        <v>0</v>
      </c>
      <c r="Y495">
        <v>132133.58108037844</v>
      </c>
      <c r="Z495">
        <v>0</v>
      </c>
      <c r="AA495">
        <v>132133.58108037844</v>
      </c>
      <c r="AB495" t="s">
        <v>242</v>
      </c>
      <c r="AC495">
        <v>10</v>
      </c>
      <c r="AD495">
        <v>10000</v>
      </c>
      <c r="AE495">
        <v>0</v>
      </c>
      <c r="AF495">
        <v>0</v>
      </c>
      <c r="AG495">
        <v>0</v>
      </c>
      <c r="AH495" t="s">
        <v>58</v>
      </c>
    </row>
    <row r="496" spans="1:34" x14ac:dyDescent="0.3">
      <c r="A496" t="s">
        <v>798</v>
      </c>
      <c r="B496">
        <v>52200061</v>
      </c>
      <c r="C496">
        <v>28231012</v>
      </c>
      <c r="D496" t="s">
        <v>835</v>
      </c>
      <c r="E496" t="s">
        <v>436</v>
      </c>
      <c r="F496" t="s">
        <v>431</v>
      </c>
      <c r="G496" t="s">
        <v>82</v>
      </c>
      <c r="H496" t="s">
        <v>83</v>
      </c>
      <c r="J496" t="s">
        <v>52</v>
      </c>
      <c r="K496" s="15">
        <v>1000</v>
      </c>
      <c r="L496" s="15">
        <v>0</v>
      </c>
      <c r="M496" s="13">
        <v>45075</v>
      </c>
      <c r="O496">
        <v>0</v>
      </c>
      <c r="P496">
        <v>0</v>
      </c>
      <c r="Q496">
        <v>0</v>
      </c>
      <c r="R496">
        <v>786.59515008627011</v>
      </c>
      <c r="S496">
        <v>9297.6135045922711</v>
      </c>
      <c r="T496">
        <v>0</v>
      </c>
      <c r="U496">
        <v>0</v>
      </c>
      <c r="V496">
        <v>57032.675233644863</v>
      </c>
      <c r="W496">
        <v>0</v>
      </c>
      <c r="X496">
        <v>0</v>
      </c>
      <c r="Y496">
        <v>67116.883888323398</v>
      </c>
      <c r="Z496">
        <v>4643.1202116765999</v>
      </c>
      <c r="AA496">
        <v>71760.004099999991</v>
      </c>
      <c r="AB496" t="s">
        <v>242</v>
      </c>
      <c r="AC496">
        <v>7</v>
      </c>
      <c r="AD496">
        <v>13000</v>
      </c>
      <c r="AE496">
        <v>0</v>
      </c>
      <c r="AF496">
        <v>0</v>
      </c>
      <c r="AG496">
        <v>840.43145841685896</v>
      </c>
      <c r="AH496" t="s">
        <v>58</v>
      </c>
    </row>
    <row r="497" spans="1:34" x14ac:dyDescent="0.3">
      <c r="A497" t="s">
        <v>798</v>
      </c>
      <c r="B497">
        <v>52201809</v>
      </c>
      <c r="C497">
        <v>28380987</v>
      </c>
      <c r="D497" t="s">
        <v>164</v>
      </c>
      <c r="E497" t="s">
        <v>438</v>
      </c>
      <c r="F497" t="s">
        <v>431</v>
      </c>
      <c r="G497" t="s">
        <v>82</v>
      </c>
      <c r="H497" t="s">
        <v>83</v>
      </c>
      <c r="J497" t="s">
        <v>52</v>
      </c>
      <c r="K497" s="15">
        <v>400</v>
      </c>
      <c r="L497" s="15">
        <v>0</v>
      </c>
      <c r="M497" s="13">
        <v>45075</v>
      </c>
      <c r="O497">
        <v>0</v>
      </c>
      <c r="P497">
        <v>0</v>
      </c>
      <c r="Q497">
        <v>0</v>
      </c>
      <c r="R497">
        <v>988.05931906680439</v>
      </c>
      <c r="S497">
        <v>32654.773624433103</v>
      </c>
      <c r="T497">
        <v>0</v>
      </c>
      <c r="U497">
        <v>0</v>
      </c>
      <c r="V497">
        <v>51867.600635850336</v>
      </c>
      <c r="W497">
        <v>0</v>
      </c>
      <c r="X497">
        <v>0</v>
      </c>
      <c r="Y497">
        <v>85510.43357935024</v>
      </c>
      <c r="Z497">
        <v>5916.5661982198417</v>
      </c>
      <c r="AA497">
        <v>91426.999777570076</v>
      </c>
      <c r="AB497" t="s">
        <v>242</v>
      </c>
      <c r="AC497">
        <v>7</v>
      </c>
      <c r="AD497">
        <v>4400</v>
      </c>
      <c r="AE497">
        <v>0</v>
      </c>
      <c r="AF497">
        <v>0</v>
      </c>
      <c r="AG497">
        <v>284.51789937820217</v>
      </c>
      <c r="AH497" t="s">
        <v>58</v>
      </c>
    </row>
    <row r="498" spans="1:34" x14ac:dyDescent="0.3">
      <c r="A498" t="s">
        <v>798</v>
      </c>
      <c r="B498">
        <v>62200005</v>
      </c>
      <c r="C498">
        <v>19887124</v>
      </c>
      <c r="D498" t="s">
        <v>77</v>
      </c>
      <c r="E498" t="s">
        <v>435</v>
      </c>
      <c r="F498" t="s">
        <v>432</v>
      </c>
      <c r="G498" t="s">
        <v>82</v>
      </c>
      <c r="H498" t="s">
        <v>82</v>
      </c>
      <c r="J498" t="s">
        <v>52</v>
      </c>
      <c r="K498" s="15">
        <v>1800</v>
      </c>
      <c r="L498" s="15">
        <v>0</v>
      </c>
      <c r="M498" s="13">
        <v>45075</v>
      </c>
      <c r="O498">
        <v>0</v>
      </c>
      <c r="P498">
        <v>0</v>
      </c>
      <c r="Q498">
        <v>0</v>
      </c>
      <c r="R498">
        <v>0</v>
      </c>
      <c r="S498">
        <v>8425.6010580922848</v>
      </c>
      <c r="T498">
        <v>0</v>
      </c>
      <c r="U498">
        <v>0</v>
      </c>
      <c r="V498">
        <v>59598.02512483739</v>
      </c>
      <c r="W498">
        <v>0</v>
      </c>
      <c r="X498">
        <v>0</v>
      </c>
      <c r="Y498">
        <v>68023.626182929671</v>
      </c>
      <c r="Z498">
        <v>0</v>
      </c>
      <c r="AA498">
        <v>68023.626182929671</v>
      </c>
      <c r="AB498" t="s">
        <v>242</v>
      </c>
      <c r="AC498">
        <v>10</v>
      </c>
      <c r="AD498">
        <v>18000</v>
      </c>
      <c r="AE498">
        <v>0</v>
      </c>
      <c r="AF498">
        <v>0</v>
      </c>
      <c r="AG498">
        <v>0</v>
      </c>
      <c r="AH498" t="s">
        <v>58</v>
      </c>
    </row>
    <row r="499" spans="1:34" x14ac:dyDescent="0.3">
      <c r="A499" t="s">
        <v>798</v>
      </c>
      <c r="B499">
        <v>62200006</v>
      </c>
      <c r="C499">
        <v>19887213</v>
      </c>
      <c r="D499" t="s">
        <v>77</v>
      </c>
      <c r="E499" t="s">
        <v>435</v>
      </c>
      <c r="F499" t="s">
        <v>432</v>
      </c>
      <c r="G499" t="s">
        <v>82</v>
      </c>
      <c r="H499" t="s">
        <v>82</v>
      </c>
      <c r="J499" t="s">
        <v>52</v>
      </c>
      <c r="K499" s="15">
        <v>1800</v>
      </c>
      <c r="L499" s="15">
        <v>0</v>
      </c>
      <c r="M499" s="13">
        <v>45075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28095.406380183904</v>
      </c>
      <c r="W499">
        <v>0</v>
      </c>
      <c r="X499">
        <v>0</v>
      </c>
      <c r="Y499">
        <v>28095.406380183904</v>
      </c>
      <c r="Z499">
        <v>0</v>
      </c>
      <c r="AA499">
        <v>28095.406380183904</v>
      </c>
      <c r="AB499" t="s">
        <v>242</v>
      </c>
      <c r="AC499">
        <v>10</v>
      </c>
      <c r="AD499">
        <v>18000</v>
      </c>
      <c r="AE499">
        <v>0</v>
      </c>
      <c r="AF499">
        <v>0</v>
      </c>
      <c r="AG499">
        <v>0</v>
      </c>
      <c r="AH499" t="s">
        <v>58</v>
      </c>
    </row>
    <row r="500" spans="1:34" x14ac:dyDescent="0.3">
      <c r="A500" t="s">
        <v>798</v>
      </c>
      <c r="B500">
        <v>62200013</v>
      </c>
      <c r="C500">
        <v>20972385</v>
      </c>
      <c r="D500" t="s">
        <v>76</v>
      </c>
      <c r="E500" t="s">
        <v>435</v>
      </c>
      <c r="F500" t="s">
        <v>432</v>
      </c>
      <c r="G500" t="s">
        <v>82</v>
      </c>
      <c r="H500" t="s">
        <v>82</v>
      </c>
      <c r="J500" t="s">
        <v>52</v>
      </c>
      <c r="K500" s="15">
        <v>4000</v>
      </c>
      <c r="L500" s="15">
        <v>0</v>
      </c>
      <c r="M500" s="13">
        <v>45075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47665.191359418066</v>
      </c>
      <c r="W500">
        <v>0</v>
      </c>
      <c r="X500">
        <v>0</v>
      </c>
      <c r="Y500">
        <v>47665.191359418066</v>
      </c>
      <c r="Z500">
        <v>0</v>
      </c>
      <c r="AA500">
        <v>47665.191359418066</v>
      </c>
      <c r="AB500" t="s">
        <v>242</v>
      </c>
      <c r="AC500">
        <v>10</v>
      </c>
      <c r="AD500">
        <v>40000</v>
      </c>
      <c r="AE500">
        <v>0</v>
      </c>
      <c r="AF500">
        <v>0</v>
      </c>
      <c r="AG500">
        <v>0</v>
      </c>
      <c r="AH500" t="s">
        <v>58</v>
      </c>
    </row>
    <row r="501" spans="1:34" x14ac:dyDescent="0.3">
      <c r="A501" t="s">
        <v>798</v>
      </c>
      <c r="B501">
        <v>4302300048</v>
      </c>
      <c r="C501">
        <v>901020006420</v>
      </c>
      <c r="D501" t="s">
        <v>228</v>
      </c>
      <c r="E501" t="s">
        <v>447</v>
      </c>
      <c r="F501" t="s">
        <v>433</v>
      </c>
      <c r="G501" t="s">
        <v>82</v>
      </c>
      <c r="H501" t="s">
        <v>83</v>
      </c>
      <c r="J501" t="s">
        <v>52</v>
      </c>
      <c r="K501" s="15">
        <v>30701</v>
      </c>
      <c r="L501" s="15">
        <v>0</v>
      </c>
      <c r="M501" s="13">
        <v>45075</v>
      </c>
      <c r="O501">
        <v>0</v>
      </c>
      <c r="P501">
        <v>0</v>
      </c>
      <c r="Q501">
        <v>29979.983722139201</v>
      </c>
      <c r="R501">
        <v>2772.12</v>
      </c>
      <c r="S501">
        <v>0</v>
      </c>
      <c r="T501">
        <v>0</v>
      </c>
      <c r="U501">
        <v>0</v>
      </c>
      <c r="V501">
        <v>436511.16745594464</v>
      </c>
      <c r="W501">
        <v>0</v>
      </c>
      <c r="X501">
        <v>0</v>
      </c>
      <c r="Y501">
        <v>469263.27117808384</v>
      </c>
      <c r="Z501">
        <v>30555.781721916126</v>
      </c>
      <c r="AA501">
        <v>499819.05289999995</v>
      </c>
      <c r="AB501" t="s">
        <v>242</v>
      </c>
      <c r="AC501">
        <v>2</v>
      </c>
      <c r="AD501">
        <v>61402</v>
      </c>
      <c r="AE501">
        <v>0</v>
      </c>
      <c r="AF501">
        <v>0</v>
      </c>
      <c r="AG501">
        <v>3734.9411780838709</v>
      </c>
      <c r="AH501" t="s">
        <v>58</v>
      </c>
    </row>
    <row r="502" spans="1:34" x14ac:dyDescent="0.3">
      <c r="A502" t="s">
        <v>798</v>
      </c>
      <c r="B502">
        <v>62200104</v>
      </c>
      <c r="C502" t="s">
        <v>245</v>
      </c>
      <c r="D502" t="s">
        <v>316</v>
      </c>
      <c r="E502" t="s">
        <v>435</v>
      </c>
      <c r="F502" t="s">
        <v>432</v>
      </c>
      <c r="G502" t="s">
        <v>82</v>
      </c>
      <c r="H502" t="s">
        <v>82</v>
      </c>
      <c r="J502" t="s">
        <v>52</v>
      </c>
      <c r="K502" s="15">
        <v>2000</v>
      </c>
      <c r="L502" s="15">
        <v>0</v>
      </c>
      <c r="M502" s="13">
        <v>45075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17594.886678808063</v>
      </c>
      <c r="W502">
        <v>0</v>
      </c>
      <c r="X502">
        <v>0</v>
      </c>
      <c r="Y502">
        <v>17594.886678808063</v>
      </c>
      <c r="Z502">
        <v>0</v>
      </c>
      <c r="AA502">
        <v>17594.886678808063</v>
      </c>
      <c r="AB502" t="s">
        <v>242</v>
      </c>
      <c r="AC502">
        <v>10</v>
      </c>
      <c r="AD502">
        <v>20000</v>
      </c>
      <c r="AE502">
        <v>0</v>
      </c>
      <c r="AF502">
        <v>0</v>
      </c>
      <c r="AG502">
        <v>0</v>
      </c>
      <c r="AH502" t="s">
        <v>58</v>
      </c>
    </row>
    <row r="503" spans="1:34" x14ac:dyDescent="0.3">
      <c r="A503" t="s">
        <v>798</v>
      </c>
      <c r="B503">
        <v>52200561</v>
      </c>
      <c r="C503" t="s">
        <v>459</v>
      </c>
      <c r="D503" t="s">
        <v>528</v>
      </c>
      <c r="E503" t="s">
        <v>437</v>
      </c>
      <c r="F503" t="s">
        <v>431</v>
      </c>
      <c r="G503" t="s">
        <v>417</v>
      </c>
      <c r="H503" t="s">
        <v>83</v>
      </c>
      <c r="J503" t="s">
        <v>450</v>
      </c>
      <c r="K503" s="15">
        <v>2000</v>
      </c>
      <c r="L503" s="15">
        <v>0</v>
      </c>
      <c r="M503" s="13">
        <v>45075</v>
      </c>
      <c r="O503">
        <v>0</v>
      </c>
      <c r="P503">
        <v>0</v>
      </c>
      <c r="Q503">
        <v>0</v>
      </c>
      <c r="R503">
        <v>0</v>
      </c>
      <c r="S503">
        <v>2174.6216711951711</v>
      </c>
      <c r="T503">
        <v>0</v>
      </c>
      <c r="U503">
        <v>0</v>
      </c>
      <c r="V503">
        <v>3726.2194503001556</v>
      </c>
      <c r="W503">
        <v>0</v>
      </c>
      <c r="X503">
        <v>0</v>
      </c>
      <c r="Y503">
        <v>5900.8411214953267</v>
      </c>
      <c r="Z503">
        <v>413.05887850467292</v>
      </c>
      <c r="AA503">
        <v>6313.9</v>
      </c>
      <c r="AB503" t="s">
        <v>242</v>
      </c>
      <c r="AC503">
        <v>0</v>
      </c>
      <c r="AD503">
        <v>0</v>
      </c>
      <c r="AE503">
        <v>0</v>
      </c>
      <c r="AF503">
        <v>2000</v>
      </c>
      <c r="AG503">
        <v>130.84112149532712</v>
      </c>
      <c r="AH503" t="s">
        <v>72</v>
      </c>
    </row>
    <row r="504" spans="1:34" x14ac:dyDescent="0.3">
      <c r="A504" t="s">
        <v>798</v>
      </c>
      <c r="B504">
        <v>12200198</v>
      </c>
      <c r="C504">
        <v>21155200</v>
      </c>
      <c r="D504" t="s">
        <v>815</v>
      </c>
      <c r="E504" t="s">
        <v>438</v>
      </c>
      <c r="F504" t="s">
        <v>427</v>
      </c>
      <c r="G504" t="s">
        <v>82</v>
      </c>
      <c r="H504" t="s">
        <v>82</v>
      </c>
      <c r="J504" t="s">
        <v>52</v>
      </c>
      <c r="K504" s="15">
        <v>3000</v>
      </c>
      <c r="L504" s="15">
        <v>0</v>
      </c>
      <c r="M504" s="13">
        <v>45076</v>
      </c>
      <c r="O504">
        <v>0</v>
      </c>
      <c r="P504">
        <v>0</v>
      </c>
      <c r="Q504">
        <v>0</v>
      </c>
      <c r="R504">
        <v>0</v>
      </c>
      <c r="S504">
        <v>24252.267691327819</v>
      </c>
      <c r="T504">
        <v>0</v>
      </c>
      <c r="U504">
        <v>0</v>
      </c>
      <c r="V504">
        <v>142102.18304325169</v>
      </c>
      <c r="W504">
        <v>0</v>
      </c>
      <c r="X504">
        <v>0</v>
      </c>
      <c r="Y504">
        <v>166354.4507345795</v>
      </c>
      <c r="Z504">
        <v>0</v>
      </c>
      <c r="AA504">
        <v>166354.4507345795</v>
      </c>
      <c r="AB504" t="s">
        <v>242</v>
      </c>
      <c r="AC504">
        <v>6</v>
      </c>
      <c r="AD504">
        <v>15000</v>
      </c>
      <c r="AE504">
        <v>0</v>
      </c>
      <c r="AF504">
        <v>0</v>
      </c>
      <c r="AG504">
        <v>0</v>
      </c>
      <c r="AH504" t="s">
        <v>58</v>
      </c>
    </row>
    <row r="505" spans="1:34" x14ac:dyDescent="0.3">
      <c r="A505" t="s">
        <v>798</v>
      </c>
      <c r="B505">
        <v>52200112</v>
      </c>
      <c r="C505">
        <v>25062909</v>
      </c>
      <c r="D505" t="s">
        <v>132</v>
      </c>
      <c r="E505" t="s">
        <v>436</v>
      </c>
      <c r="F505" t="s">
        <v>431</v>
      </c>
      <c r="G505" t="s">
        <v>82</v>
      </c>
      <c r="H505" t="s">
        <v>83</v>
      </c>
      <c r="J505" t="s">
        <v>52</v>
      </c>
      <c r="K505" s="15">
        <v>400</v>
      </c>
      <c r="L505" s="15">
        <v>0</v>
      </c>
      <c r="M505" s="13">
        <v>45076</v>
      </c>
      <c r="O505">
        <v>0</v>
      </c>
      <c r="P505">
        <v>0</v>
      </c>
      <c r="Q505">
        <v>0</v>
      </c>
      <c r="R505">
        <v>787.22746740113962</v>
      </c>
      <c r="S505">
        <v>17047.261358093096</v>
      </c>
      <c r="T505">
        <v>0</v>
      </c>
      <c r="U505">
        <v>0</v>
      </c>
      <c r="V505">
        <v>48171.217589309104</v>
      </c>
      <c r="W505">
        <v>0</v>
      </c>
      <c r="X505">
        <v>0</v>
      </c>
      <c r="Y505">
        <v>66005.706414803339</v>
      </c>
      <c r="Z505">
        <v>4565.2935263181544</v>
      </c>
      <c r="AA505">
        <v>70570.999941121496</v>
      </c>
      <c r="AB505" t="s">
        <v>242</v>
      </c>
      <c r="AC505">
        <v>1</v>
      </c>
      <c r="AD505">
        <v>400</v>
      </c>
      <c r="AE505">
        <v>0</v>
      </c>
      <c r="AF505">
        <v>0</v>
      </c>
      <c r="AG505">
        <v>25.8560025402615</v>
      </c>
      <c r="AH505" t="s">
        <v>72</v>
      </c>
    </row>
    <row r="506" spans="1:34" x14ac:dyDescent="0.3">
      <c r="A506" t="s">
        <v>798</v>
      </c>
      <c r="B506">
        <v>52200714</v>
      </c>
      <c r="C506">
        <v>30196144</v>
      </c>
      <c r="D506" t="s">
        <v>860</v>
      </c>
      <c r="E506" t="s">
        <v>438</v>
      </c>
      <c r="F506" t="s">
        <v>431</v>
      </c>
      <c r="G506" t="s">
        <v>82</v>
      </c>
      <c r="H506" t="s">
        <v>83</v>
      </c>
      <c r="J506" t="s">
        <v>52</v>
      </c>
      <c r="K506" s="15">
        <v>1500</v>
      </c>
      <c r="L506" s="15">
        <v>0</v>
      </c>
      <c r="M506" s="13">
        <v>45076</v>
      </c>
      <c r="O506">
        <v>0</v>
      </c>
      <c r="P506">
        <v>0</v>
      </c>
      <c r="Q506">
        <v>0</v>
      </c>
      <c r="R506">
        <v>982.62375411655898</v>
      </c>
      <c r="S506">
        <v>25309.697426059294</v>
      </c>
      <c r="T506">
        <v>0</v>
      </c>
      <c r="U506">
        <v>0</v>
      </c>
      <c r="V506">
        <v>52336.448598130839</v>
      </c>
      <c r="W506">
        <v>0</v>
      </c>
      <c r="X506">
        <v>0</v>
      </c>
      <c r="Y506">
        <v>78628.769778306683</v>
      </c>
      <c r="Z506">
        <v>5435.2302216933103</v>
      </c>
      <c r="AA506">
        <v>84064</v>
      </c>
      <c r="AB506" t="s">
        <v>242</v>
      </c>
      <c r="AC506">
        <v>3</v>
      </c>
      <c r="AD506">
        <v>4500</v>
      </c>
      <c r="AE506">
        <v>0</v>
      </c>
      <c r="AF506">
        <v>0</v>
      </c>
      <c r="AG506">
        <v>290.70435774594318</v>
      </c>
      <c r="AH506" t="s">
        <v>58</v>
      </c>
    </row>
    <row r="507" spans="1:34" x14ac:dyDescent="0.3">
      <c r="A507" t="s">
        <v>798</v>
      </c>
      <c r="B507">
        <v>52200759</v>
      </c>
      <c r="C507">
        <v>28121445</v>
      </c>
      <c r="D507" t="s">
        <v>861</v>
      </c>
      <c r="E507" t="s">
        <v>438</v>
      </c>
      <c r="F507" t="s">
        <v>431</v>
      </c>
      <c r="G507" t="s">
        <v>82</v>
      </c>
      <c r="H507" t="s">
        <v>83</v>
      </c>
      <c r="J507" t="s">
        <v>52</v>
      </c>
      <c r="K507" s="15">
        <v>1000</v>
      </c>
      <c r="L507" s="15">
        <v>0</v>
      </c>
      <c r="M507" s="13">
        <v>45076</v>
      </c>
      <c r="O507">
        <v>0</v>
      </c>
      <c r="P507">
        <v>0</v>
      </c>
      <c r="Q507">
        <v>0</v>
      </c>
      <c r="R507">
        <v>833.43986414210804</v>
      </c>
      <c r="S507">
        <v>10159.08530478781</v>
      </c>
      <c r="T507">
        <v>0</v>
      </c>
      <c r="U507">
        <v>0</v>
      </c>
      <c r="V507">
        <v>39834.895745406931</v>
      </c>
      <c r="W507">
        <v>0</v>
      </c>
      <c r="X507">
        <v>0</v>
      </c>
      <c r="Y507">
        <v>50827.42091433685</v>
      </c>
      <c r="Z507">
        <v>3499.5786735136326</v>
      </c>
      <c r="AA507">
        <v>54326.999587850485</v>
      </c>
      <c r="AB507" t="s">
        <v>242</v>
      </c>
      <c r="AC507">
        <v>3</v>
      </c>
      <c r="AD507">
        <v>3500</v>
      </c>
      <c r="AE507">
        <v>0</v>
      </c>
      <c r="AF507">
        <v>0</v>
      </c>
      <c r="AG507">
        <v>225.20634625228752</v>
      </c>
      <c r="AH507" t="s">
        <v>58</v>
      </c>
    </row>
    <row r="508" spans="1:34" x14ac:dyDescent="0.3">
      <c r="A508" t="s">
        <v>798</v>
      </c>
      <c r="B508">
        <v>52201012</v>
      </c>
      <c r="C508">
        <v>26843079</v>
      </c>
      <c r="D508" t="s">
        <v>869</v>
      </c>
      <c r="E508" t="s">
        <v>438</v>
      </c>
      <c r="F508" t="s">
        <v>431</v>
      </c>
      <c r="G508" t="s">
        <v>82</v>
      </c>
      <c r="H508" t="s">
        <v>83</v>
      </c>
      <c r="J508" t="s">
        <v>52</v>
      </c>
      <c r="K508" s="15">
        <v>2296</v>
      </c>
      <c r="L508" s="15">
        <v>0</v>
      </c>
      <c r="M508" s="13">
        <v>45076</v>
      </c>
      <c r="O508">
        <v>0</v>
      </c>
      <c r="P508">
        <v>0</v>
      </c>
      <c r="Q508">
        <v>0</v>
      </c>
      <c r="R508">
        <v>1005.6839682887626</v>
      </c>
      <c r="S508">
        <v>18341.653031518315</v>
      </c>
      <c r="T508">
        <v>0</v>
      </c>
      <c r="U508">
        <v>0</v>
      </c>
      <c r="V508">
        <v>50108.174747700017</v>
      </c>
      <c r="W508">
        <v>0</v>
      </c>
      <c r="X508">
        <v>0</v>
      </c>
      <c r="Y508">
        <v>69455.511747507087</v>
      </c>
      <c r="Z508">
        <v>4791.4879445452843</v>
      </c>
      <c r="AA508">
        <v>74246.99969205237</v>
      </c>
      <c r="AB508" t="s">
        <v>242</v>
      </c>
      <c r="AC508">
        <v>1</v>
      </c>
      <c r="AD508">
        <v>2296</v>
      </c>
      <c r="AE508">
        <v>0</v>
      </c>
      <c r="AF508">
        <v>0</v>
      </c>
      <c r="AG508">
        <v>148.02605400019957</v>
      </c>
      <c r="AH508" t="s">
        <v>72</v>
      </c>
    </row>
    <row r="509" spans="1:34" x14ac:dyDescent="0.3">
      <c r="A509" t="s">
        <v>798</v>
      </c>
      <c r="B509">
        <v>52201061</v>
      </c>
      <c r="C509">
        <v>28773198</v>
      </c>
      <c r="D509" t="s">
        <v>871</v>
      </c>
      <c r="E509" t="s">
        <v>438</v>
      </c>
      <c r="F509" t="s">
        <v>431</v>
      </c>
      <c r="G509" t="s">
        <v>82</v>
      </c>
      <c r="H509" t="s">
        <v>83</v>
      </c>
      <c r="J509" t="s">
        <v>52</v>
      </c>
      <c r="K509" s="15">
        <v>1500</v>
      </c>
      <c r="L509" s="15">
        <v>0</v>
      </c>
      <c r="M509" s="13">
        <v>45076</v>
      </c>
      <c r="O509">
        <v>0</v>
      </c>
      <c r="P509">
        <v>0</v>
      </c>
      <c r="Q509">
        <v>0</v>
      </c>
      <c r="R509">
        <v>873.0795943633882</v>
      </c>
      <c r="S509">
        <v>29542.894445635884</v>
      </c>
      <c r="T509">
        <v>0</v>
      </c>
      <c r="U509">
        <v>0</v>
      </c>
      <c r="V509">
        <v>42760.769466523408</v>
      </c>
      <c r="W509">
        <v>0</v>
      </c>
      <c r="X509">
        <v>0</v>
      </c>
      <c r="Y509">
        <v>73176.743506522675</v>
      </c>
      <c r="Z509">
        <v>5061.256473851151</v>
      </c>
      <c r="AA509">
        <v>78237.999980373832</v>
      </c>
      <c r="AB509" t="s">
        <v>242</v>
      </c>
      <c r="AC509">
        <v>1</v>
      </c>
      <c r="AD509">
        <v>1500</v>
      </c>
      <c r="AE509">
        <v>0</v>
      </c>
      <c r="AF509">
        <v>0</v>
      </c>
      <c r="AG509">
        <v>96.958478135922633</v>
      </c>
      <c r="AH509" t="s">
        <v>72</v>
      </c>
    </row>
    <row r="510" spans="1:34" x14ac:dyDescent="0.3">
      <c r="A510" t="s">
        <v>798</v>
      </c>
      <c r="B510">
        <v>52201478</v>
      </c>
      <c r="C510">
        <v>27554409</v>
      </c>
      <c r="D510" t="s">
        <v>158</v>
      </c>
      <c r="E510" t="s">
        <v>438</v>
      </c>
      <c r="F510" t="s">
        <v>431</v>
      </c>
      <c r="G510" t="s">
        <v>82</v>
      </c>
      <c r="H510" t="s">
        <v>83</v>
      </c>
      <c r="J510" t="s">
        <v>52</v>
      </c>
      <c r="K510" s="15">
        <v>500</v>
      </c>
      <c r="L510" s="15">
        <v>0</v>
      </c>
      <c r="M510" s="13">
        <v>45076</v>
      </c>
      <c r="O510">
        <v>0</v>
      </c>
      <c r="P510">
        <v>0</v>
      </c>
      <c r="Q510">
        <v>0</v>
      </c>
      <c r="R510">
        <v>880.17347668177877</v>
      </c>
      <c r="S510">
        <v>5086.6567184137775</v>
      </c>
      <c r="T510">
        <v>0</v>
      </c>
      <c r="U510">
        <v>0</v>
      </c>
      <c r="V510">
        <v>34714.115647688501</v>
      </c>
      <c r="W510">
        <v>0</v>
      </c>
      <c r="X510">
        <v>0</v>
      </c>
      <c r="Y510">
        <v>40680.945842784058</v>
      </c>
      <c r="Z510">
        <v>2786.0540656271596</v>
      </c>
      <c r="AA510">
        <v>43466.999908411221</v>
      </c>
      <c r="AB510" t="s">
        <v>242</v>
      </c>
      <c r="AC510">
        <v>1</v>
      </c>
      <c r="AD510">
        <v>500</v>
      </c>
      <c r="AE510">
        <v>0</v>
      </c>
      <c r="AF510">
        <v>0</v>
      </c>
      <c r="AG510">
        <v>32.002003147406072</v>
      </c>
      <c r="AH510" t="s">
        <v>72</v>
      </c>
    </row>
    <row r="511" spans="1:34" x14ac:dyDescent="0.3">
      <c r="A511" t="s">
        <v>798</v>
      </c>
      <c r="B511">
        <v>12200119</v>
      </c>
      <c r="C511" t="s">
        <v>367</v>
      </c>
      <c r="D511" t="s">
        <v>406</v>
      </c>
      <c r="E511" t="s">
        <v>437</v>
      </c>
      <c r="F511" t="s">
        <v>427</v>
      </c>
      <c r="G511" t="s">
        <v>235</v>
      </c>
      <c r="H511" t="s">
        <v>235</v>
      </c>
      <c r="J511" t="s">
        <v>52</v>
      </c>
      <c r="K511" s="15">
        <v>5000</v>
      </c>
      <c r="L511" s="15">
        <v>0</v>
      </c>
      <c r="M511" s="13">
        <v>45076</v>
      </c>
      <c r="O511">
        <v>0</v>
      </c>
      <c r="P511">
        <v>0</v>
      </c>
      <c r="Q511">
        <v>0</v>
      </c>
      <c r="R511">
        <v>0</v>
      </c>
      <c r="S511">
        <v>69117.035616438356</v>
      </c>
      <c r="T511">
        <v>0</v>
      </c>
      <c r="U511">
        <v>0</v>
      </c>
      <c r="V511">
        <v>106304.36</v>
      </c>
      <c r="W511">
        <v>0</v>
      </c>
      <c r="X511">
        <v>0</v>
      </c>
      <c r="Y511">
        <v>175421.39561643836</v>
      </c>
      <c r="Z511">
        <v>0</v>
      </c>
      <c r="AA511">
        <v>175421.39561643836</v>
      </c>
      <c r="AB511" t="s">
        <v>242</v>
      </c>
      <c r="AC511">
        <v>1</v>
      </c>
      <c r="AD511">
        <v>5000</v>
      </c>
      <c r="AE511">
        <v>0</v>
      </c>
      <c r="AF511">
        <v>0</v>
      </c>
      <c r="AG511">
        <v>0</v>
      </c>
      <c r="AH511" t="s">
        <v>72</v>
      </c>
    </row>
    <row r="512" spans="1:34" x14ac:dyDescent="0.3">
      <c r="A512" t="s">
        <v>798</v>
      </c>
      <c r="B512">
        <v>42200038</v>
      </c>
      <c r="C512" t="s">
        <v>452</v>
      </c>
      <c r="D512" t="s">
        <v>521</v>
      </c>
      <c r="E512" t="s">
        <v>437</v>
      </c>
      <c r="F512" t="s">
        <v>430</v>
      </c>
      <c r="G512" t="s">
        <v>230</v>
      </c>
      <c r="H512" t="s">
        <v>231</v>
      </c>
      <c r="J512" t="s">
        <v>52</v>
      </c>
      <c r="K512" s="15">
        <v>2000</v>
      </c>
      <c r="L512" s="15">
        <v>0</v>
      </c>
      <c r="M512" s="13">
        <v>45076</v>
      </c>
      <c r="O512">
        <v>0</v>
      </c>
      <c r="P512">
        <v>0</v>
      </c>
      <c r="Q512">
        <v>0</v>
      </c>
      <c r="R512">
        <v>0</v>
      </c>
      <c r="S512">
        <v>22486.424581061056</v>
      </c>
      <c r="T512">
        <v>16510.476706984293</v>
      </c>
      <c r="U512">
        <v>22429.906542056076</v>
      </c>
      <c r="V512">
        <v>0</v>
      </c>
      <c r="W512">
        <v>310280.37383177568</v>
      </c>
      <c r="X512">
        <v>0</v>
      </c>
      <c r="Y512">
        <v>371707.18166187708</v>
      </c>
      <c r="Z512">
        <v>24445.452995657128</v>
      </c>
      <c r="AA512">
        <v>396152.63465753419</v>
      </c>
      <c r="AB512" t="s">
        <v>242</v>
      </c>
      <c r="AC512">
        <v>4</v>
      </c>
      <c r="AD512">
        <v>11000</v>
      </c>
      <c r="AE512">
        <v>0</v>
      </c>
      <c r="AF512">
        <v>0</v>
      </c>
      <c r="AG512">
        <v>676.04233144567888</v>
      </c>
      <c r="AH512" t="s">
        <v>58</v>
      </c>
    </row>
    <row r="513" spans="1:34" x14ac:dyDescent="0.3">
      <c r="A513" t="s">
        <v>798</v>
      </c>
      <c r="B513">
        <v>12200042</v>
      </c>
      <c r="C513" t="s">
        <v>625</v>
      </c>
      <c r="D513" t="s">
        <v>624</v>
      </c>
      <c r="E513" t="s">
        <v>435</v>
      </c>
      <c r="F513" t="s">
        <v>427</v>
      </c>
      <c r="G513" t="s">
        <v>230</v>
      </c>
      <c r="H513" t="s">
        <v>230</v>
      </c>
      <c r="J513" t="s">
        <v>52</v>
      </c>
      <c r="K513" s="15">
        <v>2000</v>
      </c>
      <c r="M513" s="13">
        <v>45076</v>
      </c>
      <c r="O513">
        <v>0</v>
      </c>
      <c r="P513">
        <v>0</v>
      </c>
      <c r="Q513">
        <v>0</v>
      </c>
      <c r="R513">
        <v>0</v>
      </c>
      <c r="S513">
        <v>31173.699999999997</v>
      </c>
      <c r="T513">
        <v>0</v>
      </c>
      <c r="U513">
        <v>0</v>
      </c>
      <c r="V513">
        <v>80000</v>
      </c>
      <c r="W513">
        <v>0</v>
      </c>
      <c r="X513">
        <v>0</v>
      </c>
      <c r="Y513">
        <v>111173.7</v>
      </c>
      <c r="Z513">
        <v>0</v>
      </c>
      <c r="AA513">
        <v>111173.7</v>
      </c>
      <c r="AB513" t="s">
        <v>242</v>
      </c>
      <c r="AC513">
        <v>5</v>
      </c>
      <c r="AD513">
        <v>9600</v>
      </c>
      <c r="AE513">
        <v>0</v>
      </c>
      <c r="AF513">
        <v>0</v>
      </c>
      <c r="AG513">
        <v>0</v>
      </c>
      <c r="AH513" t="s">
        <v>58</v>
      </c>
    </row>
    <row r="514" spans="1:34" x14ac:dyDescent="0.3">
      <c r="A514" t="s">
        <v>798</v>
      </c>
      <c r="B514">
        <v>52200007</v>
      </c>
      <c r="C514" t="s">
        <v>627</v>
      </c>
      <c r="D514" t="s">
        <v>626</v>
      </c>
      <c r="E514" t="s">
        <v>435</v>
      </c>
      <c r="F514" t="s">
        <v>431</v>
      </c>
      <c r="G514" t="s">
        <v>230</v>
      </c>
      <c r="H514" t="s">
        <v>231</v>
      </c>
      <c r="J514" t="s">
        <v>672</v>
      </c>
      <c r="M514" s="13">
        <v>45076</v>
      </c>
      <c r="O514">
        <v>6200</v>
      </c>
      <c r="P514">
        <v>0</v>
      </c>
      <c r="Q514">
        <v>0</v>
      </c>
      <c r="R514">
        <v>0</v>
      </c>
      <c r="S514">
        <v>0</v>
      </c>
      <c r="T514">
        <v>17775.700934579439</v>
      </c>
      <c r="U514">
        <v>0</v>
      </c>
      <c r="V514">
        <v>0</v>
      </c>
      <c r="W514">
        <v>48912.570093457944</v>
      </c>
      <c r="X514">
        <v>0</v>
      </c>
      <c r="Y514">
        <v>72888.271028037387</v>
      </c>
      <c r="Z514">
        <v>4668.1789719626177</v>
      </c>
      <c r="AA514">
        <v>77556.450000000012</v>
      </c>
      <c r="AB514" t="s">
        <v>242</v>
      </c>
      <c r="AC514">
        <v>1</v>
      </c>
      <c r="AD514">
        <v>500</v>
      </c>
      <c r="AE514">
        <v>0</v>
      </c>
      <c r="AF514">
        <v>0</v>
      </c>
      <c r="AG514">
        <v>32.437239421140532</v>
      </c>
      <c r="AH514" t="s">
        <v>58</v>
      </c>
    </row>
    <row r="515" spans="1:34" x14ac:dyDescent="0.3">
      <c r="A515" t="s">
        <v>798</v>
      </c>
      <c r="B515">
        <v>12200001</v>
      </c>
      <c r="C515">
        <v>11371109</v>
      </c>
      <c r="D515" t="s">
        <v>111</v>
      </c>
      <c r="E515" t="s">
        <v>435</v>
      </c>
      <c r="F515" t="s">
        <v>427</v>
      </c>
      <c r="G515" t="s">
        <v>82</v>
      </c>
      <c r="H515" t="s">
        <v>82</v>
      </c>
      <c r="J515" t="s">
        <v>52</v>
      </c>
      <c r="K515" s="15">
        <v>2000</v>
      </c>
      <c r="L515" s="15">
        <v>0</v>
      </c>
      <c r="M515" s="13">
        <v>45077</v>
      </c>
      <c r="O515">
        <v>0</v>
      </c>
      <c r="P515">
        <v>0</v>
      </c>
      <c r="Q515">
        <v>0</v>
      </c>
      <c r="R515">
        <v>0</v>
      </c>
      <c r="S515">
        <v>35274.413513237239</v>
      </c>
      <c r="T515">
        <v>0</v>
      </c>
      <c r="U515">
        <v>0</v>
      </c>
      <c r="V515">
        <v>107144.0766813306</v>
      </c>
      <c r="W515">
        <v>0</v>
      </c>
      <c r="X515">
        <v>0</v>
      </c>
      <c r="Y515">
        <v>142418.49019456783</v>
      </c>
      <c r="Z515">
        <v>0</v>
      </c>
      <c r="AA515">
        <v>142418.49019456783</v>
      </c>
      <c r="AB515" t="s">
        <v>242</v>
      </c>
      <c r="AC515">
        <v>5</v>
      </c>
      <c r="AD515">
        <v>8000</v>
      </c>
      <c r="AE515">
        <v>0</v>
      </c>
      <c r="AF515">
        <v>0</v>
      </c>
      <c r="AG515">
        <v>0</v>
      </c>
      <c r="AH515" t="s">
        <v>58</v>
      </c>
    </row>
    <row r="516" spans="1:34" x14ac:dyDescent="0.3">
      <c r="A516" t="s">
        <v>798</v>
      </c>
      <c r="B516">
        <v>12200071</v>
      </c>
      <c r="C516">
        <v>25700539</v>
      </c>
      <c r="D516" t="s">
        <v>809</v>
      </c>
      <c r="E516" t="s">
        <v>436</v>
      </c>
      <c r="F516" t="s">
        <v>427</v>
      </c>
      <c r="G516" t="s">
        <v>82</v>
      </c>
      <c r="H516" t="s">
        <v>82</v>
      </c>
      <c r="J516" t="s">
        <v>52</v>
      </c>
      <c r="K516" s="15">
        <v>200</v>
      </c>
      <c r="L516" s="15">
        <v>0</v>
      </c>
      <c r="M516" s="13">
        <v>45077</v>
      </c>
      <c r="O516">
        <v>0</v>
      </c>
      <c r="P516">
        <v>0</v>
      </c>
      <c r="Q516">
        <v>0</v>
      </c>
      <c r="R516">
        <v>0</v>
      </c>
      <c r="S516">
        <v>15677.865803435059</v>
      </c>
      <c r="T516">
        <v>0</v>
      </c>
      <c r="U516">
        <v>0</v>
      </c>
      <c r="V516">
        <v>88785.817371424288</v>
      </c>
      <c r="W516">
        <v>0</v>
      </c>
      <c r="X516">
        <v>0</v>
      </c>
      <c r="Y516">
        <v>104463.68317485935</v>
      </c>
      <c r="Z516">
        <v>0</v>
      </c>
      <c r="AA516">
        <v>104463.68317485935</v>
      </c>
      <c r="AB516" t="s">
        <v>242</v>
      </c>
      <c r="AC516">
        <v>4</v>
      </c>
      <c r="AD516">
        <v>1500</v>
      </c>
      <c r="AE516">
        <v>0</v>
      </c>
      <c r="AF516">
        <v>0</v>
      </c>
      <c r="AG516">
        <v>0</v>
      </c>
      <c r="AH516" t="s">
        <v>58</v>
      </c>
    </row>
    <row r="517" spans="1:34" x14ac:dyDescent="0.3">
      <c r="A517" t="s">
        <v>798</v>
      </c>
      <c r="B517">
        <v>12200122</v>
      </c>
      <c r="C517">
        <v>5900440096</v>
      </c>
      <c r="D517" t="s">
        <v>113</v>
      </c>
      <c r="E517" t="s">
        <v>437</v>
      </c>
      <c r="F517" t="s">
        <v>427</v>
      </c>
      <c r="G517" t="s">
        <v>82</v>
      </c>
      <c r="H517" t="s">
        <v>82</v>
      </c>
      <c r="J517" t="s">
        <v>52</v>
      </c>
      <c r="K517" s="15">
        <v>500</v>
      </c>
      <c r="L517" s="15">
        <v>0</v>
      </c>
      <c r="M517" s="13">
        <v>45077</v>
      </c>
      <c r="O517">
        <v>0</v>
      </c>
      <c r="P517">
        <v>0</v>
      </c>
      <c r="Q517">
        <v>0</v>
      </c>
      <c r="R517">
        <v>0</v>
      </c>
      <c r="S517">
        <v>3447.4300000000021</v>
      </c>
      <c r="T517">
        <v>0</v>
      </c>
      <c r="U517">
        <v>0</v>
      </c>
      <c r="V517">
        <v>14052.06</v>
      </c>
      <c r="W517">
        <v>0</v>
      </c>
      <c r="X517">
        <v>0</v>
      </c>
      <c r="Y517">
        <v>17499.490000000002</v>
      </c>
      <c r="Z517">
        <v>0</v>
      </c>
      <c r="AA517">
        <v>17499.490000000002</v>
      </c>
      <c r="AB517" t="s">
        <v>242</v>
      </c>
      <c r="AC517">
        <v>4</v>
      </c>
      <c r="AD517">
        <v>3776</v>
      </c>
      <c r="AE517">
        <v>0</v>
      </c>
      <c r="AF517">
        <v>0</v>
      </c>
      <c r="AG517">
        <v>0</v>
      </c>
      <c r="AH517" t="s">
        <v>58</v>
      </c>
    </row>
    <row r="518" spans="1:34" x14ac:dyDescent="0.3">
      <c r="A518" t="s">
        <v>798</v>
      </c>
      <c r="B518">
        <v>12200168</v>
      </c>
      <c r="C518">
        <v>22304640</v>
      </c>
      <c r="D518" t="s">
        <v>116</v>
      </c>
      <c r="E518" t="s">
        <v>438</v>
      </c>
      <c r="F518" t="s">
        <v>427</v>
      </c>
      <c r="G518" t="s">
        <v>82</v>
      </c>
      <c r="H518" t="s">
        <v>82</v>
      </c>
      <c r="J518" t="s">
        <v>52</v>
      </c>
      <c r="K518" s="15">
        <v>10000</v>
      </c>
      <c r="L518" s="15">
        <v>0</v>
      </c>
      <c r="M518" s="13">
        <v>45077</v>
      </c>
      <c r="O518">
        <v>0</v>
      </c>
      <c r="P518">
        <v>0</v>
      </c>
      <c r="Q518">
        <v>0</v>
      </c>
      <c r="R518">
        <v>0</v>
      </c>
      <c r="S518">
        <v>50001.057465295118</v>
      </c>
      <c r="T518">
        <v>0</v>
      </c>
      <c r="U518">
        <v>0</v>
      </c>
      <c r="V518">
        <v>265200.49260584638</v>
      </c>
      <c r="W518">
        <v>0</v>
      </c>
      <c r="X518">
        <v>0</v>
      </c>
      <c r="Y518">
        <v>315201.55007114151</v>
      </c>
      <c r="Z518">
        <v>0</v>
      </c>
      <c r="AA518">
        <v>315201.55007114151</v>
      </c>
      <c r="AB518" t="s">
        <v>242</v>
      </c>
      <c r="AC518">
        <v>2</v>
      </c>
      <c r="AD518">
        <v>30000</v>
      </c>
      <c r="AE518">
        <v>0</v>
      </c>
      <c r="AF518">
        <v>0</v>
      </c>
      <c r="AG518">
        <v>0</v>
      </c>
      <c r="AH518" t="s">
        <v>58</v>
      </c>
    </row>
    <row r="519" spans="1:34" x14ac:dyDescent="0.3">
      <c r="A519" t="s">
        <v>798</v>
      </c>
      <c r="B519">
        <v>22200010</v>
      </c>
      <c r="C519">
        <v>18928437</v>
      </c>
      <c r="D519" t="s">
        <v>85</v>
      </c>
      <c r="E519" t="s">
        <v>435</v>
      </c>
      <c r="F519" t="s">
        <v>428</v>
      </c>
      <c r="G519" t="s">
        <v>82</v>
      </c>
      <c r="H519" t="s">
        <v>82</v>
      </c>
      <c r="J519" t="s">
        <v>52</v>
      </c>
      <c r="K519" s="15">
        <v>1000</v>
      </c>
      <c r="L519" s="15">
        <v>0</v>
      </c>
      <c r="M519" s="13">
        <v>45077</v>
      </c>
      <c r="O519">
        <v>0</v>
      </c>
      <c r="P519">
        <v>0</v>
      </c>
      <c r="Q519">
        <v>0</v>
      </c>
      <c r="R519">
        <v>0</v>
      </c>
      <c r="S519">
        <v>2431.76186550685</v>
      </c>
      <c r="T519">
        <v>0</v>
      </c>
      <c r="U519">
        <v>0</v>
      </c>
      <c r="V519">
        <v>18637.990000000002</v>
      </c>
      <c r="W519">
        <v>0</v>
      </c>
      <c r="X519">
        <v>0</v>
      </c>
      <c r="Y519">
        <v>21069.751865506852</v>
      </c>
      <c r="Z519">
        <v>0</v>
      </c>
      <c r="AA519">
        <v>21069.751865506852</v>
      </c>
      <c r="AB519" t="s">
        <v>242</v>
      </c>
      <c r="AC519">
        <v>9</v>
      </c>
      <c r="AD519">
        <v>7000</v>
      </c>
      <c r="AE519">
        <v>0</v>
      </c>
      <c r="AF519">
        <v>0</v>
      </c>
      <c r="AG519">
        <v>0</v>
      </c>
      <c r="AH519" t="s">
        <v>58</v>
      </c>
    </row>
    <row r="520" spans="1:34" x14ac:dyDescent="0.3">
      <c r="A520" t="s">
        <v>798</v>
      </c>
      <c r="B520">
        <v>22200068</v>
      </c>
      <c r="C520">
        <v>20579132</v>
      </c>
      <c r="D520" t="s">
        <v>80</v>
      </c>
      <c r="E520" t="s">
        <v>435</v>
      </c>
      <c r="F520" t="s">
        <v>428</v>
      </c>
      <c r="G520" t="s">
        <v>82</v>
      </c>
      <c r="H520" t="s">
        <v>82</v>
      </c>
      <c r="J520" t="s">
        <v>52</v>
      </c>
      <c r="K520" s="15">
        <v>500</v>
      </c>
      <c r="L520" s="15">
        <v>0</v>
      </c>
      <c r="M520" s="13">
        <v>45077</v>
      </c>
      <c r="O520">
        <v>0</v>
      </c>
      <c r="P520">
        <v>0</v>
      </c>
      <c r="Q520">
        <v>0</v>
      </c>
      <c r="R520">
        <v>0</v>
      </c>
      <c r="S520">
        <v>3557.3615921232877</v>
      </c>
      <c r="T520">
        <v>0</v>
      </c>
      <c r="U520">
        <v>0</v>
      </c>
      <c r="V520">
        <v>21133.91</v>
      </c>
      <c r="W520">
        <v>0</v>
      </c>
      <c r="X520">
        <v>0</v>
      </c>
      <c r="Y520">
        <v>24691.271592123288</v>
      </c>
      <c r="Z520">
        <v>0</v>
      </c>
      <c r="AA520">
        <v>24691.271592123288</v>
      </c>
      <c r="AB520" t="s">
        <v>242</v>
      </c>
      <c r="AC520">
        <v>7</v>
      </c>
      <c r="AD520">
        <v>5000</v>
      </c>
      <c r="AE520">
        <v>0</v>
      </c>
      <c r="AF520">
        <v>0</v>
      </c>
      <c r="AG520">
        <v>0</v>
      </c>
      <c r="AH520" t="s">
        <v>58</v>
      </c>
    </row>
    <row r="521" spans="1:34" x14ac:dyDescent="0.3">
      <c r="A521" t="s">
        <v>798</v>
      </c>
      <c r="B521">
        <v>42201151</v>
      </c>
      <c r="C521">
        <v>2759024152</v>
      </c>
      <c r="D521" t="s">
        <v>830</v>
      </c>
      <c r="E521" t="s">
        <v>439</v>
      </c>
      <c r="F521" t="s">
        <v>430</v>
      </c>
      <c r="G521" t="s">
        <v>230</v>
      </c>
      <c r="H521" t="s">
        <v>234</v>
      </c>
      <c r="J521" t="s">
        <v>52</v>
      </c>
      <c r="K521" s="15">
        <v>1500</v>
      </c>
      <c r="L521" s="15">
        <v>0</v>
      </c>
      <c r="M521" s="13">
        <v>45077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323025.72897196264</v>
      </c>
      <c r="Y521">
        <v>323025.72897196264</v>
      </c>
      <c r="Z521">
        <v>22611.801028037386</v>
      </c>
      <c r="AA521">
        <v>345637.53</v>
      </c>
      <c r="AB521" t="s">
        <v>242</v>
      </c>
      <c r="AC521">
        <v>2</v>
      </c>
      <c r="AD521">
        <v>4500</v>
      </c>
      <c r="AE521">
        <v>0</v>
      </c>
      <c r="AF521">
        <v>0</v>
      </c>
      <c r="AG521">
        <v>294.39252336448635</v>
      </c>
      <c r="AH521" t="s">
        <v>58</v>
      </c>
    </row>
    <row r="522" spans="1:34" x14ac:dyDescent="0.3">
      <c r="A522" t="s">
        <v>798</v>
      </c>
      <c r="B522">
        <v>42201379</v>
      </c>
      <c r="C522">
        <v>2753003129</v>
      </c>
      <c r="D522" t="s">
        <v>833</v>
      </c>
      <c r="E522" t="s">
        <v>439</v>
      </c>
      <c r="F522" t="s">
        <v>430</v>
      </c>
      <c r="G522" t="s">
        <v>230</v>
      </c>
      <c r="H522" t="s">
        <v>234</v>
      </c>
      <c r="J522" t="s">
        <v>52</v>
      </c>
      <c r="K522" s="15">
        <v>500</v>
      </c>
      <c r="L522" s="15">
        <v>0</v>
      </c>
      <c r="M522" s="13">
        <v>45077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75382.747663551403</v>
      </c>
      <c r="Y522">
        <v>75382.747663551403</v>
      </c>
      <c r="Z522">
        <v>5276.7923364485987</v>
      </c>
      <c r="AA522">
        <v>80659.540000000008</v>
      </c>
      <c r="AB522" t="s">
        <v>242</v>
      </c>
      <c r="AC522">
        <v>2</v>
      </c>
      <c r="AD522">
        <v>1000</v>
      </c>
      <c r="AE522">
        <v>0</v>
      </c>
      <c r="AF522">
        <v>0</v>
      </c>
      <c r="AG522">
        <v>65.420560747663558</v>
      </c>
      <c r="AH522" t="s">
        <v>58</v>
      </c>
    </row>
    <row r="523" spans="1:34" x14ac:dyDescent="0.3">
      <c r="A523" t="s">
        <v>798</v>
      </c>
      <c r="B523">
        <v>52200358</v>
      </c>
      <c r="C523">
        <v>26358634</v>
      </c>
      <c r="D523" t="s">
        <v>851</v>
      </c>
      <c r="E523" t="s">
        <v>436</v>
      </c>
      <c r="F523" t="s">
        <v>431</v>
      </c>
      <c r="G523" t="s">
        <v>82</v>
      </c>
      <c r="H523" t="s">
        <v>83</v>
      </c>
      <c r="J523" t="s">
        <v>52</v>
      </c>
      <c r="K523" s="15">
        <v>500</v>
      </c>
      <c r="L523" s="15">
        <v>0</v>
      </c>
      <c r="M523" s="13">
        <v>45077</v>
      </c>
      <c r="O523">
        <v>0</v>
      </c>
      <c r="P523">
        <v>0</v>
      </c>
      <c r="Q523">
        <v>0</v>
      </c>
      <c r="R523">
        <v>932.93419774700158</v>
      </c>
      <c r="S523">
        <v>22393.672483545033</v>
      </c>
      <c r="T523">
        <v>0</v>
      </c>
      <c r="U523">
        <v>0</v>
      </c>
      <c r="V523">
        <v>42723.211920691763</v>
      </c>
      <c r="W523">
        <v>0</v>
      </c>
      <c r="X523">
        <v>0</v>
      </c>
      <c r="Y523">
        <v>66049.818601983803</v>
      </c>
      <c r="Z523">
        <v>4558.1819082965767</v>
      </c>
      <c r="AA523">
        <v>70608.000510280384</v>
      </c>
      <c r="AB523" t="s">
        <v>242</v>
      </c>
      <c r="AC523">
        <v>1</v>
      </c>
      <c r="AD523">
        <v>500</v>
      </c>
      <c r="AE523">
        <v>0</v>
      </c>
      <c r="AF523">
        <v>0</v>
      </c>
      <c r="AG523">
        <v>32.248031628308524</v>
      </c>
      <c r="AH523" t="s">
        <v>72</v>
      </c>
    </row>
    <row r="524" spans="1:34" x14ac:dyDescent="0.3">
      <c r="A524" t="s">
        <v>798</v>
      </c>
      <c r="B524">
        <v>52200390</v>
      </c>
      <c r="C524">
        <v>28031153</v>
      </c>
      <c r="D524" t="s">
        <v>853</v>
      </c>
      <c r="E524" t="s">
        <v>436</v>
      </c>
      <c r="F524" t="s">
        <v>431</v>
      </c>
      <c r="G524" t="s">
        <v>82</v>
      </c>
      <c r="H524" t="s">
        <v>83</v>
      </c>
      <c r="J524" t="s">
        <v>52</v>
      </c>
      <c r="K524" s="15">
        <v>500</v>
      </c>
      <c r="L524" s="15">
        <v>0</v>
      </c>
      <c r="M524" s="13">
        <v>45077</v>
      </c>
      <c r="O524">
        <v>0</v>
      </c>
      <c r="P524">
        <v>0</v>
      </c>
      <c r="Q524">
        <v>0</v>
      </c>
      <c r="R524">
        <v>919.36041994711184</v>
      </c>
      <c r="S524">
        <v>36362.061474938062</v>
      </c>
      <c r="T524">
        <v>0</v>
      </c>
      <c r="U524">
        <v>0</v>
      </c>
      <c r="V524">
        <v>51886.19999825312</v>
      </c>
      <c r="W524">
        <v>0</v>
      </c>
      <c r="X524">
        <v>0</v>
      </c>
      <c r="Y524">
        <v>89167.62189313829</v>
      </c>
      <c r="Z524">
        <v>6177.3783031233825</v>
      </c>
      <c r="AA524">
        <v>95345.000196261666</v>
      </c>
      <c r="AB524" t="s">
        <v>242</v>
      </c>
      <c r="AC524">
        <v>4</v>
      </c>
      <c r="AD524">
        <v>2000</v>
      </c>
      <c r="AE524">
        <v>0</v>
      </c>
      <c r="AF524">
        <v>0</v>
      </c>
      <c r="AG524">
        <v>129.49086859467087</v>
      </c>
      <c r="AH524" t="s">
        <v>58</v>
      </c>
    </row>
    <row r="525" spans="1:34" x14ac:dyDescent="0.3">
      <c r="A525" t="s">
        <v>798</v>
      </c>
      <c r="B525">
        <v>52200412</v>
      </c>
      <c r="C525">
        <v>25145601</v>
      </c>
      <c r="D525" t="s">
        <v>86</v>
      </c>
      <c r="E525" t="s">
        <v>436</v>
      </c>
      <c r="F525" t="s">
        <v>431</v>
      </c>
      <c r="G525" t="s">
        <v>82</v>
      </c>
      <c r="H525" t="s">
        <v>83</v>
      </c>
      <c r="J525" t="s">
        <v>52</v>
      </c>
      <c r="K525" s="15">
        <v>1000</v>
      </c>
      <c r="L525" s="15">
        <v>0</v>
      </c>
      <c r="M525" s="13">
        <v>45077</v>
      </c>
      <c r="O525">
        <v>0</v>
      </c>
      <c r="P525">
        <v>0</v>
      </c>
      <c r="Q525">
        <v>0</v>
      </c>
      <c r="R525">
        <v>828.50338355328392</v>
      </c>
      <c r="S525">
        <v>27644.948540132751</v>
      </c>
      <c r="T525">
        <v>0</v>
      </c>
      <c r="U525">
        <v>0</v>
      </c>
      <c r="V525">
        <v>52616.263104201244</v>
      </c>
      <c r="W525">
        <v>0</v>
      </c>
      <c r="X525">
        <v>0</v>
      </c>
      <c r="Y525">
        <v>81089.715027887287</v>
      </c>
      <c r="Z525">
        <v>5618.2848151033795</v>
      </c>
      <c r="AA525">
        <v>86707.99984299067</v>
      </c>
      <c r="AB525" t="s">
        <v>242</v>
      </c>
      <c r="AC525">
        <v>7</v>
      </c>
      <c r="AD525">
        <v>6100</v>
      </c>
      <c r="AE525">
        <v>0</v>
      </c>
      <c r="AF525">
        <v>0</v>
      </c>
      <c r="AG525">
        <v>394.97685686797189</v>
      </c>
      <c r="AH525" t="s">
        <v>58</v>
      </c>
    </row>
    <row r="526" spans="1:34" x14ac:dyDescent="0.3">
      <c r="A526" t="s">
        <v>798</v>
      </c>
      <c r="B526">
        <v>52201277</v>
      </c>
      <c r="C526">
        <v>26285645</v>
      </c>
      <c r="D526" t="s">
        <v>153</v>
      </c>
      <c r="E526" t="s">
        <v>438</v>
      </c>
      <c r="F526" t="s">
        <v>431</v>
      </c>
      <c r="G526" t="s">
        <v>82</v>
      </c>
      <c r="H526" t="s">
        <v>83</v>
      </c>
      <c r="J526" t="s">
        <v>52</v>
      </c>
      <c r="K526" s="15">
        <v>1500</v>
      </c>
      <c r="L526" s="15">
        <v>0</v>
      </c>
      <c r="M526" s="13">
        <v>45077</v>
      </c>
      <c r="O526">
        <v>0</v>
      </c>
      <c r="P526">
        <v>0</v>
      </c>
      <c r="Q526">
        <v>0</v>
      </c>
      <c r="R526">
        <v>877.43229205345585</v>
      </c>
      <c r="S526">
        <v>39947.459945737319</v>
      </c>
      <c r="T526">
        <v>0</v>
      </c>
      <c r="U526">
        <v>0</v>
      </c>
      <c r="V526">
        <v>56278.303900452571</v>
      </c>
      <c r="W526">
        <v>0</v>
      </c>
      <c r="X526">
        <v>0</v>
      </c>
      <c r="Y526">
        <v>97103.196138243336</v>
      </c>
      <c r="Z526">
        <v>6735.8034692332931</v>
      </c>
      <c r="AA526">
        <v>103838.99960747662</v>
      </c>
      <c r="AB526" t="s">
        <v>242</v>
      </c>
      <c r="AC526">
        <v>1</v>
      </c>
      <c r="AD526">
        <v>1500</v>
      </c>
      <c r="AE526">
        <v>0</v>
      </c>
      <c r="AF526">
        <v>0</v>
      </c>
      <c r="AG526">
        <v>97.243234059571932</v>
      </c>
      <c r="AH526" t="s">
        <v>72</v>
      </c>
    </row>
    <row r="527" spans="1:34" x14ac:dyDescent="0.3">
      <c r="A527" t="s">
        <v>798</v>
      </c>
      <c r="B527">
        <v>52201479</v>
      </c>
      <c r="C527">
        <v>26373941</v>
      </c>
      <c r="D527" t="s">
        <v>159</v>
      </c>
      <c r="E527" t="s">
        <v>438</v>
      </c>
      <c r="F527" t="s">
        <v>431</v>
      </c>
      <c r="G527" t="s">
        <v>82</v>
      </c>
      <c r="H527" t="s">
        <v>83</v>
      </c>
      <c r="J527" t="s">
        <v>52</v>
      </c>
      <c r="K527" s="15">
        <v>2500</v>
      </c>
      <c r="L527" s="15">
        <v>0</v>
      </c>
      <c r="M527" s="13">
        <v>45077</v>
      </c>
      <c r="O527">
        <v>0</v>
      </c>
      <c r="P527">
        <v>0</v>
      </c>
      <c r="Q527">
        <v>0</v>
      </c>
      <c r="R527">
        <v>794.21332334706983</v>
      </c>
      <c r="S527">
        <v>12367.781648420629</v>
      </c>
      <c r="T527">
        <v>0</v>
      </c>
      <c r="U527">
        <v>0</v>
      </c>
      <c r="V527">
        <v>48696.505044756617</v>
      </c>
      <c r="W527">
        <v>0</v>
      </c>
      <c r="X527">
        <v>0</v>
      </c>
      <c r="Y527">
        <v>61858.500016524318</v>
      </c>
      <c r="Z527">
        <v>4274.5000685224077</v>
      </c>
      <c r="AA527">
        <v>66133.000085046719</v>
      </c>
      <c r="AB527" t="s">
        <v>242</v>
      </c>
      <c r="AC527">
        <v>3</v>
      </c>
      <c r="AD527">
        <v>7500</v>
      </c>
      <c r="AE527">
        <v>0</v>
      </c>
      <c r="AF527">
        <v>0</v>
      </c>
      <c r="AG527">
        <v>484.32236694793892</v>
      </c>
      <c r="AH527" t="s">
        <v>58</v>
      </c>
    </row>
    <row r="528" spans="1:34" x14ac:dyDescent="0.3">
      <c r="A528" t="s">
        <v>798</v>
      </c>
      <c r="B528">
        <v>52201746</v>
      </c>
      <c r="C528">
        <v>27419275</v>
      </c>
      <c r="D528" t="s">
        <v>885</v>
      </c>
      <c r="E528" t="s">
        <v>438</v>
      </c>
      <c r="F528" t="s">
        <v>431</v>
      </c>
      <c r="G528" t="s">
        <v>82</v>
      </c>
      <c r="H528" t="s">
        <v>83</v>
      </c>
      <c r="J528" t="s">
        <v>52</v>
      </c>
      <c r="K528" s="15">
        <v>1400</v>
      </c>
      <c r="L528" s="15">
        <v>0</v>
      </c>
      <c r="M528" s="13">
        <v>45077</v>
      </c>
      <c r="O528">
        <v>0</v>
      </c>
      <c r="P528">
        <v>0</v>
      </c>
      <c r="Q528">
        <v>0</v>
      </c>
      <c r="R528">
        <v>871.84509568070484</v>
      </c>
      <c r="S528">
        <v>63350.692033540887</v>
      </c>
      <c r="T528">
        <v>0</v>
      </c>
      <c r="U528">
        <v>0</v>
      </c>
      <c r="V528">
        <v>90697.116269910635</v>
      </c>
      <c r="W528">
        <v>0</v>
      </c>
      <c r="X528">
        <v>0</v>
      </c>
      <c r="Y528">
        <v>154919.65339913222</v>
      </c>
      <c r="Z528">
        <v>10783.346581241607</v>
      </c>
      <c r="AA528">
        <v>165702.99998037383</v>
      </c>
      <c r="AB528" t="s">
        <v>242</v>
      </c>
      <c r="AC528">
        <v>2</v>
      </c>
      <c r="AD528">
        <v>3400</v>
      </c>
      <c r="AE528">
        <v>0</v>
      </c>
      <c r="AF528">
        <v>0</v>
      </c>
      <c r="AG528">
        <v>221.17678196042016</v>
      </c>
      <c r="AH528" t="s">
        <v>58</v>
      </c>
    </row>
    <row r="529" spans="1:34" x14ac:dyDescent="0.3">
      <c r="A529" t="s">
        <v>798</v>
      </c>
      <c r="B529">
        <v>52201830</v>
      </c>
      <c r="C529">
        <v>25560817</v>
      </c>
      <c r="D529" t="s">
        <v>167</v>
      </c>
      <c r="E529" t="s">
        <v>438</v>
      </c>
      <c r="F529" t="s">
        <v>431</v>
      </c>
      <c r="G529" t="s">
        <v>82</v>
      </c>
      <c r="H529" t="s">
        <v>83</v>
      </c>
      <c r="J529" t="s">
        <v>52</v>
      </c>
      <c r="K529" s="15">
        <v>2000</v>
      </c>
      <c r="L529" s="15">
        <v>0</v>
      </c>
      <c r="M529" s="13">
        <v>45077</v>
      </c>
      <c r="O529">
        <v>0</v>
      </c>
      <c r="P529">
        <v>0</v>
      </c>
      <c r="Q529">
        <v>0</v>
      </c>
      <c r="R529">
        <v>935.44758629939474</v>
      </c>
      <c r="S529">
        <v>31572.243845749745</v>
      </c>
      <c r="T529">
        <v>0</v>
      </c>
      <c r="U529">
        <v>0</v>
      </c>
      <c r="V529">
        <v>53474.06748157987</v>
      </c>
      <c r="W529">
        <v>0</v>
      </c>
      <c r="X529">
        <v>0</v>
      </c>
      <c r="Y529">
        <v>85981.758913629004</v>
      </c>
      <c r="Z529">
        <v>5953.2417929130743</v>
      </c>
      <c r="AA529">
        <v>91935.00070654208</v>
      </c>
      <c r="AB529" t="s">
        <v>242</v>
      </c>
      <c r="AC529">
        <v>2</v>
      </c>
      <c r="AD529">
        <v>5000</v>
      </c>
      <c r="AE529">
        <v>0</v>
      </c>
      <c r="AF529">
        <v>0</v>
      </c>
      <c r="AG529">
        <v>323.53395424388555</v>
      </c>
      <c r="AH529" t="s">
        <v>58</v>
      </c>
    </row>
    <row r="530" spans="1:34" x14ac:dyDescent="0.3">
      <c r="A530" t="s">
        <v>798</v>
      </c>
      <c r="B530">
        <v>62200025</v>
      </c>
      <c r="C530">
        <v>9001302</v>
      </c>
      <c r="D530" t="s">
        <v>79</v>
      </c>
      <c r="E530" t="s">
        <v>435</v>
      </c>
      <c r="F530" t="s">
        <v>432</v>
      </c>
      <c r="G530" t="s">
        <v>82</v>
      </c>
      <c r="H530" t="s">
        <v>82</v>
      </c>
      <c r="J530" t="s">
        <v>52</v>
      </c>
      <c r="K530" s="15">
        <v>800</v>
      </c>
      <c r="L530" s="15">
        <v>0</v>
      </c>
      <c r="M530" s="13">
        <v>45077</v>
      </c>
      <c r="O530">
        <v>0</v>
      </c>
      <c r="P530">
        <v>0</v>
      </c>
      <c r="Q530">
        <v>0</v>
      </c>
      <c r="R530">
        <v>0</v>
      </c>
      <c r="S530">
        <v>4185.2332638356165</v>
      </c>
      <c r="T530">
        <v>0</v>
      </c>
      <c r="U530">
        <v>0</v>
      </c>
      <c r="V530">
        <v>16839.61</v>
      </c>
      <c r="W530">
        <v>0</v>
      </c>
      <c r="X530">
        <v>0</v>
      </c>
      <c r="Y530">
        <v>21024.843263835617</v>
      </c>
      <c r="Z530">
        <v>0</v>
      </c>
      <c r="AA530">
        <v>21024.843263835617</v>
      </c>
      <c r="AB530" t="s">
        <v>242</v>
      </c>
      <c r="AC530">
        <v>9</v>
      </c>
      <c r="AD530">
        <v>9170</v>
      </c>
      <c r="AE530">
        <v>0</v>
      </c>
      <c r="AF530">
        <v>0</v>
      </c>
      <c r="AG530">
        <v>0</v>
      </c>
      <c r="AH530" t="s">
        <v>58</v>
      </c>
    </row>
    <row r="531" spans="1:34" x14ac:dyDescent="0.3">
      <c r="A531" t="s">
        <v>798</v>
      </c>
      <c r="B531">
        <v>62200080</v>
      </c>
      <c r="C531">
        <v>22425262</v>
      </c>
      <c r="D531" t="s">
        <v>80</v>
      </c>
      <c r="E531" t="s">
        <v>435</v>
      </c>
      <c r="F531" t="s">
        <v>432</v>
      </c>
      <c r="G531" t="s">
        <v>82</v>
      </c>
      <c r="H531" t="s">
        <v>82</v>
      </c>
      <c r="J531" t="s">
        <v>52</v>
      </c>
      <c r="K531" s="15">
        <v>500</v>
      </c>
      <c r="L531" s="15">
        <v>0</v>
      </c>
      <c r="M531" s="13">
        <v>45077</v>
      </c>
      <c r="O531">
        <v>0</v>
      </c>
      <c r="P531">
        <v>0</v>
      </c>
      <c r="Q531">
        <v>0</v>
      </c>
      <c r="R531">
        <v>0</v>
      </c>
      <c r="S531">
        <v>11239.219178082192</v>
      </c>
      <c r="T531">
        <v>0</v>
      </c>
      <c r="U531">
        <v>0</v>
      </c>
      <c r="V531">
        <v>30000</v>
      </c>
      <c r="W531">
        <v>0</v>
      </c>
      <c r="X531">
        <v>0</v>
      </c>
      <c r="Y531">
        <v>41239.219178082189</v>
      </c>
      <c r="Z531">
        <v>0</v>
      </c>
      <c r="AA531">
        <v>41239.219178082189</v>
      </c>
      <c r="AB531" t="s">
        <v>242</v>
      </c>
      <c r="AC531">
        <v>5</v>
      </c>
      <c r="AD531">
        <v>2500</v>
      </c>
      <c r="AE531">
        <v>0</v>
      </c>
      <c r="AF531">
        <v>0</v>
      </c>
      <c r="AG531">
        <v>0</v>
      </c>
      <c r="AH531" t="s">
        <v>58</v>
      </c>
    </row>
    <row r="532" spans="1:34" x14ac:dyDescent="0.3">
      <c r="A532" t="s">
        <v>798</v>
      </c>
      <c r="B532">
        <v>62200115</v>
      </c>
      <c r="C532">
        <v>25275925</v>
      </c>
      <c r="D532" t="s">
        <v>88</v>
      </c>
      <c r="E532" t="s">
        <v>436</v>
      </c>
      <c r="F532" t="s">
        <v>432</v>
      </c>
      <c r="G532" t="s">
        <v>82</v>
      </c>
      <c r="H532" t="s">
        <v>82</v>
      </c>
      <c r="J532" t="s">
        <v>52</v>
      </c>
      <c r="K532" s="15">
        <v>500</v>
      </c>
      <c r="L532" s="15">
        <v>0</v>
      </c>
      <c r="M532" s="13">
        <v>45077</v>
      </c>
      <c r="O532">
        <v>0</v>
      </c>
      <c r="P532">
        <v>0</v>
      </c>
      <c r="Q532">
        <v>0</v>
      </c>
      <c r="R532">
        <v>0</v>
      </c>
      <c r="S532">
        <v>6804.74114699457</v>
      </c>
      <c r="T532">
        <v>0</v>
      </c>
      <c r="U532">
        <v>0</v>
      </c>
      <c r="V532">
        <v>29072.994912695332</v>
      </c>
      <c r="W532">
        <v>0</v>
      </c>
      <c r="X532">
        <v>0</v>
      </c>
      <c r="Y532">
        <v>35877.736059689902</v>
      </c>
      <c r="Z532">
        <v>0</v>
      </c>
      <c r="AA532">
        <v>35877.736059689902</v>
      </c>
      <c r="AB532" t="s">
        <v>242</v>
      </c>
      <c r="AC532">
        <v>4</v>
      </c>
      <c r="AD532">
        <v>2500</v>
      </c>
      <c r="AE532">
        <v>0</v>
      </c>
      <c r="AF532">
        <v>0</v>
      </c>
      <c r="AG532">
        <v>0</v>
      </c>
      <c r="AH532" t="s">
        <v>58</v>
      </c>
    </row>
    <row r="533" spans="1:34" x14ac:dyDescent="0.3">
      <c r="A533" t="s">
        <v>798</v>
      </c>
      <c r="B533">
        <v>4302300011</v>
      </c>
      <c r="C533">
        <v>901014013205</v>
      </c>
      <c r="D533" t="s">
        <v>223</v>
      </c>
      <c r="E533" t="s">
        <v>447</v>
      </c>
      <c r="F533" t="s">
        <v>433</v>
      </c>
      <c r="G533" t="s">
        <v>82</v>
      </c>
      <c r="H533" t="s">
        <v>83</v>
      </c>
      <c r="J533" t="s">
        <v>52</v>
      </c>
      <c r="K533" s="15">
        <v>10000</v>
      </c>
      <c r="L533" s="15">
        <v>0</v>
      </c>
      <c r="M533" s="13">
        <v>45077</v>
      </c>
      <c r="O533">
        <v>0</v>
      </c>
      <c r="P533">
        <v>0</v>
      </c>
      <c r="Q533">
        <v>95391.877090939699</v>
      </c>
      <c r="R533">
        <v>53777.27</v>
      </c>
      <c r="S533">
        <v>218832.35757856103</v>
      </c>
      <c r="T533">
        <v>0</v>
      </c>
      <c r="U533">
        <v>0</v>
      </c>
      <c r="V533">
        <v>1369513.93</v>
      </c>
      <c r="W533">
        <v>0</v>
      </c>
      <c r="X533">
        <v>0</v>
      </c>
      <c r="Y533">
        <v>1737515.4346695007</v>
      </c>
      <c r="Z533">
        <v>111184.24013049927</v>
      </c>
      <c r="AA533">
        <v>1848699.6747999999</v>
      </c>
      <c r="AB533" t="s">
        <v>242</v>
      </c>
      <c r="AC533">
        <v>2</v>
      </c>
      <c r="AD533">
        <v>35000</v>
      </c>
      <c r="AE533">
        <v>0</v>
      </c>
      <c r="AF533">
        <v>0</v>
      </c>
      <c r="AG533">
        <v>2092.9546695007284</v>
      </c>
      <c r="AH533" t="s">
        <v>58</v>
      </c>
    </row>
    <row r="534" spans="1:34" x14ac:dyDescent="0.3">
      <c r="A534" t="s">
        <v>798</v>
      </c>
      <c r="B534">
        <v>22200039</v>
      </c>
      <c r="C534" t="s">
        <v>340</v>
      </c>
      <c r="D534" t="s">
        <v>382</v>
      </c>
      <c r="E534" t="s">
        <v>435</v>
      </c>
      <c r="F534" t="s">
        <v>428</v>
      </c>
      <c r="G534" t="s">
        <v>82</v>
      </c>
      <c r="H534" t="s">
        <v>82</v>
      </c>
      <c r="J534" t="s">
        <v>52</v>
      </c>
      <c r="K534" s="15">
        <v>3000</v>
      </c>
      <c r="L534" s="15">
        <v>0</v>
      </c>
      <c r="M534" s="13">
        <v>45077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9984.3180800000009</v>
      </c>
      <c r="W534">
        <v>0</v>
      </c>
      <c r="X534">
        <v>0</v>
      </c>
      <c r="Y534">
        <v>9984.3180800000009</v>
      </c>
      <c r="Z534">
        <v>0</v>
      </c>
      <c r="AA534">
        <v>9984.3180800000009</v>
      </c>
      <c r="AB534" t="s">
        <v>242</v>
      </c>
      <c r="AC534">
        <v>7</v>
      </c>
      <c r="AD534">
        <v>13000</v>
      </c>
      <c r="AE534">
        <v>0</v>
      </c>
      <c r="AF534">
        <v>0</v>
      </c>
      <c r="AG534">
        <v>0</v>
      </c>
      <c r="AH534" t="s">
        <v>58</v>
      </c>
    </row>
    <row r="535" spans="1:34" x14ac:dyDescent="0.3">
      <c r="A535" t="s">
        <v>798</v>
      </c>
      <c r="B535">
        <v>32200047</v>
      </c>
      <c r="C535" t="s">
        <v>343</v>
      </c>
      <c r="D535" t="s">
        <v>383</v>
      </c>
      <c r="E535" t="s">
        <v>435</v>
      </c>
      <c r="F535" t="s">
        <v>429</v>
      </c>
      <c r="G535" t="s">
        <v>82</v>
      </c>
      <c r="H535" t="s">
        <v>82</v>
      </c>
      <c r="J535" t="s">
        <v>52</v>
      </c>
      <c r="K535" s="15">
        <v>2000</v>
      </c>
      <c r="L535" s="15">
        <v>0</v>
      </c>
      <c r="M535" s="13">
        <v>45077</v>
      </c>
      <c r="O535">
        <v>0</v>
      </c>
      <c r="P535">
        <v>0</v>
      </c>
      <c r="Q535">
        <v>0</v>
      </c>
      <c r="R535">
        <v>0</v>
      </c>
      <c r="S535">
        <v>926.30136986301363</v>
      </c>
      <c r="T535">
        <v>0</v>
      </c>
      <c r="U535">
        <v>0</v>
      </c>
      <c r="V535">
        <v>10000</v>
      </c>
      <c r="W535">
        <v>0</v>
      </c>
      <c r="X535">
        <v>0</v>
      </c>
      <c r="Y535">
        <v>10926.301369863013</v>
      </c>
      <c r="Z535">
        <v>0</v>
      </c>
      <c r="AA535">
        <v>10926.301369863013</v>
      </c>
      <c r="AB535" t="s">
        <v>242</v>
      </c>
      <c r="AC535">
        <v>1</v>
      </c>
      <c r="AD535">
        <v>2000</v>
      </c>
      <c r="AE535">
        <v>0</v>
      </c>
      <c r="AF535">
        <v>0</v>
      </c>
      <c r="AG535">
        <v>0</v>
      </c>
      <c r="AH535" t="s">
        <v>72</v>
      </c>
    </row>
    <row r="536" spans="1:34" x14ac:dyDescent="0.3">
      <c r="A536" t="s">
        <v>798</v>
      </c>
      <c r="B536">
        <v>52201188</v>
      </c>
      <c r="C536" t="s">
        <v>463</v>
      </c>
      <c r="D536" t="s">
        <v>531</v>
      </c>
      <c r="E536" t="s">
        <v>438</v>
      </c>
      <c r="F536" t="s">
        <v>431</v>
      </c>
      <c r="G536" t="s">
        <v>82</v>
      </c>
      <c r="H536" t="s">
        <v>83</v>
      </c>
      <c r="J536" t="s">
        <v>52</v>
      </c>
      <c r="K536" s="15">
        <v>1692</v>
      </c>
      <c r="L536" s="15">
        <v>0</v>
      </c>
      <c r="M536" s="13">
        <v>45077</v>
      </c>
      <c r="O536">
        <v>0</v>
      </c>
      <c r="P536">
        <v>0</v>
      </c>
      <c r="Q536">
        <v>0</v>
      </c>
      <c r="R536">
        <v>731.13866251963998</v>
      </c>
      <c r="S536">
        <v>29040.398773381672</v>
      </c>
      <c r="T536">
        <v>0</v>
      </c>
      <c r="U536">
        <v>0</v>
      </c>
      <c r="V536">
        <v>51829.564677665592</v>
      </c>
      <c r="W536">
        <v>0</v>
      </c>
      <c r="X536">
        <v>0</v>
      </c>
      <c r="Y536">
        <v>81601.1021135669</v>
      </c>
      <c r="Z536">
        <v>5660.8974415733092</v>
      </c>
      <c r="AA536">
        <v>87261.99955514021</v>
      </c>
      <c r="AB536" t="s">
        <v>242</v>
      </c>
      <c r="AC536">
        <v>3</v>
      </c>
      <c r="AD536">
        <v>6768</v>
      </c>
      <c r="AE536">
        <v>0</v>
      </c>
      <c r="AF536">
        <v>0</v>
      </c>
      <c r="AG536">
        <v>438.78477231436909</v>
      </c>
      <c r="AH536" t="s">
        <v>58</v>
      </c>
    </row>
    <row r="537" spans="1:34" x14ac:dyDescent="0.3">
      <c r="A537" t="s">
        <v>798</v>
      </c>
      <c r="B537">
        <v>4242300024</v>
      </c>
      <c r="C537" t="s">
        <v>516</v>
      </c>
      <c r="D537" t="s">
        <v>588</v>
      </c>
      <c r="E537" t="s">
        <v>444</v>
      </c>
      <c r="F537" t="s">
        <v>431</v>
      </c>
      <c r="G537" t="s">
        <v>230</v>
      </c>
      <c r="H537" t="s">
        <v>231</v>
      </c>
      <c r="J537" t="s">
        <v>52</v>
      </c>
      <c r="K537" s="15">
        <v>5000</v>
      </c>
      <c r="L537" s="15">
        <v>0</v>
      </c>
      <c r="M537" s="13">
        <v>45077</v>
      </c>
      <c r="O537">
        <v>0</v>
      </c>
      <c r="P537">
        <v>4705.0760289514519</v>
      </c>
      <c r="Q537">
        <v>0</v>
      </c>
      <c r="R537">
        <v>0</v>
      </c>
      <c r="S537">
        <v>0</v>
      </c>
      <c r="T537">
        <v>4192.4523093911675</v>
      </c>
      <c r="U537">
        <v>25709.517757009347</v>
      </c>
      <c r="V537">
        <v>0</v>
      </c>
      <c r="W537">
        <v>65420.560747663549</v>
      </c>
      <c r="X537">
        <v>0</v>
      </c>
      <c r="Y537">
        <v>100027.60684301551</v>
      </c>
      <c r="Z537">
        <v>6672.5771569844846</v>
      </c>
      <c r="AA537">
        <v>106700.18399999999</v>
      </c>
      <c r="AB537" t="s">
        <v>242</v>
      </c>
      <c r="AC537">
        <v>1</v>
      </c>
      <c r="AD537">
        <v>5000</v>
      </c>
      <c r="AE537">
        <v>0</v>
      </c>
      <c r="AF537">
        <v>0</v>
      </c>
      <c r="AG537">
        <v>311.66852525850663</v>
      </c>
      <c r="AH537" t="s">
        <v>72</v>
      </c>
    </row>
    <row r="538" spans="1:34" x14ac:dyDescent="0.3">
      <c r="A538" t="s">
        <v>798</v>
      </c>
      <c r="B538">
        <v>4302300009</v>
      </c>
      <c r="C538" t="s">
        <v>107</v>
      </c>
      <c r="D538" t="s">
        <v>223</v>
      </c>
      <c r="E538" t="s">
        <v>447</v>
      </c>
      <c r="F538" t="s">
        <v>433</v>
      </c>
      <c r="G538" t="s">
        <v>82</v>
      </c>
      <c r="H538" t="s">
        <v>83</v>
      </c>
      <c r="J538" t="s">
        <v>52</v>
      </c>
      <c r="K538" s="15">
        <v>10000</v>
      </c>
      <c r="L538" s="15">
        <v>0</v>
      </c>
      <c r="M538" s="13">
        <v>45077</v>
      </c>
      <c r="O538">
        <v>0</v>
      </c>
      <c r="P538">
        <v>0</v>
      </c>
      <c r="Q538">
        <v>64223.94453925603</v>
      </c>
      <c r="R538">
        <v>49137.270000000004</v>
      </c>
      <c r="S538">
        <v>164055.68295396632</v>
      </c>
      <c r="T538">
        <v>0</v>
      </c>
      <c r="U538">
        <v>0</v>
      </c>
      <c r="V538">
        <v>929644.61</v>
      </c>
      <c r="W538">
        <v>0</v>
      </c>
      <c r="X538">
        <v>0</v>
      </c>
      <c r="Y538">
        <v>1207061.5074932224</v>
      </c>
      <c r="Z538">
        <v>76559.020506777641</v>
      </c>
      <c r="AA538">
        <v>1283620.5279999999</v>
      </c>
      <c r="AB538" t="s">
        <v>242</v>
      </c>
      <c r="AC538">
        <v>2</v>
      </c>
      <c r="AD538">
        <v>35000</v>
      </c>
      <c r="AE538">
        <v>0</v>
      </c>
      <c r="AF538">
        <v>0</v>
      </c>
      <c r="AG538">
        <v>2074.3874932223571</v>
      </c>
      <c r="AH538" t="s">
        <v>58</v>
      </c>
    </row>
    <row r="539" spans="1:34" x14ac:dyDescent="0.3">
      <c r="A539" t="s">
        <v>798</v>
      </c>
      <c r="B539">
        <v>4302300010</v>
      </c>
      <c r="C539" t="s">
        <v>107</v>
      </c>
      <c r="D539" t="s">
        <v>223</v>
      </c>
      <c r="E539" t="s">
        <v>447</v>
      </c>
      <c r="F539" t="s">
        <v>433</v>
      </c>
      <c r="G539" t="s">
        <v>82</v>
      </c>
      <c r="H539" t="s">
        <v>83</v>
      </c>
      <c r="J539" t="s">
        <v>52</v>
      </c>
      <c r="K539" s="15">
        <v>10000</v>
      </c>
      <c r="L539" s="15">
        <v>0</v>
      </c>
      <c r="M539" s="13">
        <v>45077</v>
      </c>
      <c r="O539">
        <v>0</v>
      </c>
      <c r="P539">
        <v>0</v>
      </c>
      <c r="Q539">
        <v>74103.198902641889</v>
      </c>
      <c r="R539">
        <v>51860.51</v>
      </c>
      <c r="S539">
        <v>169365.23485734407</v>
      </c>
      <c r="T539">
        <v>0</v>
      </c>
      <c r="U539">
        <v>0</v>
      </c>
      <c r="V539">
        <v>1078083.51</v>
      </c>
      <c r="W539">
        <v>0</v>
      </c>
      <c r="X539">
        <v>0</v>
      </c>
      <c r="Y539">
        <v>1373412.453759986</v>
      </c>
      <c r="Z539">
        <v>87321.412140014087</v>
      </c>
      <c r="AA539">
        <v>1460733.8659000001</v>
      </c>
      <c r="AB539" t="s">
        <v>242</v>
      </c>
      <c r="AC539">
        <v>2</v>
      </c>
      <c r="AD539">
        <v>35000</v>
      </c>
      <c r="AE539">
        <v>0</v>
      </c>
      <c r="AF539">
        <v>0</v>
      </c>
      <c r="AG539">
        <v>2079.4637599859161</v>
      </c>
      <c r="AH539" t="s">
        <v>58</v>
      </c>
    </row>
    <row r="540" spans="1:34" x14ac:dyDescent="0.3">
      <c r="A540" t="s">
        <v>798</v>
      </c>
      <c r="B540">
        <v>12200041</v>
      </c>
      <c r="C540">
        <v>23113175</v>
      </c>
      <c r="D540" t="s">
        <v>78</v>
      </c>
      <c r="E540" t="s">
        <v>435</v>
      </c>
      <c r="F540" t="s">
        <v>427</v>
      </c>
      <c r="G540" t="s">
        <v>82</v>
      </c>
      <c r="H540" t="s">
        <v>82</v>
      </c>
      <c r="J540" t="s">
        <v>52</v>
      </c>
      <c r="K540" s="15">
        <v>5000</v>
      </c>
      <c r="L540" s="15">
        <v>0</v>
      </c>
      <c r="M540" s="13">
        <v>45078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177565.03142572055</v>
      </c>
      <c r="W540">
        <v>0</v>
      </c>
      <c r="X540">
        <v>0</v>
      </c>
      <c r="Y540">
        <v>177565.03142572055</v>
      </c>
      <c r="Z540">
        <v>0</v>
      </c>
      <c r="AA540">
        <v>177565.03142572055</v>
      </c>
      <c r="AB540" t="s">
        <v>242</v>
      </c>
      <c r="AC540">
        <v>13</v>
      </c>
      <c r="AD540">
        <v>45000</v>
      </c>
      <c r="AE540">
        <v>0</v>
      </c>
      <c r="AF540">
        <v>0</v>
      </c>
      <c r="AG540">
        <v>0</v>
      </c>
      <c r="AH540" t="s">
        <v>58</v>
      </c>
    </row>
    <row r="541" spans="1:34" x14ac:dyDescent="0.3">
      <c r="A541" t="s">
        <v>798</v>
      </c>
      <c r="B541">
        <v>42200528</v>
      </c>
      <c r="C541">
        <v>2759051559</v>
      </c>
      <c r="D541" t="s">
        <v>826</v>
      </c>
      <c r="E541" t="s">
        <v>439</v>
      </c>
      <c r="F541" t="s">
        <v>430</v>
      </c>
      <c r="G541" t="s">
        <v>232</v>
      </c>
      <c r="H541" t="s">
        <v>71</v>
      </c>
      <c r="J541" t="s">
        <v>52</v>
      </c>
      <c r="K541" s="15">
        <v>12000</v>
      </c>
      <c r="L541" s="15">
        <v>0</v>
      </c>
      <c r="M541" s="13">
        <v>45078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48230.542056074773</v>
      </c>
      <c r="Y541">
        <v>48230.542056074773</v>
      </c>
      <c r="Z541">
        <v>3376.1379439252346</v>
      </c>
      <c r="AA541">
        <v>51606.680000000008</v>
      </c>
      <c r="AB541" t="s">
        <v>242</v>
      </c>
      <c r="AC541">
        <v>3</v>
      </c>
      <c r="AD541">
        <v>29000</v>
      </c>
      <c r="AE541">
        <v>0</v>
      </c>
      <c r="AF541">
        <v>0</v>
      </c>
      <c r="AG541">
        <v>1897.1962616822448</v>
      </c>
      <c r="AH541" t="s">
        <v>58</v>
      </c>
    </row>
    <row r="542" spans="1:34" x14ac:dyDescent="0.3">
      <c r="A542" t="s">
        <v>798</v>
      </c>
      <c r="B542">
        <v>42201150</v>
      </c>
      <c r="C542">
        <v>2758020463</v>
      </c>
      <c r="D542" t="s">
        <v>129</v>
      </c>
      <c r="E542" t="s">
        <v>439</v>
      </c>
      <c r="F542" t="s">
        <v>430</v>
      </c>
      <c r="G542" t="s">
        <v>230</v>
      </c>
      <c r="H542" t="s">
        <v>234</v>
      </c>
      <c r="J542" t="s">
        <v>52</v>
      </c>
      <c r="K542" s="15">
        <v>10000</v>
      </c>
      <c r="L542" s="15">
        <v>0</v>
      </c>
      <c r="M542" s="13">
        <v>45078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378356.42056074768</v>
      </c>
      <c r="Y542">
        <v>378356.42056074768</v>
      </c>
      <c r="Z542">
        <v>26484.949439252341</v>
      </c>
      <c r="AA542">
        <v>404841.37</v>
      </c>
      <c r="AB542" t="s">
        <v>242</v>
      </c>
      <c r="AC542">
        <v>1</v>
      </c>
      <c r="AD542">
        <v>10000</v>
      </c>
      <c r="AE542">
        <v>0</v>
      </c>
      <c r="AF542">
        <v>0</v>
      </c>
      <c r="AG542">
        <v>654.20560747663512</v>
      </c>
      <c r="AH542" t="s">
        <v>72</v>
      </c>
    </row>
    <row r="543" spans="1:34" x14ac:dyDescent="0.3">
      <c r="A543" t="s">
        <v>798</v>
      </c>
      <c r="B543">
        <v>42201151</v>
      </c>
      <c r="C543">
        <v>2759024152</v>
      </c>
      <c r="D543" t="s">
        <v>830</v>
      </c>
      <c r="E543" t="s">
        <v>439</v>
      </c>
      <c r="F543" t="s">
        <v>430</v>
      </c>
      <c r="G543" t="s">
        <v>230</v>
      </c>
      <c r="H543" t="s">
        <v>234</v>
      </c>
      <c r="J543" t="s">
        <v>52</v>
      </c>
      <c r="K543" s="15">
        <v>1500</v>
      </c>
      <c r="L543" s="15">
        <v>0</v>
      </c>
      <c r="M543" s="13">
        <v>45078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321623.85981308413</v>
      </c>
      <c r="Y543">
        <v>321623.85981308413</v>
      </c>
      <c r="Z543">
        <v>22513.67018691589</v>
      </c>
      <c r="AA543">
        <v>344137.53</v>
      </c>
      <c r="AB543" t="s">
        <v>242</v>
      </c>
      <c r="AC543">
        <v>3</v>
      </c>
      <c r="AD543">
        <v>6000</v>
      </c>
      <c r="AE543">
        <v>0</v>
      </c>
      <c r="AF543">
        <v>0</v>
      </c>
      <c r="AG543">
        <v>392.5233644859818</v>
      </c>
      <c r="AH543" t="s">
        <v>58</v>
      </c>
    </row>
    <row r="544" spans="1:34" x14ac:dyDescent="0.3">
      <c r="A544" t="s">
        <v>798</v>
      </c>
      <c r="B544">
        <v>52200376</v>
      </c>
      <c r="C544">
        <v>27488411</v>
      </c>
      <c r="D544" t="s">
        <v>852</v>
      </c>
      <c r="E544" t="s">
        <v>436</v>
      </c>
      <c r="F544" t="s">
        <v>431</v>
      </c>
      <c r="G544" t="s">
        <v>82</v>
      </c>
      <c r="H544" t="s">
        <v>83</v>
      </c>
      <c r="J544" t="s">
        <v>52</v>
      </c>
      <c r="K544" s="15">
        <v>1685</v>
      </c>
      <c r="L544" s="15">
        <v>0</v>
      </c>
      <c r="M544" s="13">
        <v>45078</v>
      </c>
      <c r="O544">
        <v>0</v>
      </c>
      <c r="P544">
        <v>0</v>
      </c>
      <c r="Q544">
        <v>0</v>
      </c>
      <c r="R544">
        <v>943.92165481275117</v>
      </c>
      <c r="S544">
        <v>33175.32930592222</v>
      </c>
      <c r="T544">
        <v>0</v>
      </c>
      <c r="U544">
        <v>0</v>
      </c>
      <c r="V544">
        <v>55487.360852476195</v>
      </c>
      <c r="W544">
        <v>0</v>
      </c>
      <c r="X544">
        <v>0</v>
      </c>
      <c r="Y544">
        <v>89606.611813211173</v>
      </c>
      <c r="Z544">
        <v>6206.3883110878896</v>
      </c>
      <c r="AA544">
        <v>95813.000124299069</v>
      </c>
      <c r="AB544" t="s">
        <v>242</v>
      </c>
      <c r="AC544">
        <v>3</v>
      </c>
      <c r="AD544">
        <v>4365</v>
      </c>
      <c r="AE544">
        <v>0</v>
      </c>
      <c r="AF544">
        <v>0</v>
      </c>
      <c r="AG544">
        <v>282.54627648307724</v>
      </c>
      <c r="AH544" t="s">
        <v>58</v>
      </c>
    </row>
    <row r="545" spans="1:34" x14ac:dyDescent="0.3">
      <c r="A545" t="s">
        <v>798</v>
      </c>
      <c r="B545">
        <v>52200698</v>
      </c>
      <c r="C545">
        <v>29796909</v>
      </c>
      <c r="D545" t="s">
        <v>858</v>
      </c>
      <c r="E545" t="s">
        <v>438</v>
      </c>
      <c r="F545" t="s">
        <v>431</v>
      </c>
      <c r="G545" t="s">
        <v>82</v>
      </c>
      <c r="H545" t="s">
        <v>83</v>
      </c>
      <c r="J545" t="s">
        <v>52</v>
      </c>
      <c r="K545" s="15">
        <v>1600</v>
      </c>
      <c r="L545" s="15">
        <v>0</v>
      </c>
      <c r="M545" s="13">
        <v>45078</v>
      </c>
      <c r="O545">
        <v>0</v>
      </c>
      <c r="P545">
        <v>0</v>
      </c>
      <c r="Q545">
        <v>0</v>
      </c>
      <c r="R545">
        <v>918.26813597249077</v>
      </c>
      <c r="S545">
        <v>28024.101087876159</v>
      </c>
      <c r="T545">
        <v>0</v>
      </c>
      <c r="U545">
        <v>0</v>
      </c>
      <c r="V545">
        <v>52314.898317757012</v>
      </c>
      <c r="W545">
        <v>0</v>
      </c>
      <c r="X545">
        <v>0</v>
      </c>
      <c r="Y545">
        <v>81257.267541605659</v>
      </c>
      <c r="Z545">
        <v>5623.7299583943222</v>
      </c>
      <c r="AA545">
        <v>86880.997499999983</v>
      </c>
      <c r="AB545" t="s">
        <v>242</v>
      </c>
      <c r="AC545">
        <v>3</v>
      </c>
      <c r="AD545">
        <v>6326</v>
      </c>
      <c r="AE545">
        <v>0</v>
      </c>
      <c r="AF545">
        <v>0</v>
      </c>
      <c r="AG545">
        <v>409.15772852156488</v>
      </c>
      <c r="AH545" t="s">
        <v>58</v>
      </c>
    </row>
    <row r="546" spans="1:34" x14ac:dyDescent="0.3">
      <c r="A546" t="s">
        <v>798</v>
      </c>
      <c r="B546">
        <v>52200709</v>
      </c>
      <c r="C546">
        <v>25387582</v>
      </c>
      <c r="D546" t="s">
        <v>859</v>
      </c>
      <c r="E546" t="s">
        <v>438</v>
      </c>
      <c r="F546" t="s">
        <v>431</v>
      </c>
      <c r="G546" t="s">
        <v>82</v>
      </c>
      <c r="H546" t="s">
        <v>83</v>
      </c>
      <c r="J546" t="s">
        <v>52</v>
      </c>
      <c r="K546" s="15">
        <v>1600</v>
      </c>
      <c r="L546" s="15">
        <v>0</v>
      </c>
      <c r="M546" s="13">
        <v>45078</v>
      </c>
      <c r="O546">
        <v>0</v>
      </c>
      <c r="P546">
        <v>0</v>
      </c>
      <c r="Q546">
        <v>0</v>
      </c>
      <c r="R546">
        <v>857.61168609990477</v>
      </c>
      <c r="S546">
        <v>31415.831266621775</v>
      </c>
      <c r="T546">
        <v>0</v>
      </c>
      <c r="U546">
        <v>0</v>
      </c>
      <c r="V546">
        <v>50076.119419790222</v>
      </c>
      <c r="W546">
        <v>0</v>
      </c>
      <c r="X546">
        <v>0</v>
      </c>
      <c r="Y546">
        <v>82349.562372511908</v>
      </c>
      <c r="Z546">
        <v>5704.4365480488395</v>
      </c>
      <c r="AA546">
        <v>88053.998920560742</v>
      </c>
      <c r="AB546" t="s">
        <v>242</v>
      </c>
      <c r="AC546">
        <v>2</v>
      </c>
      <c r="AD546">
        <v>3200</v>
      </c>
      <c r="AE546">
        <v>0</v>
      </c>
      <c r="AF546">
        <v>0</v>
      </c>
      <c r="AG546">
        <v>207.16151217476022</v>
      </c>
      <c r="AH546" t="s">
        <v>58</v>
      </c>
    </row>
    <row r="547" spans="1:34" x14ac:dyDescent="0.3">
      <c r="A547" t="s">
        <v>798</v>
      </c>
      <c r="B547">
        <v>52200986</v>
      </c>
      <c r="C547">
        <v>16907372</v>
      </c>
      <c r="D547" t="s">
        <v>867</v>
      </c>
      <c r="E547" t="s">
        <v>438</v>
      </c>
      <c r="F547" t="s">
        <v>431</v>
      </c>
      <c r="G547" t="s">
        <v>82</v>
      </c>
      <c r="H547" t="s">
        <v>83</v>
      </c>
      <c r="J547" t="s">
        <v>52</v>
      </c>
      <c r="K547" s="15">
        <v>579</v>
      </c>
      <c r="L547" s="15">
        <v>0</v>
      </c>
      <c r="M547" s="13">
        <v>45078</v>
      </c>
      <c r="O547">
        <v>0</v>
      </c>
      <c r="P547">
        <v>0</v>
      </c>
      <c r="Q547">
        <v>0</v>
      </c>
      <c r="R547">
        <v>854.95687194226878</v>
      </c>
      <c r="S547">
        <v>14080.491777613202</v>
      </c>
      <c r="T547">
        <v>0</v>
      </c>
      <c r="U547">
        <v>0</v>
      </c>
      <c r="V547">
        <v>36346.652188691092</v>
      </c>
      <c r="W547">
        <v>0</v>
      </c>
      <c r="X547">
        <v>0</v>
      </c>
      <c r="Y547">
        <v>51282.100838246566</v>
      </c>
      <c r="Z547">
        <v>3529.9000776413013</v>
      </c>
      <c r="AA547">
        <v>54812.000915887867</v>
      </c>
      <c r="AB547" t="s">
        <v>242</v>
      </c>
      <c r="AC547">
        <v>3</v>
      </c>
      <c r="AD547">
        <v>2158</v>
      </c>
      <c r="AE547">
        <v>0</v>
      </c>
      <c r="AF547">
        <v>0</v>
      </c>
      <c r="AG547">
        <v>138.81960844482137</v>
      </c>
      <c r="AH547" t="s">
        <v>58</v>
      </c>
    </row>
    <row r="548" spans="1:34" x14ac:dyDescent="0.3">
      <c r="A548" t="s">
        <v>798</v>
      </c>
      <c r="B548">
        <v>52201323</v>
      </c>
      <c r="C548">
        <v>26835889</v>
      </c>
      <c r="D548" t="s">
        <v>877</v>
      </c>
      <c r="E548" t="s">
        <v>438</v>
      </c>
      <c r="F548" t="s">
        <v>431</v>
      </c>
      <c r="G548" t="s">
        <v>82</v>
      </c>
      <c r="H548" t="s">
        <v>83</v>
      </c>
      <c r="J548" t="s">
        <v>52</v>
      </c>
      <c r="K548" s="15">
        <v>1000</v>
      </c>
      <c r="L548" s="15">
        <v>0</v>
      </c>
      <c r="M548" s="13">
        <v>45078</v>
      </c>
      <c r="O548">
        <v>0</v>
      </c>
      <c r="P548">
        <v>0</v>
      </c>
      <c r="Q548">
        <v>0</v>
      </c>
      <c r="R548">
        <v>940.14779894466744</v>
      </c>
      <c r="S548">
        <v>17097.317005858917</v>
      </c>
      <c r="T548">
        <v>0</v>
      </c>
      <c r="U548">
        <v>0</v>
      </c>
      <c r="V548">
        <v>48109.079118336827</v>
      </c>
      <c r="W548">
        <v>0</v>
      </c>
      <c r="X548">
        <v>0</v>
      </c>
      <c r="Y548">
        <v>66146.543923140416</v>
      </c>
      <c r="Z548">
        <v>4564.4477286937026</v>
      </c>
      <c r="AA548">
        <v>70710.99165183412</v>
      </c>
      <c r="AB548" t="s">
        <v>242</v>
      </c>
      <c r="AC548">
        <v>4</v>
      </c>
      <c r="AD548">
        <v>3500</v>
      </c>
      <c r="AE548">
        <v>0</v>
      </c>
      <c r="AF548">
        <v>0</v>
      </c>
      <c r="AG548">
        <v>225.7106036692773</v>
      </c>
      <c r="AH548" t="s">
        <v>58</v>
      </c>
    </row>
    <row r="549" spans="1:34" x14ac:dyDescent="0.3">
      <c r="A549" t="s">
        <v>798</v>
      </c>
      <c r="B549">
        <v>12200035</v>
      </c>
      <c r="C549" t="s">
        <v>632</v>
      </c>
      <c r="D549" t="s">
        <v>631</v>
      </c>
      <c r="E549" t="s">
        <v>435</v>
      </c>
      <c r="F549" t="s">
        <v>427</v>
      </c>
      <c r="G549" t="s">
        <v>230</v>
      </c>
      <c r="H549" t="s">
        <v>230</v>
      </c>
      <c r="J549" t="s">
        <v>52</v>
      </c>
      <c r="K549" s="15">
        <v>1500</v>
      </c>
      <c r="M549" s="13">
        <v>45079</v>
      </c>
      <c r="O549">
        <v>1100</v>
      </c>
      <c r="P549">
        <v>0</v>
      </c>
      <c r="Q549">
        <v>0</v>
      </c>
      <c r="R549">
        <v>0</v>
      </c>
      <c r="S549">
        <v>70999.029999999984</v>
      </c>
      <c r="T549">
        <v>0</v>
      </c>
      <c r="U549">
        <v>0</v>
      </c>
      <c r="V549">
        <v>79907.710000000006</v>
      </c>
      <c r="W549">
        <v>0</v>
      </c>
      <c r="X549">
        <v>0</v>
      </c>
      <c r="Y549">
        <v>152006.74</v>
      </c>
      <c r="Z549">
        <v>0</v>
      </c>
      <c r="AA549">
        <v>152006.74</v>
      </c>
      <c r="AB549" t="s">
        <v>242</v>
      </c>
      <c r="AC549">
        <v>4</v>
      </c>
      <c r="AD549">
        <v>6000</v>
      </c>
      <c r="AE549">
        <v>0</v>
      </c>
      <c r="AF549">
        <v>0</v>
      </c>
      <c r="AG549">
        <v>0</v>
      </c>
      <c r="AH549" t="s">
        <v>58</v>
      </c>
    </row>
    <row r="550" spans="1:34" x14ac:dyDescent="0.3">
      <c r="A550" t="s">
        <v>798</v>
      </c>
      <c r="B550">
        <v>62200009</v>
      </c>
      <c r="C550" t="s">
        <v>614</v>
      </c>
      <c r="D550" t="s">
        <v>611</v>
      </c>
      <c r="E550" t="s">
        <v>435</v>
      </c>
      <c r="F550" t="s">
        <v>432</v>
      </c>
      <c r="G550" t="s">
        <v>235</v>
      </c>
      <c r="H550" t="s">
        <v>235</v>
      </c>
      <c r="J550" t="s">
        <v>672</v>
      </c>
      <c r="M550" s="13">
        <v>45079</v>
      </c>
      <c r="O550">
        <v>3000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47784.270000000004</v>
      </c>
      <c r="W550">
        <v>0</v>
      </c>
      <c r="X550">
        <v>0</v>
      </c>
      <c r="Y550">
        <v>50784.270000000004</v>
      </c>
      <c r="Z550">
        <v>0</v>
      </c>
      <c r="AA550">
        <v>50784.270000000004</v>
      </c>
      <c r="AB550" t="s">
        <v>242</v>
      </c>
      <c r="AC550">
        <v>0</v>
      </c>
      <c r="AD550">
        <v>0</v>
      </c>
      <c r="AE550">
        <v>0</v>
      </c>
      <c r="AF550">
        <v>0</v>
      </c>
      <c r="AG550">
        <v>0</v>
      </c>
      <c r="AH550" t="s">
        <v>72</v>
      </c>
    </row>
    <row r="551" spans="1:34" x14ac:dyDescent="0.3">
      <c r="A551" t="s">
        <v>798</v>
      </c>
      <c r="B551">
        <v>52200151</v>
      </c>
      <c r="C551" t="s">
        <v>605</v>
      </c>
      <c r="D551" t="s">
        <v>604</v>
      </c>
      <c r="E551" t="s">
        <v>436</v>
      </c>
      <c r="F551" t="s">
        <v>431</v>
      </c>
      <c r="G551" t="s">
        <v>82</v>
      </c>
      <c r="H551" t="s">
        <v>83</v>
      </c>
      <c r="J551" t="s">
        <v>52</v>
      </c>
      <c r="K551" s="15">
        <v>3000</v>
      </c>
      <c r="M551" s="13">
        <v>45079</v>
      </c>
      <c r="O551">
        <v>0</v>
      </c>
      <c r="P551">
        <v>0</v>
      </c>
      <c r="Q551">
        <v>0</v>
      </c>
      <c r="R551">
        <v>657.21702873924028</v>
      </c>
      <c r="S551">
        <v>24035.589092714657</v>
      </c>
      <c r="T551">
        <v>0</v>
      </c>
      <c r="U551">
        <v>0</v>
      </c>
      <c r="V551">
        <v>85797.853792470967</v>
      </c>
      <c r="W551">
        <v>0</v>
      </c>
      <c r="X551">
        <v>0</v>
      </c>
      <c r="Y551">
        <v>110490.65991392487</v>
      </c>
      <c r="Z551">
        <v>7688.3410019629946</v>
      </c>
      <c r="AA551">
        <v>118179.00091588787</v>
      </c>
      <c r="AB551" t="s">
        <v>242</v>
      </c>
      <c r="AC551">
        <v>2</v>
      </c>
      <c r="AD551">
        <v>6000</v>
      </c>
      <c r="AE551">
        <v>0</v>
      </c>
      <c r="AF551">
        <v>0</v>
      </c>
      <c r="AG551">
        <v>390.18242244088515</v>
      </c>
      <c r="AH551" t="s">
        <v>58</v>
      </c>
    </row>
    <row r="552" spans="1:34" x14ac:dyDescent="0.3">
      <c r="A552" t="s">
        <v>798</v>
      </c>
      <c r="B552">
        <v>4302300002</v>
      </c>
      <c r="C552" t="s">
        <v>246</v>
      </c>
      <c r="D552" t="s">
        <v>589</v>
      </c>
      <c r="E552" t="s">
        <v>447</v>
      </c>
      <c r="F552" t="s">
        <v>433</v>
      </c>
      <c r="G552" t="s">
        <v>82</v>
      </c>
      <c r="H552" t="s">
        <v>83</v>
      </c>
      <c r="J552" t="s">
        <v>52</v>
      </c>
      <c r="K552" s="15">
        <v>50000</v>
      </c>
      <c r="L552" s="15">
        <v>0</v>
      </c>
      <c r="M552" s="13">
        <v>45081</v>
      </c>
      <c r="O552">
        <v>0</v>
      </c>
      <c r="P552">
        <v>0</v>
      </c>
      <c r="Q552">
        <v>11799.128040737813</v>
      </c>
      <c r="R552">
        <v>13211.5</v>
      </c>
      <c r="S552">
        <v>18895.289120805784</v>
      </c>
      <c r="T552">
        <v>0</v>
      </c>
      <c r="U552">
        <v>0</v>
      </c>
      <c r="V552">
        <v>410350.55</v>
      </c>
      <c r="W552">
        <v>0</v>
      </c>
      <c r="X552">
        <v>0</v>
      </c>
      <c r="Y552">
        <v>454256.46716154361</v>
      </c>
      <c r="Z552">
        <v>30047.208738456407</v>
      </c>
      <c r="AA552">
        <v>484303.67590000003</v>
      </c>
      <c r="AB552" t="s">
        <v>242</v>
      </c>
      <c r="AC552">
        <v>1</v>
      </c>
      <c r="AD552">
        <v>50000</v>
      </c>
      <c r="AE552">
        <v>0</v>
      </c>
      <c r="AF552">
        <v>0</v>
      </c>
      <c r="AG552">
        <v>3089.6971615435978</v>
      </c>
      <c r="AH552" t="s">
        <v>72</v>
      </c>
    </row>
    <row r="553" spans="1:34" x14ac:dyDescent="0.3">
      <c r="A553" t="s">
        <v>798</v>
      </c>
      <c r="B553">
        <v>42200060</v>
      </c>
      <c r="C553" t="s">
        <v>801</v>
      </c>
      <c r="D553" t="s">
        <v>821</v>
      </c>
      <c r="E553" t="s">
        <v>437</v>
      </c>
      <c r="F553" t="s">
        <v>430</v>
      </c>
      <c r="G553" t="s">
        <v>230</v>
      </c>
      <c r="H553" t="s">
        <v>231</v>
      </c>
      <c r="J553" t="s">
        <v>52</v>
      </c>
      <c r="K553" s="15">
        <v>1000</v>
      </c>
      <c r="L553" s="15">
        <v>0</v>
      </c>
      <c r="M553" s="13">
        <v>45082</v>
      </c>
      <c r="O553">
        <v>0</v>
      </c>
      <c r="P553">
        <v>2387.2303009224534</v>
      </c>
      <c r="Q553">
        <v>0</v>
      </c>
      <c r="R553">
        <v>0</v>
      </c>
      <c r="S553">
        <v>0</v>
      </c>
      <c r="T553">
        <v>15926.88756923135</v>
      </c>
      <c r="U553">
        <v>22429.906542056076</v>
      </c>
      <c r="V553">
        <v>0</v>
      </c>
      <c r="W553">
        <v>130841.1214953271</v>
      </c>
      <c r="X553">
        <v>0</v>
      </c>
      <c r="Y553">
        <v>171585.14590753696</v>
      </c>
      <c r="Z553">
        <v>11843.854092463018</v>
      </c>
      <c r="AA553">
        <v>183428.99999999997</v>
      </c>
      <c r="AB553" t="s">
        <v>242</v>
      </c>
      <c r="AC553">
        <v>3</v>
      </c>
      <c r="AD553">
        <v>3000</v>
      </c>
      <c r="AE553">
        <v>0</v>
      </c>
      <c r="AF553">
        <v>0</v>
      </c>
      <c r="AG553">
        <v>193.52908510707641</v>
      </c>
      <c r="AH553" t="s">
        <v>58</v>
      </c>
    </row>
    <row r="554" spans="1:34" x14ac:dyDescent="0.3">
      <c r="A554" t="s">
        <v>798</v>
      </c>
      <c r="B554">
        <v>52200061</v>
      </c>
      <c r="C554">
        <v>28231012</v>
      </c>
      <c r="D554" t="s">
        <v>835</v>
      </c>
      <c r="E554" t="s">
        <v>436</v>
      </c>
      <c r="F554" t="s">
        <v>431</v>
      </c>
      <c r="G554" t="s">
        <v>82</v>
      </c>
      <c r="H554" t="s">
        <v>83</v>
      </c>
      <c r="J554" t="s">
        <v>52</v>
      </c>
      <c r="K554" s="15">
        <v>3000</v>
      </c>
      <c r="L554" s="15">
        <v>0</v>
      </c>
      <c r="M554" s="13">
        <v>45082</v>
      </c>
      <c r="O554">
        <v>0</v>
      </c>
      <c r="P554">
        <v>0</v>
      </c>
      <c r="Q554">
        <v>0</v>
      </c>
      <c r="R554">
        <v>751.43580844899657</v>
      </c>
      <c r="S554">
        <v>6526.734384627106</v>
      </c>
      <c r="T554">
        <v>0</v>
      </c>
      <c r="U554">
        <v>0</v>
      </c>
      <c r="V554">
        <v>57032.675233644863</v>
      </c>
      <c r="W554">
        <v>0</v>
      </c>
      <c r="X554">
        <v>0</v>
      </c>
      <c r="Y554">
        <v>64310.845426720967</v>
      </c>
      <c r="Z554">
        <v>4449.1586732790383</v>
      </c>
      <c r="AA554">
        <v>68760.004100000006</v>
      </c>
      <c r="AB554" t="s">
        <v>242</v>
      </c>
      <c r="AC554">
        <v>8</v>
      </c>
      <c r="AD554">
        <v>16000</v>
      </c>
      <c r="AE554">
        <v>0</v>
      </c>
      <c r="AF554">
        <v>0</v>
      </c>
      <c r="AG554">
        <v>1034.3929968144205</v>
      </c>
      <c r="AH554" t="s">
        <v>58</v>
      </c>
    </row>
    <row r="555" spans="1:34" x14ac:dyDescent="0.3">
      <c r="A555" t="s">
        <v>798</v>
      </c>
      <c r="B555">
        <v>52200766</v>
      </c>
      <c r="C555">
        <v>24621811</v>
      </c>
      <c r="D555" t="s">
        <v>862</v>
      </c>
      <c r="E555" t="s">
        <v>438</v>
      </c>
      <c r="F555" t="s">
        <v>431</v>
      </c>
      <c r="G555" t="s">
        <v>82</v>
      </c>
      <c r="H555" t="s">
        <v>83</v>
      </c>
      <c r="J555" t="s">
        <v>52</v>
      </c>
      <c r="K555" s="15">
        <v>1000</v>
      </c>
      <c r="L555" s="15">
        <v>0</v>
      </c>
      <c r="M555" s="13">
        <v>45082</v>
      </c>
      <c r="O555">
        <v>0</v>
      </c>
      <c r="P555">
        <v>0</v>
      </c>
      <c r="Q555">
        <v>0</v>
      </c>
      <c r="R555">
        <v>775.88941436014557</v>
      </c>
      <c r="S555">
        <v>11776.797121636266</v>
      </c>
      <c r="T555">
        <v>0</v>
      </c>
      <c r="U555">
        <v>0</v>
      </c>
      <c r="V555">
        <v>35671.904134049502</v>
      </c>
      <c r="W555">
        <v>0</v>
      </c>
      <c r="X555">
        <v>0</v>
      </c>
      <c r="Y555">
        <v>48224.590670045916</v>
      </c>
      <c r="Z555">
        <v>3321.4090878980041</v>
      </c>
      <c r="AA555">
        <v>51545.999757943922</v>
      </c>
      <c r="AB555" t="s">
        <v>242</v>
      </c>
      <c r="AC555">
        <v>1</v>
      </c>
      <c r="AD555">
        <v>1000</v>
      </c>
      <c r="AE555">
        <v>0</v>
      </c>
      <c r="AF555">
        <v>0</v>
      </c>
      <c r="AG555">
        <v>64.366597201131071</v>
      </c>
      <c r="AH555" t="s">
        <v>72</v>
      </c>
    </row>
    <row r="556" spans="1:34" x14ac:dyDescent="0.3">
      <c r="A556" t="s">
        <v>798</v>
      </c>
      <c r="B556">
        <v>2200002</v>
      </c>
      <c r="C556" t="s">
        <v>645</v>
      </c>
      <c r="D556" t="s">
        <v>407</v>
      </c>
      <c r="E556" t="s">
        <v>435</v>
      </c>
      <c r="F556" t="s">
        <v>426</v>
      </c>
      <c r="G556" t="s">
        <v>235</v>
      </c>
      <c r="H556" t="s">
        <v>235</v>
      </c>
      <c r="J556" t="s">
        <v>52</v>
      </c>
      <c r="K556" s="15">
        <v>5000</v>
      </c>
      <c r="M556" s="13">
        <v>45082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118625</v>
      </c>
      <c r="W556">
        <v>0</v>
      </c>
      <c r="X556">
        <v>0</v>
      </c>
      <c r="Y556">
        <v>118625</v>
      </c>
      <c r="Z556">
        <v>0</v>
      </c>
      <c r="AA556">
        <v>118625</v>
      </c>
      <c r="AB556" t="s">
        <v>242</v>
      </c>
      <c r="AC556">
        <v>2</v>
      </c>
      <c r="AD556">
        <v>10000</v>
      </c>
      <c r="AE556">
        <v>0</v>
      </c>
      <c r="AF556">
        <v>0</v>
      </c>
      <c r="AG556">
        <v>0</v>
      </c>
      <c r="AH556" t="s">
        <v>58</v>
      </c>
    </row>
    <row r="557" spans="1:34" x14ac:dyDescent="0.3">
      <c r="A557" t="s">
        <v>798</v>
      </c>
      <c r="B557">
        <v>2200003</v>
      </c>
      <c r="C557" t="s">
        <v>646</v>
      </c>
      <c r="D557" t="s">
        <v>407</v>
      </c>
      <c r="E557" t="s">
        <v>435</v>
      </c>
      <c r="F557" t="s">
        <v>426</v>
      </c>
      <c r="G557" t="s">
        <v>235</v>
      </c>
      <c r="H557" t="s">
        <v>235</v>
      </c>
      <c r="J557" t="s">
        <v>52</v>
      </c>
      <c r="K557" s="15">
        <v>5000</v>
      </c>
      <c r="M557" s="13">
        <v>45082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128250</v>
      </c>
      <c r="W557">
        <v>0</v>
      </c>
      <c r="X557">
        <v>0</v>
      </c>
      <c r="Y557">
        <v>128250</v>
      </c>
      <c r="Z557">
        <v>0</v>
      </c>
      <c r="AA557">
        <v>128250</v>
      </c>
      <c r="AB557" t="s">
        <v>242</v>
      </c>
      <c r="AC557">
        <v>2</v>
      </c>
      <c r="AD557">
        <v>10000</v>
      </c>
      <c r="AE557">
        <v>0</v>
      </c>
      <c r="AF557">
        <v>0</v>
      </c>
      <c r="AG557">
        <v>0</v>
      </c>
      <c r="AH557" t="s">
        <v>58</v>
      </c>
    </row>
    <row r="558" spans="1:34" x14ac:dyDescent="0.3">
      <c r="A558" t="s">
        <v>798</v>
      </c>
      <c r="B558">
        <v>42201317</v>
      </c>
      <c r="C558">
        <v>2757009008</v>
      </c>
      <c r="D558" t="s">
        <v>832</v>
      </c>
      <c r="E558" t="s">
        <v>439</v>
      </c>
      <c r="F558" t="s">
        <v>430</v>
      </c>
      <c r="G558" t="s">
        <v>230</v>
      </c>
      <c r="H558" t="s">
        <v>234</v>
      </c>
      <c r="J558" t="s">
        <v>52</v>
      </c>
      <c r="K558" s="15">
        <v>1000</v>
      </c>
      <c r="L558" s="15">
        <v>0</v>
      </c>
      <c r="M558" s="13">
        <v>45083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415233.6448598131</v>
      </c>
      <c r="Y558">
        <v>415233.6448598131</v>
      </c>
      <c r="Z558">
        <v>29066.355140186919</v>
      </c>
      <c r="AA558">
        <v>444300</v>
      </c>
      <c r="AB558" t="s">
        <v>242</v>
      </c>
      <c r="AC558">
        <v>2</v>
      </c>
      <c r="AD558">
        <v>2000</v>
      </c>
      <c r="AE558">
        <v>0</v>
      </c>
      <c r="AF558">
        <v>0</v>
      </c>
      <c r="AG558">
        <v>130.84112149532712</v>
      </c>
      <c r="AH558" t="s">
        <v>58</v>
      </c>
    </row>
    <row r="559" spans="1:34" x14ac:dyDescent="0.3">
      <c r="A559" t="s">
        <v>798</v>
      </c>
      <c r="B559">
        <v>52200247</v>
      </c>
      <c r="C559">
        <v>23477201</v>
      </c>
      <c r="D559" t="s">
        <v>135</v>
      </c>
      <c r="E559" t="s">
        <v>436</v>
      </c>
      <c r="F559" t="s">
        <v>431</v>
      </c>
      <c r="G559" t="s">
        <v>82</v>
      </c>
      <c r="H559" t="s">
        <v>83</v>
      </c>
      <c r="J559" t="s">
        <v>52</v>
      </c>
      <c r="K559" s="15">
        <v>1000</v>
      </c>
      <c r="L559" s="15">
        <v>0</v>
      </c>
      <c r="M559" s="13">
        <v>45083</v>
      </c>
      <c r="O559">
        <v>0</v>
      </c>
      <c r="P559">
        <v>0</v>
      </c>
      <c r="Q559">
        <v>0</v>
      </c>
      <c r="R559">
        <v>642.4318347513273</v>
      </c>
      <c r="S559">
        <v>9359.7210610674138</v>
      </c>
      <c r="T559">
        <v>0</v>
      </c>
      <c r="U559">
        <v>0</v>
      </c>
      <c r="V559">
        <v>46605.297542143431</v>
      </c>
      <c r="W559">
        <v>0</v>
      </c>
      <c r="X559">
        <v>0</v>
      </c>
      <c r="Y559">
        <v>56607.450437962172</v>
      </c>
      <c r="Z559">
        <v>3917.5513022247596</v>
      </c>
      <c r="AA559">
        <v>60525.001740186934</v>
      </c>
      <c r="AB559" t="s">
        <v>242</v>
      </c>
      <c r="AC559">
        <v>2</v>
      </c>
      <c r="AD559">
        <v>13000</v>
      </c>
      <c r="AE559">
        <v>0</v>
      </c>
      <c r="AF559">
        <v>0</v>
      </c>
      <c r="AG559">
        <v>840.6824564790594</v>
      </c>
      <c r="AH559" t="s">
        <v>58</v>
      </c>
    </row>
    <row r="560" spans="1:34" x14ac:dyDescent="0.3">
      <c r="A560" t="s">
        <v>798</v>
      </c>
      <c r="B560">
        <v>52200310</v>
      </c>
      <c r="C560">
        <v>23939176</v>
      </c>
      <c r="D560" t="s">
        <v>136</v>
      </c>
      <c r="E560" t="s">
        <v>436</v>
      </c>
      <c r="F560" t="s">
        <v>431</v>
      </c>
      <c r="G560" t="s">
        <v>82</v>
      </c>
      <c r="H560" t="s">
        <v>83</v>
      </c>
      <c r="J560" t="s">
        <v>52</v>
      </c>
      <c r="K560" s="15">
        <v>500</v>
      </c>
      <c r="L560" s="15">
        <v>0</v>
      </c>
      <c r="M560" s="13">
        <v>45083</v>
      </c>
      <c r="O560">
        <v>0</v>
      </c>
      <c r="P560">
        <v>0</v>
      </c>
      <c r="Q560">
        <v>0</v>
      </c>
      <c r="R560">
        <v>963.82440223473634</v>
      </c>
      <c r="S560">
        <v>26680.812004200219</v>
      </c>
      <c r="T560">
        <v>0</v>
      </c>
      <c r="U560">
        <v>0</v>
      </c>
      <c r="V560">
        <v>46086.640510961653</v>
      </c>
      <c r="W560">
        <v>0</v>
      </c>
      <c r="X560">
        <v>0</v>
      </c>
      <c r="Y560">
        <v>73731.276917396608</v>
      </c>
      <c r="Z560">
        <v>5093.7216760613319</v>
      </c>
      <c r="AA560">
        <v>78824.998593457945</v>
      </c>
      <c r="AB560" t="s">
        <v>242</v>
      </c>
      <c r="AC560">
        <v>3</v>
      </c>
      <c r="AD560">
        <v>2000</v>
      </c>
      <c r="AE560">
        <v>0</v>
      </c>
      <c r="AF560">
        <v>0</v>
      </c>
      <c r="AG560">
        <v>129.12869921161831</v>
      </c>
      <c r="AH560" t="s">
        <v>58</v>
      </c>
    </row>
    <row r="561" spans="1:34" x14ac:dyDescent="0.3">
      <c r="A561" t="s">
        <v>798</v>
      </c>
      <c r="B561">
        <v>52200671</v>
      </c>
      <c r="C561">
        <v>27488939</v>
      </c>
      <c r="D561" t="s">
        <v>857</v>
      </c>
      <c r="E561" t="s">
        <v>438</v>
      </c>
      <c r="F561" t="s">
        <v>431</v>
      </c>
      <c r="G561" t="s">
        <v>82</v>
      </c>
      <c r="H561" t="s">
        <v>83</v>
      </c>
      <c r="J561" t="s">
        <v>52</v>
      </c>
      <c r="K561" s="15">
        <v>1500</v>
      </c>
      <c r="L561" s="15">
        <v>0</v>
      </c>
      <c r="M561" s="13">
        <v>45083</v>
      </c>
      <c r="O561">
        <v>0</v>
      </c>
      <c r="P561">
        <v>0</v>
      </c>
      <c r="Q561">
        <v>0</v>
      </c>
      <c r="R561">
        <v>939.5602605671337</v>
      </c>
      <c r="S561">
        <v>29623.947305052017</v>
      </c>
      <c r="T561">
        <v>0</v>
      </c>
      <c r="U561">
        <v>0</v>
      </c>
      <c r="V561">
        <v>53483.939690487481</v>
      </c>
      <c r="W561">
        <v>0</v>
      </c>
      <c r="X561">
        <v>0</v>
      </c>
      <c r="Y561">
        <v>84047.447256106636</v>
      </c>
      <c r="Z561">
        <v>5817.5520896877661</v>
      </c>
      <c r="AA561">
        <v>89864.999345794407</v>
      </c>
      <c r="AB561" t="s">
        <v>242</v>
      </c>
      <c r="AC561">
        <v>2</v>
      </c>
      <c r="AD561">
        <v>4500</v>
      </c>
      <c r="AE561">
        <v>0</v>
      </c>
      <c r="AF561">
        <v>0</v>
      </c>
      <c r="AG561">
        <v>291.09272732682211</v>
      </c>
      <c r="AH561" t="s">
        <v>58</v>
      </c>
    </row>
    <row r="562" spans="1:34" x14ac:dyDescent="0.3">
      <c r="A562" t="s">
        <v>798</v>
      </c>
      <c r="B562">
        <v>4132300224</v>
      </c>
      <c r="C562">
        <v>1020354336</v>
      </c>
      <c r="D562" t="s">
        <v>902</v>
      </c>
      <c r="E562" t="s">
        <v>441</v>
      </c>
      <c r="F562" t="s">
        <v>430</v>
      </c>
      <c r="G562" t="s">
        <v>230</v>
      </c>
      <c r="H562" t="s">
        <v>231</v>
      </c>
      <c r="J562" t="s">
        <v>52</v>
      </c>
      <c r="K562" s="15">
        <v>300</v>
      </c>
      <c r="L562" s="15">
        <v>0</v>
      </c>
      <c r="M562" s="13">
        <v>45083</v>
      </c>
      <c r="O562">
        <v>0</v>
      </c>
      <c r="P562">
        <v>17119.931816070151</v>
      </c>
      <c r="Q562">
        <v>0</v>
      </c>
      <c r="R562">
        <v>0</v>
      </c>
      <c r="S562">
        <v>4867.3972602739723</v>
      </c>
      <c r="T562">
        <v>7872.0263401213551</v>
      </c>
      <c r="U562">
        <v>0</v>
      </c>
      <c r="V562">
        <v>0</v>
      </c>
      <c r="W562">
        <v>542056.0747663551</v>
      </c>
      <c r="X562">
        <v>0</v>
      </c>
      <c r="Y562">
        <v>571915.43018282054</v>
      </c>
      <c r="Z562">
        <v>38494.967077453359</v>
      </c>
      <c r="AA562">
        <v>610410.39726027392</v>
      </c>
      <c r="AB562" t="s">
        <v>242</v>
      </c>
      <c r="AC562">
        <v>2</v>
      </c>
      <c r="AD562">
        <v>600</v>
      </c>
      <c r="AE562">
        <v>0</v>
      </c>
      <c r="AF562">
        <v>0</v>
      </c>
      <c r="AG562">
        <v>37.743202920477131</v>
      </c>
      <c r="AH562" t="s">
        <v>58</v>
      </c>
    </row>
    <row r="563" spans="1:34" x14ac:dyDescent="0.3">
      <c r="A563" t="s">
        <v>798</v>
      </c>
      <c r="B563">
        <v>52200975</v>
      </c>
      <c r="C563" t="s">
        <v>462</v>
      </c>
      <c r="D563" t="s">
        <v>323</v>
      </c>
      <c r="E563" t="s">
        <v>438</v>
      </c>
      <c r="F563" t="s">
        <v>431</v>
      </c>
      <c r="G563" t="s">
        <v>82</v>
      </c>
      <c r="H563" t="s">
        <v>83</v>
      </c>
      <c r="J563" t="s">
        <v>416</v>
      </c>
      <c r="K563" s="15">
        <v>0.27382577628024518</v>
      </c>
      <c r="L563" s="15">
        <v>0</v>
      </c>
      <c r="M563" s="13">
        <v>45083</v>
      </c>
      <c r="O563">
        <v>0</v>
      </c>
      <c r="P563">
        <v>0</v>
      </c>
      <c r="Q563">
        <v>0</v>
      </c>
      <c r="R563">
        <v>826.38626659308102</v>
      </c>
      <c r="S563">
        <v>13380.608406409985</v>
      </c>
      <c r="T563">
        <v>0</v>
      </c>
      <c r="U563">
        <v>0</v>
      </c>
      <c r="V563">
        <v>32576.039942568445</v>
      </c>
      <c r="W563">
        <v>0</v>
      </c>
      <c r="X563">
        <v>0</v>
      </c>
      <c r="Y563">
        <v>46783.034615571509</v>
      </c>
      <c r="Z563">
        <v>3216.9653844284903</v>
      </c>
      <c r="AA563">
        <v>50000</v>
      </c>
      <c r="AB563" t="s">
        <v>242</v>
      </c>
      <c r="AC563">
        <v>0</v>
      </c>
      <c r="AD563">
        <v>0</v>
      </c>
      <c r="AE563">
        <v>0</v>
      </c>
      <c r="AF563">
        <v>0</v>
      </c>
      <c r="AG563">
        <v>0</v>
      </c>
      <c r="AH563" t="s">
        <v>72</v>
      </c>
    </row>
    <row r="564" spans="1:34" x14ac:dyDescent="0.3">
      <c r="A564" t="s">
        <v>798</v>
      </c>
      <c r="B564">
        <v>62200095</v>
      </c>
      <c r="C564" t="s">
        <v>640</v>
      </c>
      <c r="D564" t="s">
        <v>639</v>
      </c>
      <c r="E564" t="s">
        <v>435</v>
      </c>
      <c r="F564" t="s">
        <v>432</v>
      </c>
      <c r="G564" t="s">
        <v>235</v>
      </c>
      <c r="H564" t="s">
        <v>235</v>
      </c>
      <c r="J564" t="s">
        <v>52</v>
      </c>
      <c r="K564" s="15">
        <v>2000</v>
      </c>
      <c r="M564" s="13">
        <v>45083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50352.790000000008</v>
      </c>
      <c r="W564">
        <v>0</v>
      </c>
      <c r="X564">
        <v>0</v>
      </c>
      <c r="Y564">
        <v>50352.790000000008</v>
      </c>
      <c r="Z564">
        <v>0</v>
      </c>
      <c r="AA564">
        <v>50352.790000000008</v>
      </c>
      <c r="AB564" t="s">
        <v>242</v>
      </c>
      <c r="AC564">
        <v>3</v>
      </c>
      <c r="AD564">
        <v>6000</v>
      </c>
      <c r="AE564">
        <v>0</v>
      </c>
      <c r="AF564">
        <v>0</v>
      </c>
      <c r="AG564">
        <v>0</v>
      </c>
      <c r="AH564" t="s">
        <v>58</v>
      </c>
    </row>
    <row r="565" spans="1:34" x14ac:dyDescent="0.3">
      <c r="A565" t="s">
        <v>798</v>
      </c>
      <c r="B565">
        <v>22200119</v>
      </c>
      <c r="C565">
        <v>22425770</v>
      </c>
      <c r="D565" t="s">
        <v>81</v>
      </c>
      <c r="E565" t="s">
        <v>435</v>
      </c>
      <c r="F565" t="s">
        <v>428</v>
      </c>
      <c r="G565" t="s">
        <v>82</v>
      </c>
      <c r="H565" t="s">
        <v>82</v>
      </c>
      <c r="J565" t="s">
        <v>52</v>
      </c>
      <c r="K565" s="15">
        <v>1000</v>
      </c>
      <c r="L565" s="15">
        <v>0</v>
      </c>
      <c r="M565" s="13">
        <v>45084</v>
      </c>
      <c r="O565">
        <v>0</v>
      </c>
      <c r="P565">
        <v>0</v>
      </c>
      <c r="Q565">
        <v>0</v>
      </c>
      <c r="R565">
        <v>0</v>
      </c>
      <c r="S565">
        <v>3549.9724367528624</v>
      </c>
      <c r="T565">
        <v>0</v>
      </c>
      <c r="U565">
        <v>0</v>
      </c>
      <c r="V565">
        <v>14351.967123287672</v>
      </c>
      <c r="W565">
        <v>0</v>
      </c>
      <c r="X565">
        <v>0</v>
      </c>
      <c r="Y565">
        <v>17901.939560040533</v>
      </c>
      <c r="Z565">
        <v>0</v>
      </c>
      <c r="AA565">
        <v>17901.939560040533</v>
      </c>
      <c r="AB565" t="s">
        <v>242</v>
      </c>
      <c r="AC565">
        <v>2</v>
      </c>
      <c r="AD565">
        <v>1300</v>
      </c>
      <c r="AE565">
        <v>0</v>
      </c>
      <c r="AF565">
        <v>0</v>
      </c>
      <c r="AG565">
        <v>0</v>
      </c>
      <c r="AH565" t="s">
        <v>58</v>
      </c>
    </row>
    <row r="566" spans="1:34" x14ac:dyDescent="0.3">
      <c r="A566" t="s">
        <v>798</v>
      </c>
      <c r="B566">
        <v>42200737</v>
      </c>
      <c r="C566">
        <v>2754011893</v>
      </c>
      <c r="D566" t="s">
        <v>126</v>
      </c>
      <c r="E566" t="s">
        <v>439</v>
      </c>
      <c r="F566" t="s">
        <v>430</v>
      </c>
      <c r="G566" t="s">
        <v>233</v>
      </c>
      <c r="H566" t="s">
        <v>234</v>
      </c>
      <c r="J566" t="s">
        <v>52</v>
      </c>
      <c r="K566" s="15">
        <v>1000</v>
      </c>
      <c r="L566" s="15">
        <v>0</v>
      </c>
      <c r="M566" s="13">
        <v>45084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577580.28037383175</v>
      </c>
      <c r="Y566">
        <v>577580.28037383175</v>
      </c>
      <c r="Z566">
        <v>40430.619626168227</v>
      </c>
      <c r="AA566">
        <v>618010.9</v>
      </c>
      <c r="AB566" t="s">
        <v>242</v>
      </c>
      <c r="AC566">
        <v>1</v>
      </c>
      <c r="AD566">
        <v>1000</v>
      </c>
      <c r="AE566">
        <v>0</v>
      </c>
      <c r="AF566">
        <v>0</v>
      </c>
      <c r="AG566">
        <v>65.420560747663558</v>
      </c>
      <c r="AH566" t="s">
        <v>72</v>
      </c>
    </row>
    <row r="567" spans="1:34" x14ac:dyDescent="0.3">
      <c r="A567" t="s">
        <v>798</v>
      </c>
      <c r="B567">
        <v>22200050</v>
      </c>
      <c r="C567">
        <v>20757954</v>
      </c>
      <c r="D567" t="s">
        <v>120</v>
      </c>
      <c r="E567" t="s">
        <v>435</v>
      </c>
      <c r="F567" t="s">
        <v>428</v>
      </c>
      <c r="G567" t="s">
        <v>82</v>
      </c>
      <c r="H567" t="s">
        <v>82</v>
      </c>
      <c r="J567" t="s">
        <v>52</v>
      </c>
      <c r="K567" s="15">
        <v>1000</v>
      </c>
      <c r="L567" s="15">
        <v>0</v>
      </c>
      <c r="M567" s="13">
        <v>45086</v>
      </c>
      <c r="O567">
        <v>0</v>
      </c>
      <c r="P567">
        <v>0</v>
      </c>
      <c r="Q567">
        <v>0</v>
      </c>
      <c r="R567">
        <v>0</v>
      </c>
      <c r="S567">
        <v>2932.2079698630132</v>
      </c>
      <c r="T567">
        <v>0</v>
      </c>
      <c r="U567">
        <v>0</v>
      </c>
      <c r="V567">
        <v>14084.08</v>
      </c>
      <c r="W567">
        <v>0</v>
      </c>
      <c r="X567">
        <v>0</v>
      </c>
      <c r="Y567">
        <v>17016.287969863013</v>
      </c>
      <c r="Z567">
        <v>0</v>
      </c>
      <c r="AA567">
        <v>17016.287969863013</v>
      </c>
      <c r="AB567" t="s">
        <v>242</v>
      </c>
      <c r="AC567">
        <v>5</v>
      </c>
      <c r="AD567">
        <v>3000</v>
      </c>
      <c r="AE567">
        <v>0</v>
      </c>
      <c r="AF567">
        <v>0</v>
      </c>
      <c r="AG567">
        <v>0</v>
      </c>
      <c r="AH567" t="s">
        <v>58</v>
      </c>
    </row>
    <row r="568" spans="1:34" x14ac:dyDescent="0.3">
      <c r="A568" t="s">
        <v>798</v>
      </c>
      <c r="B568">
        <v>4142301009</v>
      </c>
      <c r="C568" t="s">
        <v>507</v>
      </c>
      <c r="D568" t="s">
        <v>579</v>
      </c>
      <c r="E568" t="s">
        <v>445</v>
      </c>
      <c r="F568" t="s">
        <v>430</v>
      </c>
      <c r="G568" t="s">
        <v>230</v>
      </c>
      <c r="H568" t="s">
        <v>234</v>
      </c>
      <c r="J568" t="s">
        <v>52</v>
      </c>
      <c r="K568" s="15">
        <v>1500</v>
      </c>
      <c r="L568" s="15">
        <v>0</v>
      </c>
      <c r="M568" s="13">
        <v>45086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315094.73831775697</v>
      </c>
      <c r="Y568">
        <v>315094.73831775697</v>
      </c>
      <c r="Z568">
        <v>22056.631682242991</v>
      </c>
      <c r="AA568">
        <v>337151.36999999994</v>
      </c>
      <c r="AB568" t="s">
        <v>242</v>
      </c>
      <c r="AC568">
        <v>1</v>
      </c>
      <c r="AD568">
        <v>1500</v>
      </c>
      <c r="AE568">
        <v>0</v>
      </c>
      <c r="AF568">
        <v>0</v>
      </c>
      <c r="AG568">
        <v>98.13084112149545</v>
      </c>
      <c r="AH568" t="s">
        <v>72</v>
      </c>
    </row>
    <row r="569" spans="1:34" x14ac:dyDescent="0.3">
      <c r="A569" t="s">
        <v>798</v>
      </c>
      <c r="B569">
        <v>4242300024</v>
      </c>
      <c r="C569" t="s">
        <v>516</v>
      </c>
      <c r="D569" t="s">
        <v>588</v>
      </c>
      <c r="E569" t="s">
        <v>444</v>
      </c>
      <c r="F569" t="s">
        <v>431</v>
      </c>
      <c r="G569" t="s">
        <v>421</v>
      </c>
      <c r="H569" t="s">
        <v>231</v>
      </c>
      <c r="J569" t="s">
        <v>52</v>
      </c>
      <c r="K569" s="15">
        <v>109569</v>
      </c>
      <c r="L569" s="15">
        <v>0</v>
      </c>
      <c r="M569" s="13">
        <v>45086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">
        <v>242</v>
      </c>
      <c r="AC569">
        <v>2</v>
      </c>
      <c r="AD569">
        <v>114569</v>
      </c>
      <c r="AE569">
        <v>0</v>
      </c>
      <c r="AF569">
        <v>0</v>
      </c>
      <c r="AG569">
        <v>7171.9252336448608</v>
      </c>
      <c r="AH569" t="s">
        <v>58</v>
      </c>
    </row>
    <row r="570" spans="1:34" x14ac:dyDescent="0.3">
      <c r="A570" t="s">
        <v>798</v>
      </c>
      <c r="B570">
        <v>52201063</v>
      </c>
      <c r="C570">
        <v>23710909</v>
      </c>
      <c r="D570" t="s">
        <v>147</v>
      </c>
      <c r="E570" t="s">
        <v>438</v>
      </c>
      <c r="F570" t="s">
        <v>431</v>
      </c>
      <c r="G570" t="s">
        <v>82</v>
      </c>
      <c r="H570" t="s">
        <v>83</v>
      </c>
      <c r="J570" t="s">
        <v>52</v>
      </c>
      <c r="K570" s="15">
        <v>1000</v>
      </c>
      <c r="L570" s="15">
        <v>0</v>
      </c>
      <c r="M570" s="13">
        <v>45087</v>
      </c>
      <c r="O570">
        <v>0</v>
      </c>
      <c r="P570">
        <v>0</v>
      </c>
      <c r="Q570">
        <v>0</v>
      </c>
      <c r="R570">
        <v>879.85030439001184</v>
      </c>
      <c r="S570">
        <v>28130.597873754221</v>
      </c>
      <c r="T570">
        <v>0</v>
      </c>
      <c r="U570">
        <v>0</v>
      </c>
      <c r="V570">
        <v>49966.73843998649</v>
      </c>
      <c r="W570">
        <v>0</v>
      </c>
      <c r="X570">
        <v>0</v>
      </c>
      <c r="Y570">
        <v>78977.186618130727</v>
      </c>
      <c r="Z570">
        <v>5466.8135419618502</v>
      </c>
      <c r="AA570">
        <v>84444.000160092575</v>
      </c>
      <c r="AB570" t="s">
        <v>242</v>
      </c>
      <c r="AC570">
        <v>1</v>
      </c>
      <c r="AD570">
        <v>1000</v>
      </c>
      <c r="AE570">
        <v>0</v>
      </c>
      <c r="AF570">
        <v>0</v>
      </c>
      <c r="AG570">
        <v>64.691141408692374</v>
      </c>
      <c r="AH570" t="s">
        <v>72</v>
      </c>
    </row>
    <row r="571" spans="1:34" x14ac:dyDescent="0.3">
      <c r="A571" t="s">
        <v>798</v>
      </c>
      <c r="B571">
        <v>52200413</v>
      </c>
      <c r="C571">
        <v>25523297</v>
      </c>
      <c r="D571" t="s">
        <v>137</v>
      </c>
      <c r="E571" t="s">
        <v>436</v>
      </c>
      <c r="F571" t="s">
        <v>431</v>
      </c>
      <c r="G571" t="s">
        <v>82</v>
      </c>
      <c r="H571" t="s">
        <v>83</v>
      </c>
      <c r="J571" t="s">
        <v>52</v>
      </c>
      <c r="K571" s="15">
        <v>1000</v>
      </c>
      <c r="L571" s="15">
        <v>0</v>
      </c>
      <c r="M571" s="13">
        <v>45089</v>
      </c>
      <c r="O571">
        <v>0</v>
      </c>
      <c r="P571">
        <v>0</v>
      </c>
      <c r="Q571">
        <v>0</v>
      </c>
      <c r="R571">
        <v>968.83755197214737</v>
      </c>
      <c r="S571">
        <v>37279.646071613068</v>
      </c>
      <c r="T571">
        <v>0</v>
      </c>
      <c r="U571">
        <v>0</v>
      </c>
      <c r="V571">
        <v>53410.225185605734</v>
      </c>
      <c r="W571">
        <v>0</v>
      </c>
      <c r="X571">
        <v>0</v>
      </c>
      <c r="Y571">
        <v>91658.708809190954</v>
      </c>
      <c r="Z571">
        <v>6348.2909880053166</v>
      </c>
      <c r="AA571">
        <v>98006.999797196273</v>
      </c>
      <c r="AB571" t="s">
        <v>242</v>
      </c>
      <c r="AC571">
        <v>2</v>
      </c>
      <c r="AD571">
        <v>2000</v>
      </c>
      <c r="AE571">
        <v>0</v>
      </c>
      <c r="AF571">
        <v>0</v>
      </c>
      <c r="AG571">
        <v>129.45666227855168</v>
      </c>
      <c r="AH571" t="s">
        <v>58</v>
      </c>
    </row>
    <row r="572" spans="1:34" x14ac:dyDescent="0.3">
      <c r="A572" t="s">
        <v>798</v>
      </c>
      <c r="B572">
        <v>52200618</v>
      </c>
      <c r="C572">
        <v>6102050058</v>
      </c>
      <c r="D572" t="s">
        <v>856</v>
      </c>
      <c r="E572" t="s">
        <v>437</v>
      </c>
      <c r="F572" t="s">
        <v>431</v>
      </c>
      <c r="G572" t="s">
        <v>82</v>
      </c>
      <c r="H572" t="s">
        <v>83</v>
      </c>
      <c r="J572" t="s">
        <v>52</v>
      </c>
      <c r="K572" s="15">
        <v>1000</v>
      </c>
      <c r="L572" s="15">
        <v>0</v>
      </c>
      <c r="M572" s="13">
        <v>45089</v>
      </c>
      <c r="O572">
        <v>0</v>
      </c>
      <c r="P572">
        <v>0</v>
      </c>
      <c r="Q572">
        <v>0</v>
      </c>
      <c r="R572">
        <v>0</v>
      </c>
      <c r="S572">
        <v>1365.3457943925234</v>
      </c>
      <c r="T572">
        <v>0</v>
      </c>
      <c r="U572">
        <v>0</v>
      </c>
      <c r="V572">
        <v>5052.6448598130837</v>
      </c>
      <c r="W572">
        <v>0</v>
      </c>
      <c r="X572">
        <v>0</v>
      </c>
      <c r="Y572">
        <v>6417.9906542056069</v>
      </c>
      <c r="Z572">
        <v>449.25934579439252</v>
      </c>
      <c r="AA572">
        <v>6867.2499999999991</v>
      </c>
      <c r="AB572" t="s">
        <v>242</v>
      </c>
      <c r="AC572">
        <v>1</v>
      </c>
      <c r="AD572">
        <v>1000</v>
      </c>
      <c r="AE572">
        <v>0</v>
      </c>
      <c r="AF572">
        <v>0</v>
      </c>
      <c r="AG572">
        <v>65.420560747663558</v>
      </c>
      <c r="AH572" t="s">
        <v>72</v>
      </c>
    </row>
    <row r="573" spans="1:34" x14ac:dyDescent="0.3">
      <c r="A573" t="s">
        <v>798</v>
      </c>
      <c r="B573">
        <v>52200619</v>
      </c>
      <c r="C573">
        <v>6102060118</v>
      </c>
      <c r="D573" t="s">
        <v>138</v>
      </c>
      <c r="E573" t="s">
        <v>437</v>
      </c>
      <c r="F573" t="s">
        <v>431</v>
      </c>
      <c r="G573" t="s">
        <v>82</v>
      </c>
      <c r="H573" t="s">
        <v>83</v>
      </c>
      <c r="J573" t="s">
        <v>52</v>
      </c>
      <c r="K573" s="15">
        <v>500</v>
      </c>
      <c r="L573" s="15">
        <v>0</v>
      </c>
      <c r="M573" s="13">
        <v>45089</v>
      </c>
      <c r="O573">
        <v>0</v>
      </c>
      <c r="P573">
        <v>0</v>
      </c>
      <c r="Q573">
        <v>0</v>
      </c>
      <c r="R573">
        <v>0</v>
      </c>
      <c r="S573">
        <v>4229.6074766355141</v>
      </c>
      <c r="T573">
        <v>0</v>
      </c>
      <c r="U573">
        <v>0</v>
      </c>
      <c r="V573">
        <v>10196.728971962617</v>
      </c>
      <c r="W573">
        <v>0</v>
      </c>
      <c r="X573">
        <v>0</v>
      </c>
      <c r="Y573">
        <v>14426.336448598131</v>
      </c>
      <c r="Z573">
        <v>1009.8435514018693</v>
      </c>
      <c r="AA573">
        <v>15436.18</v>
      </c>
      <c r="AB573" t="s">
        <v>242</v>
      </c>
      <c r="AC573">
        <v>5</v>
      </c>
      <c r="AD573">
        <v>2500</v>
      </c>
      <c r="AE573">
        <v>0</v>
      </c>
      <c r="AF573">
        <v>0</v>
      </c>
      <c r="AG573">
        <v>163.55140186915889</v>
      </c>
      <c r="AH573" t="s">
        <v>58</v>
      </c>
    </row>
    <row r="574" spans="1:34" x14ac:dyDescent="0.3">
      <c r="A574" t="s">
        <v>798</v>
      </c>
      <c r="B574">
        <v>12200028</v>
      </c>
      <c r="C574" t="s">
        <v>629</v>
      </c>
      <c r="D574" t="s">
        <v>628</v>
      </c>
      <c r="E574" t="s">
        <v>435</v>
      </c>
      <c r="F574" t="s">
        <v>427</v>
      </c>
      <c r="G574" t="s">
        <v>230</v>
      </c>
      <c r="H574" t="s">
        <v>230</v>
      </c>
      <c r="J574" t="s">
        <v>672</v>
      </c>
      <c r="M574" s="13">
        <v>45089</v>
      </c>
      <c r="O574">
        <v>8200</v>
      </c>
      <c r="P574">
        <v>0</v>
      </c>
      <c r="Q574">
        <v>0</v>
      </c>
      <c r="R574">
        <v>0</v>
      </c>
      <c r="S574">
        <v>82478.579999999987</v>
      </c>
      <c r="T574">
        <v>0</v>
      </c>
      <c r="U574">
        <v>0</v>
      </c>
      <c r="V574">
        <v>125859.78</v>
      </c>
      <c r="W574">
        <v>0</v>
      </c>
      <c r="X574">
        <v>0</v>
      </c>
      <c r="Y574">
        <v>216538.36</v>
      </c>
      <c r="Z574">
        <v>0</v>
      </c>
      <c r="AA574">
        <v>216538.36</v>
      </c>
      <c r="AB574" t="s">
        <v>242</v>
      </c>
      <c r="AC574">
        <v>0</v>
      </c>
      <c r="AD574">
        <v>0</v>
      </c>
      <c r="AE574">
        <v>0</v>
      </c>
      <c r="AF574">
        <v>0</v>
      </c>
      <c r="AG574">
        <v>0</v>
      </c>
      <c r="AH574" t="s">
        <v>72</v>
      </c>
    </row>
    <row r="575" spans="1:34" x14ac:dyDescent="0.3">
      <c r="A575" t="s">
        <v>798</v>
      </c>
      <c r="B575">
        <v>12200179</v>
      </c>
      <c r="C575" t="s">
        <v>252</v>
      </c>
      <c r="D575" t="s">
        <v>323</v>
      </c>
      <c r="E575" t="s">
        <v>438</v>
      </c>
      <c r="F575" t="s">
        <v>427</v>
      </c>
      <c r="G575" t="s">
        <v>82</v>
      </c>
      <c r="H575" t="s">
        <v>82</v>
      </c>
      <c r="J575" t="s">
        <v>52</v>
      </c>
      <c r="K575" s="15">
        <v>90000</v>
      </c>
      <c r="L575" s="15">
        <v>0</v>
      </c>
      <c r="M575" s="13">
        <v>45090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87789.22</v>
      </c>
      <c r="W575">
        <v>0</v>
      </c>
      <c r="X575">
        <v>0</v>
      </c>
      <c r="Y575">
        <v>87789.22</v>
      </c>
      <c r="Z575">
        <v>0</v>
      </c>
      <c r="AA575">
        <v>87789.22</v>
      </c>
      <c r="AB575" t="s">
        <v>242</v>
      </c>
      <c r="AC575">
        <v>1</v>
      </c>
      <c r="AD575">
        <v>90000</v>
      </c>
      <c r="AE575">
        <v>0</v>
      </c>
      <c r="AF575">
        <v>0</v>
      </c>
      <c r="AG575">
        <v>0</v>
      </c>
      <c r="AH575" t="s">
        <v>72</v>
      </c>
    </row>
    <row r="576" spans="1:34" x14ac:dyDescent="0.3">
      <c r="A576" t="s">
        <v>798</v>
      </c>
      <c r="B576">
        <v>52200975</v>
      </c>
      <c r="C576" t="s">
        <v>462</v>
      </c>
      <c r="D576" t="s">
        <v>323</v>
      </c>
      <c r="E576" t="s">
        <v>438</v>
      </c>
      <c r="F576" t="s">
        <v>431</v>
      </c>
      <c r="G576" t="s">
        <v>417</v>
      </c>
      <c r="H576" t="s">
        <v>83</v>
      </c>
      <c r="J576" t="s">
        <v>52</v>
      </c>
      <c r="K576" s="15">
        <v>50000</v>
      </c>
      <c r="L576" s="15">
        <v>0</v>
      </c>
      <c r="M576" s="13">
        <v>45090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">
        <v>242</v>
      </c>
      <c r="AC576">
        <v>1</v>
      </c>
      <c r="AD576">
        <v>50000</v>
      </c>
      <c r="AE576">
        <v>0</v>
      </c>
      <c r="AF576">
        <v>0</v>
      </c>
      <c r="AG576">
        <v>3216.9653844284912</v>
      </c>
      <c r="AH576" t="s">
        <v>58</v>
      </c>
    </row>
    <row r="577" spans="1:34" x14ac:dyDescent="0.3">
      <c r="A577" t="s">
        <v>798</v>
      </c>
      <c r="B577">
        <v>2200004</v>
      </c>
      <c r="C577" t="s">
        <v>650</v>
      </c>
      <c r="D577" t="s">
        <v>649</v>
      </c>
      <c r="E577" t="s">
        <v>435</v>
      </c>
      <c r="F577" t="s">
        <v>426</v>
      </c>
      <c r="G577" t="s">
        <v>235</v>
      </c>
      <c r="H577" t="s">
        <v>235</v>
      </c>
      <c r="J577" t="s">
        <v>672</v>
      </c>
      <c r="M577" s="13">
        <v>45090</v>
      </c>
      <c r="O577">
        <v>3840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184699.23000000004</v>
      </c>
      <c r="W577">
        <v>0</v>
      </c>
      <c r="X577">
        <v>0</v>
      </c>
      <c r="Y577">
        <v>188539.23000000004</v>
      </c>
      <c r="Z577">
        <v>0</v>
      </c>
      <c r="AA577">
        <v>188539.23000000004</v>
      </c>
      <c r="AB577" t="s">
        <v>242</v>
      </c>
      <c r="AC577">
        <v>0</v>
      </c>
      <c r="AD577">
        <v>0</v>
      </c>
      <c r="AE577">
        <v>0</v>
      </c>
      <c r="AF577">
        <v>0</v>
      </c>
      <c r="AG577">
        <v>0</v>
      </c>
      <c r="AH577" t="s">
        <v>72</v>
      </c>
    </row>
    <row r="578" spans="1:34" x14ac:dyDescent="0.3">
      <c r="A578" t="s">
        <v>798</v>
      </c>
      <c r="B578">
        <v>2200004</v>
      </c>
      <c r="C578" t="s">
        <v>650</v>
      </c>
      <c r="D578" t="s">
        <v>649</v>
      </c>
      <c r="E578" t="s">
        <v>435</v>
      </c>
      <c r="F578" t="s">
        <v>426</v>
      </c>
      <c r="G578" t="s">
        <v>235</v>
      </c>
      <c r="H578" t="s">
        <v>235</v>
      </c>
      <c r="J578" t="s">
        <v>52</v>
      </c>
      <c r="K578" s="15">
        <v>500</v>
      </c>
      <c r="M578" s="13">
        <v>45090</v>
      </c>
      <c r="O578">
        <v>3340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184699.23000000004</v>
      </c>
      <c r="W578">
        <v>0</v>
      </c>
      <c r="X578">
        <v>0</v>
      </c>
      <c r="Y578">
        <v>188039.23000000004</v>
      </c>
      <c r="Z578">
        <v>0</v>
      </c>
      <c r="AA578">
        <v>188039.23000000004</v>
      </c>
      <c r="AB578" t="s">
        <v>242</v>
      </c>
      <c r="AC578">
        <v>1</v>
      </c>
      <c r="AD578">
        <v>500</v>
      </c>
      <c r="AE578">
        <v>0</v>
      </c>
      <c r="AF578">
        <v>0</v>
      </c>
      <c r="AG578">
        <v>0</v>
      </c>
      <c r="AH578" t="s">
        <v>58</v>
      </c>
    </row>
    <row r="579" spans="1:34" x14ac:dyDescent="0.3">
      <c r="A579" t="s">
        <v>798</v>
      </c>
      <c r="B579">
        <v>62200001</v>
      </c>
      <c r="C579" t="s">
        <v>651</v>
      </c>
      <c r="D579" t="s">
        <v>649</v>
      </c>
      <c r="E579" t="s">
        <v>435</v>
      </c>
      <c r="F579" t="s">
        <v>432</v>
      </c>
      <c r="G579" t="s">
        <v>235</v>
      </c>
      <c r="H579" t="s">
        <v>235</v>
      </c>
      <c r="J579" t="s">
        <v>672</v>
      </c>
      <c r="M579" s="13">
        <v>45090</v>
      </c>
      <c r="O579">
        <v>3840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80155.50999999998</v>
      </c>
      <c r="W579">
        <v>0</v>
      </c>
      <c r="X579">
        <v>0</v>
      </c>
      <c r="Y579">
        <v>83995.50999999998</v>
      </c>
      <c r="Z579">
        <v>0</v>
      </c>
      <c r="AA579">
        <v>83995.50999999998</v>
      </c>
      <c r="AB579" t="s">
        <v>242</v>
      </c>
      <c r="AC579">
        <v>0</v>
      </c>
      <c r="AD579">
        <v>0</v>
      </c>
      <c r="AE579">
        <v>0</v>
      </c>
      <c r="AF579">
        <v>0</v>
      </c>
      <c r="AG579">
        <v>0</v>
      </c>
      <c r="AH579" t="s">
        <v>72</v>
      </c>
    </row>
    <row r="580" spans="1:34" x14ac:dyDescent="0.3">
      <c r="A580" t="s">
        <v>798</v>
      </c>
      <c r="B580">
        <v>62200001</v>
      </c>
      <c r="C580" t="s">
        <v>651</v>
      </c>
      <c r="D580" t="s">
        <v>649</v>
      </c>
      <c r="E580" t="s">
        <v>435</v>
      </c>
      <c r="F580" t="s">
        <v>432</v>
      </c>
      <c r="G580" t="s">
        <v>235</v>
      </c>
      <c r="H580" t="s">
        <v>235</v>
      </c>
      <c r="J580" t="s">
        <v>52</v>
      </c>
      <c r="K580" s="15">
        <v>500</v>
      </c>
      <c r="M580" s="13">
        <v>45090</v>
      </c>
      <c r="O580">
        <v>3340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80155.50999999998</v>
      </c>
      <c r="W580">
        <v>0</v>
      </c>
      <c r="X580">
        <v>0</v>
      </c>
      <c r="Y580">
        <v>83495.50999999998</v>
      </c>
      <c r="Z580">
        <v>0</v>
      </c>
      <c r="AA580">
        <v>83495.50999999998</v>
      </c>
      <c r="AB580" t="s">
        <v>242</v>
      </c>
      <c r="AC580">
        <v>1</v>
      </c>
      <c r="AD580">
        <v>500</v>
      </c>
      <c r="AE580">
        <v>0</v>
      </c>
      <c r="AF580">
        <v>0</v>
      </c>
      <c r="AG580">
        <v>0</v>
      </c>
      <c r="AH580" t="s">
        <v>58</v>
      </c>
    </row>
    <row r="581" spans="1:34" x14ac:dyDescent="0.3">
      <c r="A581" t="s">
        <v>798</v>
      </c>
      <c r="B581">
        <v>12200104</v>
      </c>
      <c r="C581" t="s">
        <v>800</v>
      </c>
      <c r="D581" t="s">
        <v>810</v>
      </c>
      <c r="E581" t="s">
        <v>437</v>
      </c>
      <c r="F581" t="s">
        <v>427</v>
      </c>
      <c r="G581" t="s">
        <v>230</v>
      </c>
      <c r="H581" t="s">
        <v>230</v>
      </c>
      <c r="J581" t="s">
        <v>52</v>
      </c>
      <c r="K581" s="15">
        <v>1000</v>
      </c>
      <c r="L581" s="15">
        <v>0</v>
      </c>
      <c r="M581" s="13">
        <v>45092</v>
      </c>
      <c r="O581">
        <v>0</v>
      </c>
      <c r="P581">
        <v>100</v>
      </c>
      <c r="Q581">
        <v>0</v>
      </c>
      <c r="R581">
        <v>0</v>
      </c>
      <c r="S581">
        <v>86643.898399999976</v>
      </c>
      <c r="T581">
        <v>0</v>
      </c>
      <c r="U581">
        <v>0</v>
      </c>
      <c r="V581">
        <v>139995.57999999999</v>
      </c>
      <c r="W581">
        <v>0</v>
      </c>
      <c r="X581">
        <v>0</v>
      </c>
      <c r="Y581">
        <v>226739.47839999996</v>
      </c>
      <c r="Z581">
        <v>0</v>
      </c>
      <c r="AA581">
        <v>226739.47839999996</v>
      </c>
      <c r="AB581" t="s">
        <v>242</v>
      </c>
      <c r="AC581">
        <v>2</v>
      </c>
      <c r="AD581">
        <v>3500</v>
      </c>
      <c r="AE581">
        <v>0</v>
      </c>
      <c r="AF581">
        <v>0</v>
      </c>
      <c r="AG581">
        <v>0</v>
      </c>
      <c r="AH581" t="s">
        <v>58</v>
      </c>
    </row>
    <row r="582" spans="1:34" x14ac:dyDescent="0.3">
      <c r="A582" t="s">
        <v>798</v>
      </c>
      <c r="B582">
        <v>52200750</v>
      </c>
      <c r="C582">
        <v>26151957</v>
      </c>
      <c r="D582" t="s">
        <v>141</v>
      </c>
      <c r="E582" t="s">
        <v>438</v>
      </c>
      <c r="F582" t="s">
        <v>431</v>
      </c>
      <c r="G582" t="s">
        <v>82</v>
      </c>
      <c r="H582" t="s">
        <v>83</v>
      </c>
      <c r="J582" t="s">
        <v>52</v>
      </c>
      <c r="K582" s="15">
        <v>1000</v>
      </c>
      <c r="L582" s="15">
        <v>0</v>
      </c>
      <c r="M582" s="13">
        <v>45092</v>
      </c>
      <c r="O582">
        <v>0</v>
      </c>
      <c r="P582">
        <v>0</v>
      </c>
      <c r="Q582">
        <v>0</v>
      </c>
      <c r="R582">
        <v>905.51800555957198</v>
      </c>
      <c r="S582">
        <v>26626.55415877921</v>
      </c>
      <c r="T582">
        <v>0</v>
      </c>
      <c r="U582">
        <v>0</v>
      </c>
      <c r="V582">
        <v>47756.1392450563</v>
      </c>
      <c r="W582">
        <v>0</v>
      </c>
      <c r="X582">
        <v>0</v>
      </c>
      <c r="Y582">
        <v>75288.21140939508</v>
      </c>
      <c r="Z582">
        <v>5206.7885382684863</v>
      </c>
      <c r="AA582">
        <v>80494.999947663571</v>
      </c>
      <c r="AB582" t="s">
        <v>242</v>
      </c>
      <c r="AC582">
        <v>6</v>
      </c>
      <c r="AD582">
        <v>7000</v>
      </c>
      <c r="AE582">
        <v>0</v>
      </c>
      <c r="AF582">
        <v>0</v>
      </c>
      <c r="AG582">
        <v>452.41706578427113</v>
      </c>
      <c r="AH582" t="s">
        <v>58</v>
      </c>
    </row>
    <row r="583" spans="1:34" x14ac:dyDescent="0.3">
      <c r="A583" t="s">
        <v>798</v>
      </c>
      <c r="B583">
        <v>4302300029</v>
      </c>
      <c r="C583">
        <v>901014004279</v>
      </c>
      <c r="D583" t="s">
        <v>226</v>
      </c>
      <c r="E583" t="s">
        <v>447</v>
      </c>
      <c r="F583" t="s">
        <v>433</v>
      </c>
      <c r="G583" t="s">
        <v>82</v>
      </c>
      <c r="H583" t="s">
        <v>83</v>
      </c>
      <c r="J583" t="s">
        <v>52</v>
      </c>
      <c r="K583" s="15">
        <v>4000</v>
      </c>
      <c r="L583" s="15">
        <v>0</v>
      </c>
      <c r="M583" s="13">
        <v>45092</v>
      </c>
      <c r="O583">
        <v>0</v>
      </c>
      <c r="P583">
        <v>0</v>
      </c>
      <c r="Q583">
        <v>26291.710433609001</v>
      </c>
      <c r="R583">
        <v>17136.900000000001</v>
      </c>
      <c r="S583">
        <v>78124.925576066365</v>
      </c>
      <c r="T583">
        <v>0</v>
      </c>
      <c r="U583">
        <v>0</v>
      </c>
      <c r="V583">
        <v>332423.83</v>
      </c>
      <c r="W583">
        <v>0</v>
      </c>
      <c r="X583">
        <v>0</v>
      </c>
      <c r="Y583">
        <v>453977.36600967537</v>
      </c>
      <c r="Z583">
        <v>28738.412890324649</v>
      </c>
      <c r="AA583">
        <v>482715.77890000003</v>
      </c>
      <c r="AB583" t="s">
        <v>242</v>
      </c>
      <c r="AC583">
        <v>1</v>
      </c>
      <c r="AD583">
        <v>4000</v>
      </c>
      <c r="AE583">
        <v>0</v>
      </c>
      <c r="AF583">
        <v>0</v>
      </c>
      <c r="AG583">
        <v>236.63600967535513</v>
      </c>
      <c r="AH583" t="s">
        <v>72</v>
      </c>
    </row>
    <row r="584" spans="1:34" x14ac:dyDescent="0.3">
      <c r="A584" t="s">
        <v>798</v>
      </c>
      <c r="B584">
        <v>4302300031</v>
      </c>
      <c r="C584">
        <v>901014009726</v>
      </c>
      <c r="D584" t="s">
        <v>226</v>
      </c>
      <c r="E584" t="s">
        <v>447</v>
      </c>
      <c r="F584" t="s">
        <v>433</v>
      </c>
      <c r="G584" t="s">
        <v>82</v>
      </c>
      <c r="H584" t="s">
        <v>83</v>
      </c>
      <c r="J584" t="s">
        <v>52</v>
      </c>
      <c r="K584" s="15">
        <v>4500</v>
      </c>
      <c r="L584" s="15">
        <v>0</v>
      </c>
      <c r="M584" s="13">
        <v>45092</v>
      </c>
      <c r="O584">
        <v>0</v>
      </c>
      <c r="P584">
        <v>0</v>
      </c>
      <c r="Q584">
        <v>26344.897977097389</v>
      </c>
      <c r="R584">
        <v>17745.22</v>
      </c>
      <c r="S584">
        <v>81780.60422701179</v>
      </c>
      <c r="T584">
        <v>0</v>
      </c>
      <c r="U584">
        <v>0</v>
      </c>
      <c r="V584">
        <v>367732.35</v>
      </c>
      <c r="W584">
        <v>0</v>
      </c>
      <c r="X584">
        <v>0</v>
      </c>
      <c r="Y584">
        <v>493603.07220410916</v>
      </c>
      <c r="Z584">
        <v>31465.906795890827</v>
      </c>
      <c r="AA584">
        <v>525068.97900000005</v>
      </c>
      <c r="AB584" t="s">
        <v>242</v>
      </c>
      <c r="AC584">
        <v>1</v>
      </c>
      <c r="AD584">
        <v>4500</v>
      </c>
      <c r="AE584">
        <v>0</v>
      </c>
      <c r="AF584">
        <v>0</v>
      </c>
      <c r="AG584">
        <v>268.08220410917511</v>
      </c>
      <c r="AH584" t="s">
        <v>72</v>
      </c>
    </row>
    <row r="585" spans="1:34" x14ac:dyDescent="0.3">
      <c r="A585" t="s">
        <v>798</v>
      </c>
      <c r="B585">
        <v>4302300032</v>
      </c>
      <c r="C585">
        <v>901014009730</v>
      </c>
      <c r="D585" t="s">
        <v>226</v>
      </c>
      <c r="E585" t="s">
        <v>447</v>
      </c>
      <c r="F585" t="s">
        <v>433</v>
      </c>
      <c r="G585" t="s">
        <v>82</v>
      </c>
      <c r="H585" t="s">
        <v>83</v>
      </c>
      <c r="J585" t="s">
        <v>52</v>
      </c>
      <c r="K585" s="15">
        <v>4500</v>
      </c>
      <c r="L585" s="15">
        <v>0</v>
      </c>
      <c r="M585" s="13">
        <v>45092</v>
      </c>
      <c r="O585">
        <v>0</v>
      </c>
      <c r="P585">
        <v>0</v>
      </c>
      <c r="Q585">
        <v>26310.334438227077</v>
      </c>
      <c r="R585">
        <v>16879.09</v>
      </c>
      <c r="S585">
        <v>81831.950711937301</v>
      </c>
      <c r="T585">
        <v>0</v>
      </c>
      <c r="U585">
        <v>0</v>
      </c>
      <c r="V585">
        <v>367159.58</v>
      </c>
      <c r="W585">
        <v>0</v>
      </c>
      <c r="X585">
        <v>0</v>
      </c>
      <c r="Y585">
        <v>492180.95515016443</v>
      </c>
      <c r="Z585">
        <v>31429.407149835617</v>
      </c>
      <c r="AA585">
        <v>523610.36230000004</v>
      </c>
      <c r="AB585" t="s">
        <v>242</v>
      </c>
      <c r="AC585">
        <v>1</v>
      </c>
      <c r="AD585">
        <v>4500</v>
      </c>
      <c r="AE585">
        <v>0</v>
      </c>
      <c r="AF585">
        <v>0</v>
      </c>
      <c r="AG585">
        <v>268.54515016438836</v>
      </c>
      <c r="AH585" t="s">
        <v>72</v>
      </c>
    </row>
    <row r="586" spans="1:34" x14ac:dyDescent="0.3">
      <c r="A586" t="s">
        <v>798</v>
      </c>
      <c r="B586">
        <v>4302300033</v>
      </c>
      <c r="C586">
        <v>901015003340</v>
      </c>
      <c r="D586" t="s">
        <v>226</v>
      </c>
      <c r="E586" t="s">
        <v>447</v>
      </c>
      <c r="F586" t="s">
        <v>433</v>
      </c>
      <c r="G586" t="s">
        <v>82</v>
      </c>
      <c r="H586" t="s">
        <v>83</v>
      </c>
      <c r="J586" t="s">
        <v>52</v>
      </c>
      <c r="K586" s="15">
        <v>15000</v>
      </c>
      <c r="L586" s="15">
        <v>0</v>
      </c>
      <c r="M586" s="13">
        <v>45092</v>
      </c>
      <c r="O586">
        <v>0</v>
      </c>
      <c r="P586">
        <v>0</v>
      </c>
      <c r="Q586">
        <v>88739.669069951982</v>
      </c>
      <c r="R586">
        <v>40974.17</v>
      </c>
      <c r="S586">
        <v>248169.4373178019</v>
      </c>
      <c r="T586">
        <v>0</v>
      </c>
      <c r="U586">
        <v>0</v>
      </c>
      <c r="V586">
        <v>1237914.08</v>
      </c>
      <c r="W586">
        <v>0</v>
      </c>
      <c r="X586">
        <v>0</v>
      </c>
      <c r="Y586">
        <v>1615797.356387754</v>
      </c>
      <c r="Z586">
        <v>104025.84621224615</v>
      </c>
      <c r="AA586">
        <v>1719823.2026000002</v>
      </c>
      <c r="AB586" t="s">
        <v>242</v>
      </c>
      <c r="AC586">
        <v>1</v>
      </c>
      <c r="AD586">
        <v>15000</v>
      </c>
      <c r="AE586">
        <v>0</v>
      </c>
      <c r="AF586">
        <v>0</v>
      </c>
      <c r="AG586">
        <v>902.48638775386826</v>
      </c>
      <c r="AH586" t="s">
        <v>72</v>
      </c>
    </row>
    <row r="587" spans="1:34" x14ac:dyDescent="0.3">
      <c r="A587" t="s">
        <v>798</v>
      </c>
      <c r="B587">
        <v>4302300035</v>
      </c>
      <c r="C587">
        <v>901015004175</v>
      </c>
      <c r="D587" t="s">
        <v>226</v>
      </c>
      <c r="E587" t="s">
        <v>447</v>
      </c>
      <c r="F587" t="s">
        <v>433</v>
      </c>
      <c r="G587" t="s">
        <v>82</v>
      </c>
      <c r="H587" t="s">
        <v>83</v>
      </c>
      <c r="J587" t="s">
        <v>52</v>
      </c>
      <c r="K587" s="15">
        <v>12000</v>
      </c>
      <c r="L587" s="15">
        <v>0</v>
      </c>
      <c r="M587" s="13">
        <v>45092</v>
      </c>
      <c r="O587">
        <v>0</v>
      </c>
      <c r="P587">
        <v>0</v>
      </c>
      <c r="Q587">
        <v>70772.052827040243</v>
      </c>
      <c r="R587">
        <v>21447.41</v>
      </c>
      <c r="S587">
        <v>175549.55997472873</v>
      </c>
      <c r="T587">
        <v>0</v>
      </c>
      <c r="U587">
        <v>0</v>
      </c>
      <c r="V587">
        <v>988232.46</v>
      </c>
      <c r="W587">
        <v>0</v>
      </c>
      <c r="X587">
        <v>0</v>
      </c>
      <c r="Y587">
        <v>1256001.4828017689</v>
      </c>
      <c r="Z587">
        <v>81464.74139823101</v>
      </c>
      <c r="AA587">
        <v>1337466.2242000001</v>
      </c>
      <c r="AB587" t="s">
        <v>242</v>
      </c>
      <c r="AC587">
        <v>1</v>
      </c>
      <c r="AD587">
        <v>12000</v>
      </c>
      <c r="AE587">
        <v>0</v>
      </c>
      <c r="AF587">
        <v>0</v>
      </c>
      <c r="AG587">
        <v>727.37280176898821</v>
      </c>
      <c r="AH587" t="s">
        <v>72</v>
      </c>
    </row>
    <row r="588" spans="1:34" x14ac:dyDescent="0.3">
      <c r="A588" t="s">
        <v>798</v>
      </c>
      <c r="B588">
        <v>4302300038</v>
      </c>
      <c r="C588">
        <v>901016002316</v>
      </c>
      <c r="D588" t="s">
        <v>226</v>
      </c>
      <c r="E588" t="s">
        <v>447</v>
      </c>
      <c r="F588" t="s">
        <v>433</v>
      </c>
      <c r="G588" t="s">
        <v>82</v>
      </c>
      <c r="H588" t="s">
        <v>83</v>
      </c>
      <c r="J588" t="s">
        <v>52</v>
      </c>
      <c r="K588" s="15">
        <v>3700</v>
      </c>
      <c r="L588" s="15">
        <v>0</v>
      </c>
      <c r="M588" s="13">
        <v>45092</v>
      </c>
      <c r="O588">
        <v>0</v>
      </c>
      <c r="P588">
        <v>0</v>
      </c>
      <c r="Q588">
        <v>20548.044951505555</v>
      </c>
      <c r="R588">
        <v>11130.72</v>
      </c>
      <c r="S588">
        <v>42653.213316349946</v>
      </c>
      <c r="T588">
        <v>0</v>
      </c>
      <c r="U588">
        <v>0</v>
      </c>
      <c r="V588">
        <v>290550.83</v>
      </c>
      <c r="W588">
        <v>0</v>
      </c>
      <c r="X588">
        <v>0</v>
      </c>
      <c r="Y588">
        <v>364882.80826785555</v>
      </c>
      <c r="Z588">
        <v>23324.2830321445</v>
      </c>
      <c r="AA588">
        <v>388207.09130000003</v>
      </c>
      <c r="AB588" t="s">
        <v>242</v>
      </c>
      <c r="AC588">
        <v>1</v>
      </c>
      <c r="AD588">
        <v>3700</v>
      </c>
      <c r="AE588">
        <v>0</v>
      </c>
      <c r="AF588">
        <v>0</v>
      </c>
      <c r="AG588">
        <v>221.0282678555036</v>
      </c>
      <c r="AH588" t="s">
        <v>72</v>
      </c>
    </row>
    <row r="589" spans="1:34" x14ac:dyDescent="0.3">
      <c r="A589" t="s">
        <v>798</v>
      </c>
      <c r="B589">
        <v>4302300039</v>
      </c>
      <c r="C589" t="s">
        <v>109</v>
      </c>
      <c r="D589" t="s">
        <v>226</v>
      </c>
      <c r="E589" t="s">
        <v>447</v>
      </c>
      <c r="F589" t="s">
        <v>433</v>
      </c>
      <c r="G589" t="s">
        <v>82</v>
      </c>
      <c r="H589" t="s">
        <v>83</v>
      </c>
      <c r="J589" t="s">
        <v>52</v>
      </c>
      <c r="K589" s="15">
        <v>3000</v>
      </c>
      <c r="L589" s="15">
        <v>0</v>
      </c>
      <c r="M589" s="13">
        <v>45092</v>
      </c>
      <c r="O589">
        <v>0</v>
      </c>
      <c r="P589">
        <v>0</v>
      </c>
      <c r="Q589">
        <v>17203.069753698957</v>
      </c>
      <c r="R589">
        <v>8959.7999999999993</v>
      </c>
      <c r="S589">
        <v>35159.534716169197</v>
      </c>
      <c r="T589">
        <v>0</v>
      </c>
      <c r="U589">
        <v>0</v>
      </c>
      <c r="V589">
        <v>243099.69</v>
      </c>
      <c r="W589">
        <v>0</v>
      </c>
      <c r="X589">
        <v>0</v>
      </c>
      <c r="Y589">
        <v>304422.09446986817</v>
      </c>
      <c r="Z589">
        <v>19478.145730131844</v>
      </c>
      <c r="AA589">
        <v>323900.2402</v>
      </c>
      <c r="AB589" t="s">
        <v>242</v>
      </c>
      <c r="AC589">
        <v>1</v>
      </c>
      <c r="AD589">
        <v>3000</v>
      </c>
      <c r="AE589">
        <v>0</v>
      </c>
      <c r="AF589">
        <v>0</v>
      </c>
      <c r="AG589">
        <v>179.38446986815597</v>
      </c>
      <c r="AH589" t="s">
        <v>72</v>
      </c>
    </row>
    <row r="590" spans="1:34" x14ac:dyDescent="0.3">
      <c r="A590" t="s">
        <v>798</v>
      </c>
      <c r="B590">
        <v>4302300040</v>
      </c>
      <c r="C590" t="s">
        <v>109</v>
      </c>
      <c r="D590" t="s">
        <v>226</v>
      </c>
      <c r="E590" t="s">
        <v>447</v>
      </c>
      <c r="F590" t="s">
        <v>433</v>
      </c>
      <c r="G590" t="s">
        <v>82</v>
      </c>
      <c r="H590" t="s">
        <v>83</v>
      </c>
      <c r="J590" t="s">
        <v>52</v>
      </c>
      <c r="K590" s="15">
        <v>3600</v>
      </c>
      <c r="L590" s="15">
        <v>0</v>
      </c>
      <c r="M590" s="13">
        <v>45092</v>
      </c>
      <c r="O590">
        <v>0</v>
      </c>
      <c r="P590">
        <v>0</v>
      </c>
      <c r="Q590">
        <v>20353.883106881527</v>
      </c>
      <c r="R590">
        <v>10168.799999999999</v>
      </c>
      <c r="S590">
        <v>42427.362423475206</v>
      </c>
      <c r="T590">
        <v>0</v>
      </c>
      <c r="U590">
        <v>0</v>
      </c>
      <c r="V590">
        <v>287619.63</v>
      </c>
      <c r="W590">
        <v>0</v>
      </c>
      <c r="X590">
        <v>0</v>
      </c>
      <c r="Y590">
        <v>360569.6755303567</v>
      </c>
      <c r="Z590">
        <v>23103.289469643267</v>
      </c>
      <c r="AA590">
        <v>383672.96499999997</v>
      </c>
      <c r="AB590" t="s">
        <v>242</v>
      </c>
      <c r="AC590">
        <v>1</v>
      </c>
      <c r="AD590">
        <v>3600</v>
      </c>
      <c r="AE590">
        <v>0</v>
      </c>
      <c r="AF590">
        <v>0</v>
      </c>
      <c r="AG590">
        <v>215.56553035673505</v>
      </c>
      <c r="AH590" t="s">
        <v>72</v>
      </c>
    </row>
    <row r="591" spans="1:34" x14ac:dyDescent="0.3">
      <c r="A591" t="s">
        <v>798</v>
      </c>
      <c r="B591">
        <v>12200077</v>
      </c>
      <c r="C591">
        <v>25066692</v>
      </c>
      <c r="D591" s="38" t="s">
        <v>256</v>
      </c>
      <c r="E591" t="s">
        <v>436</v>
      </c>
      <c r="F591" t="s">
        <v>427</v>
      </c>
      <c r="G591" t="s">
        <v>82</v>
      </c>
      <c r="H591" t="s">
        <v>82</v>
      </c>
      <c r="J591" s="37" t="s">
        <v>449</v>
      </c>
      <c r="K591">
        <v>60000</v>
      </c>
      <c r="L591" s="15">
        <v>1502</v>
      </c>
      <c r="M591" s="13">
        <v>45093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171861.01004300994</v>
      </c>
      <c r="W591">
        <v>0</v>
      </c>
      <c r="X591">
        <v>0</v>
      </c>
      <c r="Y591">
        <v>171861.01004300994</v>
      </c>
      <c r="Z591">
        <v>0</v>
      </c>
      <c r="AA591">
        <v>171861.01004300994</v>
      </c>
      <c r="AB591" t="s">
        <v>242</v>
      </c>
      <c r="AC591">
        <v>1</v>
      </c>
      <c r="AD591">
        <v>58498</v>
      </c>
      <c r="AE591">
        <v>0</v>
      </c>
      <c r="AF591">
        <v>0</v>
      </c>
      <c r="AG591">
        <v>0</v>
      </c>
      <c r="AH591" t="s">
        <v>72</v>
      </c>
    </row>
    <row r="592" spans="1:34" x14ac:dyDescent="0.3">
      <c r="A592" t="s">
        <v>798</v>
      </c>
      <c r="B592">
        <v>52201220</v>
      </c>
      <c r="C592">
        <v>25378599</v>
      </c>
      <c r="D592" t="s">
        <v>150</v>
      </c>
      <c r="E592" t="s">
        <v>438</v>
      </c>
      <c r="F592" t="s">
        <v>431</v>
      </c>
      <c r="G592" t="s">
        <v>82</v>
      </c>
      <c r="H592" t="s">
        <v>83</v>
      </c>
      <c r="J592" t="s">
        <v>52</v>
      </c>
      <c r="K592" s="15">
        <v>2000</v>
      </c>
      <c r="L592" s="15">
        <v>0</v>
      </c>
      <c r="M592" s="13">
        <v>45093</v>
      </c>
      <c r="O592">
        <v>0</v>
      </c>
      <c r="P592">
        <v>0</v>
      </c>
      <c r="Q592">
        <v>0</v>
      </c>
      <c r="R592">
        <v>725.64022525296446</v>
      </c>
      <c r="S592">
        <v>18330.553206295597</v>
      </c>
      <c r="T592">
        <v>0</v>
      </c>
      <c r="U592">
        <v>0</v>
      </c>
      <c r="V592">
        <v>79718.38097920474</v>
      </c>
      <c r="W592">
        <v>0</v>
      </c>
      <c r="X592">
        <v>0</v>
      </c>
      <c r="Y592">
        <v>98774.574410753296</v>
      </c>
      <c r="Z592">
        <v>6863.4253929850247</v>
      </c>
      <c r="AA592">
        <v>105637.99980373832</v>
      </c>
      <c r="AB592" t="s">
        <v>242</v>
      </c>
      <c r="AC592">
        <v>4</v>
      </c>
      <c r="AD592">
        <v>9000</v>
      </c>
      <c r="AE592">
        <v>0</v>
      </c>
      <c r="AF592">
        <v>0</v>
      </c>
      <c r="AG592">
        <v>584.44375305393237</v>
      </c>
      <c r="AH592" t="s">
        <v>58</v>
      </c>
    </row>
    <row r="593" spans="1:34" x14ac:dyDescent="0.3">
      <c r="A593" t="s">
        <v>798</v>
      </c>
      <c r="B593">
        <v>52201548</v>
      </c>
      <c r="C593">
        <v>26585613</v>
      </c>
      <c r="D593" t="s">
        <v>881</v>
      </c>
      <c r="E593" t="s">
        <v>438</v>
      </c>
      <c r="F593" t="s">
        <v>431</v>
      </c>
      <c r="G593" t="s">
        <v>82</v>
      </c>
      <c r="H593" t="s">
        <v>83</v>
      </c>
      <c r="J593" t="s">
        <v>52</v>
      </c>
      <c r="K593" s="15">
        <v>500</v>
      </c>
      <c r="L593" s="15">
        <v>0</v>
      </c>
      <c r="M593" s="13">
        <v>45093</v>
      </c>
      <c r="O593">
        <v>0</v>
      </c>
      <c r="P593">
        <v>0</v>
      </c>
      <c r="Q593">
        <v>0</v>
      </c>
      <c r="R593">
        <v>983.99035319412701</v>
      </c>
      <c r="S593">
        <v>27810.188146759228</v>
      </c>
      <c r="T593">
        <v>0</v>
      </c>
      <c r="U593">
        <v>0</v>
      </c>
      <c r="V593">
        <v>53105.707967345952</v>
      </c>
      <c r="W593">
        <v>0</v>
      </c>
      <c r="X593">
        <v>0</v>
      </c>
      <c r="Y593">
        <v>81899.886467299308</v>
      </c>
      <c r="Z593">
        <v>5664.1127279873635</v>
      </c>
      <c r="AA593">
        <v>87563.999195286669</v>
      </c>
      <c r="AB593" t="s">
        <v>242</v>
      </c>
      <c r="AC593">
        <v>1</v>
      </c>
      <c r="AD593">
        <v>500</v>
      </c>
      <c r="AE593">
        <v>0</v>
      </c>
      <c r="AF593">
        <v>0</v>
      </c>
      <c r="AG593">
        <v>32.317125909896163</v>
      </c>
      <c r="AH593" t="s">
        <v>72</v>
      </c>
    </row>
    <row r="594" spans="1:34" x14ac:dyDescent="0.3">
      <c r="A594" t="s">
        <v>798</v>
      </c>
      <c r="B594">
        <v>52201828</v>
      </c>
      <c r="C594">
        <v>25536725</v>
      </c>
      <c r="D594" t="s">
        <v>166</v>
      </c>
      <c r="E594" t="s">
        <v>438</v>
      </c>
      <c r="F594" t="s">
        <v>431</v>
      </c>
      <c r="G594" t="s">
        <v>82</v>
      </c>
      <c r="H594" t="s">
        <v>83</v>
      </c>
      <c r="J594" t="s">
        <v>52</v>
      </c>
      <c r="K594" s="15">
        <v>1500</v>
      </c>
      <c r="L594" s="15">
        <v>0</v>
      </c>
      <c r="M594" s="13">
        <v>45093</v>
      </c>
      <c r="O594">
        <v>0</v>
      </c>
      <c r="P594">
        <v>0</v>
      </c>
      <c r="Q594">
        <v>0</v>
      </c>
      <c r="R594">
        <v>923.1429037463522</v>
      </c>
      <c r="S594">
        <v>20851.13953004072</v>
      </c>
      <c r="T594">
        <v>0</v>
      </c>
      <c r="U594">
        <v>0</v>
      </c>
      <c r="V594">
        <v>46273.024665951423</v>
      </c>
      <c r="W594">
        <v>0</v>
      </c>
      <c r="X594">
        <v>0</v>
      </c>
      <c r="Y594">
        <v>68047.307099738493</v>
      </c>
      <c r="Z594">
        <v>4698.6914937194506</v>
      </c>
      <c r="AA594">
        <v>72745.998593457945</v>
      </c>
      <c r="AB594" t="s">
        <v>242</v>
      </c>
      <c r="AC594">
        <v>5</v>
      </c>
      <c r="AD594">
        <v>8500</v>
      </c>
      <c r="AE594">
        <v>0</v>
      </c>
      <c r="AF594">
        <v>0</v>
      </c>
      <c r="AG594">
        <v>548.49533015163047</v>
      </c>
      <c r="AH594" t="s">
        <v>58</v>
      </c>
    </row>
    <row r="595" spans="1:34" x14ac:dyDescent="0.3">
      <c r="A595" t="s">
        <v>798</v>
      </c>
      <c r="B595">
        <v>52200151</v>
      </c>
      <c r="C595" t="s">
        <v>605</v>
      </c>
      <c r="D595" t="s">
        <v>604</v>
      </c>
      <c r="E595" t="s">
        <v>436</v>
      </c>
      <c r="F595" t="s">
        <v>431</v>
      </c>
      <c r="G595" t="s">
        <v>82</v>
      </c>
      <c r="H595" t="s">
        <v>83</v>
      </c>
      <c r="J595" t="s">
        <v>52</v>
      </c>
      <c r="K595" s="15">
        <v>2000</v>
      </c>
      <c r="M595" s="13">
        <v>45093</v>
      </c>
      <c r="O595">
        <v>0</v>
      </c>
      <c r="P595">
        <v>0</v>
      </c>
      <c r="Q595">
        <v>0</v>
      </c>
      <c r="R595">
        <v>645.32069235657684</v>
      </c>
      <c r="S595">
        <v>22177.548285595651</v>
      </c>
      <c r="T595">
        <v>0</v>
      </c>
      <c r="U595">
        <v>0</v>
      </c>
      <c r="V595">
        <v>85797.853792470967</v>
      </c>
      <c r="W595">
        <v>0</v>
      </c>
      <c r="X595">
        <v>0</v>
      </c>
      <c r="Y595">
        <v>108620.72277042319</v>
      </c>
      <c r="Z595">
        <v>7558.2781454646638</v>
      </c>
      <c r="AA595">
        <v>116179.00091588785</v>
      </c>
      <c r="AB595" t="s">
        <v>242</v>
      </c>
      <c r="AC595">
        <v>3</v>
      </c>
      <c r="AD595">
        <v>8000</v>
      </c>
      <c r="AE595">
        <v>0</v>
      </c>
      <c r="AF595">
        <v>0</v>
      </c>
      <c r="AG595">
        <v>520.2452789392155</v>
      </c>
      <c r="AH595" t="s">
        <v>58</v>
      </c>
    </row>
    <row r="596" spans="1:34" x14ac:dyDescent="0.3">
      <c r="A596" t="s">
        <v>798</v>
      </c>
      <c r="B596">
        <v>52200012</v>
      </c>
      <c r="C596" t="s">
        <v>638</v>
      </c>
      <c r="D596" t="s">
        <v>637</v>
      </c>
      <c r="E596" t="s">
        <v>435</v>
      </c>
      <c r="F596" t="s">
        <v>431</v>
      </c>
      <c r="G596" t="s">
        <v>230</v>
      </c>
      <c r="H596" t="s">
        <v>231</v>
      </c>
      <c r="J596" t="s">
        <v>52</v>
      </c>
      <c r="K596" s="15">
        <v>2500</v>
      </c>
      <c r="M596" s="13">
        <v>45095</v>
      </c>
      <c r="O596">
        <v>5094.1336088165053</v>
      </c>
      <c r="P596">
        <v>0</v>
      </c>
      <c r="Q596">
        <v>0</v>
      </c>
      <c r="R596">
        <v>0</v>
      </c>
      <c r="S596">
        <v>0</v>
      </c>
      <c r="T596">
        <v>28080.248963722883</v>
      </c>
      <c r="U596">
        <v>0</v>
      </c>
      <c r="V596">
        <v>0</v>
      </c>
      <c r="W596">
        <v>42990.654205607476</v>
      </c>
      <c r="X596">
        <v>0</v>
      </c>
      <c r="Y596">
        <v>76165.036778146867</v>
      </c>
      <c r="Z596">
        <v>4974.9632218531251</v>
      </c>
      <c r="AA596">
        <v>81139.999999999985</v>
      </c>
      <c r="AB596" t="s">
        <v>242</v>
      </c>
      <c r="AC596">
        <v>4</v>
      </c>
      <c r="AD596">
        <v>10500</v>
      </c>
      <c r="AE596">
        <v>0</v>
      </c>
      <c r="AF596">
        <v>0</v>
      </c>
      <c r="AG596">
        <v>640.73771272631348</v>
      </c>
      <c r="AH596" t="s">
        <v>58</v>
      </c>
    </row>
    <row r="597" spans="1:34" x14ac:dyDescent="0.3">
      <c r="A597" t="s">
        <v>798</v>
      </c>
      <c r="B597">
        <v>42201165</v>
      </c>
      <c r="C597">
        <v>2756017724</v>
      </c>
      <c r="D597" s="38" t="s">
        <v>257</v>
      </c>
      <c r="E597" t="s">
        <v>439</v>
      </c>
      <c r="F597" t="s">
        <v>430</v>
      </c>
      <c r="G597" t="s">
        <v>237</v>
      </c>
      <c r="H597" t="s">
        <v>234</v>
      </c>
      <c r="J597" s="37" t="s">
        <v>425</v>
      </c>
      <c r="K597">
        <v>220000</v>
      </c>
      <c r="L597" s="15">
        <v>94</v>
      </c>
      <c r="M597" s="13">
        <v>45096</v>
      </c>
      <c r="O597">
        <v>94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180385.046728972</v>
      </c>
      <c r="Y597">
        <v>180479.046728972</v>
      </c>
      <c r="Z597">
        <v>12626.953271028042</v>
      </c>
      <c r="AA597">
        <v>193106.00000000003</v>
      </c>
      <c r="AB597" t="s">
        <v>242</v>
      </c>
      <c r="AC597">
        <v>0</v>
      </c>
      <c r="AD597">
        <v>0</v>
      </c>
      <c r="AE597">
        <v>0</v>
      </c>
      <c r="AF597">
        <v>235400</v>
      </c>
      <c r="AG597">
        <v>15400</v>
      </c>
      <c r="AH597" t="s">
        <v>72</v>
      </c>
    </row>
    <row r="598" spans="1:34" x14ac:dyDescent="0.3">
      <c r="A598" t="s">
        <v>798</v>
      </c>
      <c r="B598">
        <v>2200015</v>
      </c>
      <c r="C598">
        <v>20972229</v>
      </c>
      <c r="D598" t="s">
        <v>76</v>
      </c>
      <c r="E598" t="s">
        <v>435</v>
      </c>
      <c r="F598" t="s">
        <v>426</v>
      </c>
      <c r="G598" t="s">
        <v>82</v>
      </c>
      <c r="H598" t="s">
        <v>82</v>
      </c>
      <c r="J598" t="s">
        <v>52</v>
      </c>
      <c r="K598" s="15">
        <v>1000</v>
      </c>
      <c r="L598" s="15">
        <v>0</v>
      </c>
      <c r="M598" s="13">
        <v>45096</v>
      </c>
      <c r="O598">
        <v>0</v>
      </c>
      <c r="P598">
        <v>0</v>
      </c>
      <c r="Q598">
        <v>0</v>
      </c>
      <c r="R598">
        <v>0</v>
      </c>
      <c r="S598">
        <v>8809.5975322232734</v>
      </c>
      <c r="T598">
        <v>0</v>
      </c>
      <c r="U598">
        <v>0</v>
      </c>
      <c r="V598">
        <v>122323.98354815517</v>
      </c>
      <c r="W598">
        <v>0</v>
      </c>
      <c r="X598">
        <v>0</v>
      </c>
      <c r="Y598">
        <v>131133.58108037844</v>
      </c>
      <c r="Z598">
        <v>0</v>
      </c>
      <c r="AA598">
        <v>131133.58108037844</v>
      </c>
      <c r="AB598" t="s">
        <v>242</v>
      </c>
      <c r="AC598">
        <v>11</v>
      </c>
      <c r="AD598">
        <v>11000</v>
      </c>
      <c r="AE598">
        <v>0</v>
      </c>
      <c r="AF598">
        <v>0</v>
      </c>
      <c r="AG598">
        <v>0</v>
      </c>
      <c r="AH598" t="s">
        <v>58</v>
      </c>
    </row>
    <row r="599" spans="1:34" x14ac:dyDescent="0.3">
      <c r="A599" t="s">
        <v>798</v>
      </c>
      <c r="B599">
        <v>52201645</v>
      </c>
      <c r="C599">
        <v>26580827</v>
      </c>
      <c r="D599" t="s">
        <v>163</v>
      </c>
      <c r="E599" t="s">
        <v>438</v>
      </c>
      <c r="F599" t="s">
        <v>431</v>
      </c>
      <c r="G599" t="s">
        <v>82</v>
      </c>
      <c r="H599" t="s">
        <v>83</v>
      </c>
      <c r="J599" t="s">
        <v>52</v>
      </c>
      <c r="K599" s="15">
        <v>20000</v>
      </c>
      <c r="L599" s="15">
        <v>0</v>
      </c>
      <c r="M599" s="13">
        <v>45096</v>
      </c>
      <c r="O599">
        <v>0</v>
      </c>
      <c r="P599">
        <v>0</v>
      </c>
      <c r="Q599">
        <v>0</v>
      </c>
      <c r="R599">
        <v>776.50884140215965</v>
      </c>
      <c r="S599">
        <v>47530.67125513871</v>
      </c>
      <c r="T599">
        <v>0</v>
      </c>
      <c r="U599">
        <v>0</v>
      </c>
      <c r="V599">
        <v>88638.947347097012</v>
      </c>
      <c r="W599">
        <v>0</v>
      </c>
      <c r="X599">
        <v>0</v>
      </c>
      <c r="Y599">
        <v>136946.12744363787</v>
      </c>
      <c r="Z599">
        <v>9531.8733021565004</v>
      </c>
      <c r="AA599">
        <v>146478.00074579439</v>
      </c>
      <c r="AB599" t="s">
        <v>242</v>
      </c>
      <c r="AC599">
        <v>1</v>
      </c>
      <c r="AD599">
        <v>20000</v>
      </c>
      <c r="AE599">
        <v>0</v>
      </c>
      <c r="AF599">
        <v>0</v>
      </c>
      <c r="AG599">
        <v>1300.9211391571516</v>
      </c>
      <c r="AH599" t="s">
        <v>72</v>
      </c>
    </row>
    <row r="600" spans="1:34" x14ac:dyDescent="0.3">
      <c r="A600" t="s">
        <v>798</v>
      </c>
      <c r="B600">
        <v>52201974</v>
      </c>
      <c r="C600">
        <v>28121068</v>
      </c>
      <c r="D600" t="s">
        <v>890</v>
      </c>
      <c r="E600" t="s">
        <v>438</v>
      </c>
      <c r="F600" t="s">
        <v>431</v>
      </c>
      <c r="G600" t="s">
        <v>82</v>
      </c>
      <c r="H600" t="s">
        <v>83</v>
      </c>
      <c r="J600" t="s">
        <v>52</v>
      </c>
      <c r="K600" s="15">
        <v>2000</v>
      </c>
      <c r="L600" s="15">
        <v>0</v>
      </c>
      <c r="M600" s="13">
        <v>45096</v>
      </c>
      <c r="O600">
        <v>0</v>
      </c>
      <c r="P600">
        <v>0</v>
      </c>
      <c r="Q600">
        <v>0</v>
      </c>
      <c r="R600">
        <v>827.04526942034624</v>
      </c>
      <c r="S600">
        <v>22284.932378505604</v>
      </c>
      <c r="T600">
        <v>0</v>
      </c>
      <c r="U600">
        <v>0</v>
      </c>
      <c r="V600">
        <v>41759.885530237712</v>
      </c>
      <c r="W600">
        <v>0</v>
      </c>
      <c r="X600">
        <v>0</v>
      </c>
      <c r="Y600">
        <v>64871.863178163665</v>
      </c>
      <c r="Z600">
        <v>4483.1372536120325</v>
      </c>
      <c r="AA600">
        <v>69355.000431775698</v>
      </c>
      <c r="AB600" t="s">
        <v>242</v>
      </c>
      <c r="AC600">
        <v>3</v>
      </c>
      <c r="AD600">
        <v>5000</v>
      </c>
      <c r="AE600">
        <v>0</v>
      </c>
      <c r="AF600">
        <v>0</v>
      </c>
      <c r="AG600">
        <v>322.91884940133127</v>
      </c>
      <c r="AH600" t="s">
        <v>58</v>
      </c>
    </row>
    <row r="601" spans="1:34" x14ac:dyDescent="0.3">
      <c r="A601" t="s">
        <v>798</v>
      </c>
      <c r="B601">
        <v>62200013</v>
      </c>
      <c r="C601">
        <v>20972385</v>
      </c>
      <c r="D601" t="s">
        <v>76</v>
      </c>
      <c r="E601" t="s">
        <v>435</v>
      </c>
      <c r="F601" t="s">
        <v>432</v>
      </c>
      <c r="G601" t="s">
        <v>82</v>
      </c>
      <c r="H601" t="s">
        <v>82</v>
      </c>
      <c r="J601" t="s">
        <v>52</v>
      </c>
      <c r="K601" s="15">
        <v>4000</v>
      </c>
      <c r="L601" s="15">
        <v>0</v>
      </c>
      <c r="M601" s="13">
        <v>45096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43665.191359418066</v>
      </c>
      <c r="W601">
        <v>0</v>
      </c>
      <c r="X601">
        <v>0</v>
      </c>
      <c r="Y601">
        <v>43665.191359418066</v>
      </c>
      <c r="Z601">
        <v>0</v>
      </c>
      <c r="AA601">
        <v>43665.191359418066</v>
      </c>
      <c r="AB601" t="s">
        <v>242</v>
      </c>
      <c r="AC601">
        <v>11</v>
      </c>
      <c r="AD601">
        <v>44000</v>
      </c>
      <c r="AE601">
        <v>0</v>
      </c>
      <c r="AF601">
        <v>0</v>
      </c>
      <c r="AG601">
        <v>0</v>
      </c>
      <c r="AH601" t="s">
        <v>58</v>
      </c>
    </row>
    <row r="602" spans="1:34" x14ac:dyDescent="0.3">
      <c r="A602" t="s">
        <v>798</v>
      </c>
      <c r="B602">
        <v>4142300108</v>
      </c>
      <c r="C602" t="s">
        <v>475</v>
      </c>
      <c r="D602" t="s">
        <v>548</v>
      </c>
      <c r="E602" t="s">
        <v>444</v>
      </c>
      <c r="F602" t="s">
        <v>430</v>
      </c>
      <c r="G602" t="s">
        <v>230</v>
      </c>
      <c r="H602" t="s">
        <v>231</v>
      </c>
      <c r="J602" t="s">
        <v>416</v>
      </c>
      <c r="K602" s="15">
        <v>6.2667380824852681E-2</v>
      </c>
      <c r="L602" s="15">
        <v>0</v>
      </c>
      <c r="M602" s="13">
        <v>45096</v>
      </c>
      <c r="O602">
        <v>0</v>
      </c>
      <c r="P602">
        <v>3749.3304767005893</v>
      </c>
      <c r="Q602">
        <v>0</v>
      </c>
      <c r="R602">
        <v>0</v>
      </c>
      <c r="S602">
        <v>0</v>
      </c>
      <c r="T602">
        <v>17730.478702901852</v>
      </c>
      <c r="U602">
        <v>17345.033513708335</v>
      </c>
      <c r="V602">
        <v>0</v>
      </c>
      <c r="W602">
        <v>157682.12285189395</v>
      </c>
      <c r="X602">
        <v>0</v>
      </c>
      <c r="Y602">
        <v>196506.96554520473</v>
      </c>
      <c r="Z602">
        <v>13493.034454795292</v>
      </c>
      <c r="AA602">
        <v>210000.00000000003</v>
      </c>
      <c r="AB602" t="s">
        <v>242</v>
      </c>
      <c r="AC602">
        <v>0</v>
      </c>
      <c r="AD602">
        <v>0</v>
      </c>
      <c r="AE602">
        <v>0</v>
      </c>
      <c r="AF602">
        <v>0</v>
      </c>
      <c r="AG602">
        <v>0</v>
      </c>
      <c r="AH602" t="s">
        <v>72</v>
      </c>
    </row>
    <row r="603" spans="1:34" x14ac:dyDescent="0.3">
      <c r="A603" t="s">
        <v>798</v>
      </c>
      <c r="B603">
        <v>4142300108</v>
      </c>
      <c r="C603" t="s">
        <v>475</v>
      </c>
      <c r="D603" t="s">
        <v>548</v>
      </c>
      <c r="E603" t="s">
        <v>444</v>
      </c>
      <c r="F603" t="s">
        <v>430</v>
      </c>
      <c r="G603" t="s">
        <v>421</v>
      </c>
      <c r="H603" t="s">
        <v>231</v>
      </c>
      <c r="J603" t="s">
        <v>52</v>
      </c>
      <c r="K603" s="15">
        <v>210000</v>
      </c>
      <c r="L603" s="15">
        <v>0</v>
      </c>
      <c r="M603" s="13">
        <v>45096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">
        <v>242</v>
      </c>
      <c r="AC603">
        <v>1</v>
      </c>
      <c r="AD603">
        <v>210000</v>
      </c>
      <c r="AE603">
        <v>0</v>
      </c>
      <c r="AF603">
        <v>0</v>
      </c>
      <c r="AG603">
        <v>13493.034454795299</v>
      </c>
      <c r="AH603" t="s">
        <v>58</v>
      </c>
    </row>
    <row r="604" spans="1:34" x14ac:dyDescent="0.3">
      <c r="A604" t="s">
        <v>798</v>
      </c>
      <c r="B604">
        <v>52201007</v>
      </c>
      <c r="C604">
        <v>25682794</v>
      </c>
      <c r="D604" t="s">
        <v>868</v>
      </c>
      <c r="E604" t="s">
        <v>438</v>
      </c>
      <c r="F604" t="s">
        <v>431</v>
      </c>
      <c r="G604" t="s">
        <v>82</v>
      </c>
      <c r="H604" t="s">
        <v>83</v>
      </c>
      <c r="J604" t="s">
        <v>52</v>
      </c>
      <c r="K604" s="15">
        <v>1587</v>
      </c>
      <c r="L604" s="15">
        <v>0</v>
      </c>
      <c r="M604" s="13">
        <v>45097</v>
      </c>
      <c r="O604">
        <v>0</v>
      </c>
      <c r="P604">
        <v>0</v>
      </c>
      <c r="Q604">
        <v>0</v>
      </c>
      <c r="R604">
        <v>1084.9136793676178</v>
      </c>
      <c r="S604">
        <v>38319.587499779424</v>
      </c>
      <c r="T604">
        <v>0</v>
      </c>
      <c r="U604">
        <v>0</v>
      </c>
      <c r="V604">
        <v>58098.249805478597</v>
      </c>
      <c r="W604">
        <v>0</v>
      </c>
      <c r="X604">
        <v>0</v>
      </c>
      <c r="Y604">
        <v>97502.750984625629</v>
      </c>
      <c r="Z604">
        <v>6749.2486113680625</v>
      </c>
      <c r="AA604">
        <v>104251.99959599369</v>
      </c>
      <c r="AB604" t="s">
        <v>242</v>
      </c>
      <c r="AC604">
        <v>3</v>
      </c>
      <c r="AD604">
        <v>4761</v>
      </c>
      <c r="AE604">
        <v>0</v>
      </c>
      <c r="AF604">
        <v>0</v>
      </c>
      <c r="AG604">
        <v>307.99435285582558</v>
      </c>
      <c r="AH604" t="s">
        <v>58</v>
      </c>
    </row>
    <row r="605" spans="1:34" x14ac:dyDescent="0.3">
      <c r="A605" t="s">
        <v>798</v>
      </c>
      <c r="B605">
        <v>52201039</v>
      </c>
      <c r="C605">
        <v>29379502</v>
      </c>
      <c r="D605" t="s">
        <v>146</v>
      </c>
      <c r="E605" t="s">
        <v>438</v>
      </c>
      <c r="F605" t="s">
        <v>431</v>
      </c>
      <c r="G605" t="s">
        <v>82</v>
      </c>
      <c r="H605" t="s">
        <v>83</v>
      </c>
      <c r="J605" t="s">
        <v>52</v>
      </c>
      <c r="K605" s="15">
        <v>1500</v>
      </c>
      <c r="L605" s="15">
        <v>0</v>
      </c>
      <c r="M605" s="13">
        <v>45097</v>
      </c>
      <c r="O605">
        <v>0</v>
      </c>
      <c r="P605">
        <v>0</v>
      </c>
      <c r="Q605">
        <v>0</v>
      </c>
      <c r="R605">
        <v>969.95453360101067</v>
      </c>
      <c r="S605">
        <v>22537.564412156065</v>
      </c>
      <c r="T605">
        <v>0</v>
      </c>
      <c r="U605">
        <v>0</v>
      </c>
      <c r="V605">
        <v>49170.889355899591</v>
      </c>
      <c r="W605">
        <v>0</v>
      </c>
      <c r="X605">
        <v>0</v>
      </c>
      <c r="Y605">
        <v>72678.408301656673</v>
      </c>
      <c r="Z605">
        <v>5019.5917637638959</v>
      </c>
      <c r="AA605">
        <v>77698.000065420565</v>
      </c>
      <c r="AB605" t="s">
        <v>242</v>
      </c>
      <c r="AC605">
        <v>1</v>
      </c>
      <c r="AD605">
        <v>1500</v>
      </c>
      <c r="AE605">
        <v>0</v>
      </c>
      <c r="AF605">
        <v>0</v>
      </c>
      <c r="AG605">
        <v>96.819455469224977</v>
      </c>
      <c r="AH605" t="s">
        <v>72</v>
      </c>
    </row>
    <row r="606" spans="1:34" x14ac:dyDescent="0.3">
      <c r="A606" t="s">
        <v>798</v>
      </c>
      <c r="B606">
        <v>52201277</v>
      </c>
      <c r="C606">
        <v>26285645</v>
      </c>
      <c r="D606" t="s">
        <v>153</v>
      </c>
      <c r="E606" t="s">
        <v>438</v>
      </c>
      <c r="F606" t="s">
        <v>431</v>
      </c>
      <c r="G606" t="s">
        <v>82</v>
      </c>
      <c r="H606" t="s">
        <v>83</v>
      </c>
      <c r="J606" t="s">
        <v>52</v>
      </c>
      <c r="K606" s="15">
        <v>2000</v>
      </c>
      <c r="L606" s="15">
        <v>0</v>
      </c>
      <c r="M606" s="13">
        <v>45097</v>
      </c>
      <c r="O606">
        <v>0</v>
      </c>
      <c r="P606">
        <v>0</v>
      </c>
      <c r="Q606">
        <v>0</v>
      </c>
      <c r="R606">
        <v>859.36013115765445</v>
      </c>
      <c r="S606">
        <v>38095.190937228719</v>
      </c>
      <c r="T606">
        <v>0</v>
      </c>
      <c r="U606">
        <v>0</v>
      </c>
      <c r="V606">
        <v>56278.303900452571</v>
      </c>
      <c r="W606">
        <v>0</v>
      </c>
      <c r="X606">
        <v>0</v>
      </c>
      <c r="Y606">
        <v>95232.854968838947</v>
      </c>
      <c r="Z606">
        <v>6606.1446386376911</v>
      </c>
      <c r="AA606">
        <v>101838.99960747664</v>
      </c>
      <c r="AB606" t="s">
        <v>242</v>
      </c>
      <c r="AC606">
        <v>2</v>
      </c>
      <c r="AD606">
        <v>3500</v>
      </c>
      <c r="AE606">
        <v>0</v>
      </c>
      <c r="AF606">
        <v>0</v>
      </c>
      <c r="AG606">
        <v>226.90206465517372</v>
      </c>
      <c r="AH606" t="s">
        <v>58</v>
      </c>
    </row>
    <row r="607" spans="1:34" x14ac:dyDescent="0.3">
      <c r="A607" t="s">
        <v>798</v>
      </c>
      <c r="B607">
        <v>62200129</v>
      </c>
      <c r="C607" t="s">
        <v>803</v>
      </c>
      <c r="D607" t="s">
        <v>897</v>
      </c>
      <c r="E607" t="s">
        <v>437</v>
      </c>
      <c r="F607" t="s">
        <v>432</v>
      </c>
      <c r="G607" t="s">
        <v>235</v>
      </c>
      <c r="H607" t="s">
        <v>235</v>
      </c>
      <c r="J607" t="s">
        <v>52</v>
      </c>
      <c r="K607" s="15">
        <v>2000</v>
      </c>
      <c r="L607" s="15">
        <v>0</v>
      </c>
      <c r="M607" s="13">
        <v>45097</v>
      </c>
      <c r="O607">
        <v>0</v>
      </c>
      <c r="P607">
        <v>0</v>
      </c>
      <c r="Q607">
        <v>0</v>
      </c>
      <c r="R607">
        <v>0</v>
      </c>
      <c r="S607">
        <v>7538.3985863013695</v>
      </c>
      <c r="T607">
        <v>0</v>
      </c>
      <c r="U607">
        <v>0</v>
      </c>
      <c r="V607">
        <v>17834.86</v>
      </c>
      <c r="W607">
        <v>0</v>
      </c>
      <c r="X607">
        <v>0</v>
      </c>
      <c r="Y607">
        <v>25373.25858630137</v>
      </c>
      <c r="Z607">
        <v>0</v>
      </c>
      <c r="AA607">
        <v>25373.25858630137</v>
      </c>
      <c r="AB607" t="s">
        <v>242</v>
      </c>
      <c r="AC607">
        <v>2</v>
      </c>
      <c r="AD607">
        <v>4000</v>
      </c>
      <c r="AE607">
        <v>0</v>
      </c>
      <c r="AF607">
        <v>0</v>
      </c>
      <c r="AG607">
        <v>0</v>
      </c>
      <c r="AH607" t="s">
        <v>58</v>
      </c>
    </row>
    <row r="608" spans="1:34" x14ac:dyDescent="0.3">
      <c r="A608" t="s">
        <v>798</v>
      </c>
      <c r="B608">
        <v>32200047</v>
      </c>
      <c r="C608" t="s">
        <v>343</v>
      </c>
      <c r="D608" t="s">
        <v>383</v>
      </c>
      <c r="E608" t="s">
        <v>435</v>
      </c>
      <c r="F608" t="s">
        <v>429</v>
      </c>
      <c r="G608" t="s">
        <v>82</v>
      </c>
      <c r="H608" t="s">
        <v>82</v>
      </c>
      <c r="J608" t="s">
        <v>52</v>
      </c>
      <c r="K608" s="15">
        <v>1000</v>
      </c>
      <c r="L608" s="15">
        <v>0</v>
      </c>
      <c r="M608" s="13">
        <v>45097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9926.301369863013</v>
      </c>
      <c r="W608">
        <v>0</v>
      </c>
      <c r="X608">
        <v>0</v>
      </c>
      <c r="Y608">
        <v>9926.301369863013</v>
      </c>
      <c r="Z608">
        <v>0</v>
      </c>
      <c r="AA608">
        <v>9926.301369863013</v>
      </c>
      <c r="AB608" t="s">
        <v>242</v>
      </c>
      <c r="AC608">
        <v>2</v>
      </c>
      <c r="AD608">
        <v>3000</v>
      </c>
      <c r="AE608">
        <v>0</v>
      </c>
      <c r="AF608">
        <v>0</v>
      </c>
      <c r="AG608">
        <v>0</v>
      </c>
      <c r="AH608" t="s">
        <v>58</v>
      </c>
    </row>
    <row r="609" spans="1:34" x14ac:dyDescent="0.3">
      <c r="A609" t="s">
        <v>798</v>
      </c>
      <c r="B609">
        <v>4302300008</v>
      </c>
      <c r="C609" t="s">
        <v>96</v>
      </c>
      <c r="D609" t="s">
        <v>590</v>
      </c>
      <c r="E609" t="s">
        <v>447</v>
      </c>
      <c r="F609" t="s">
        <v>433</v>
      </c>
      <c r="G609" t="s">
        <v>82</v>
      </c>
      <c r="H609" t="s">
        <v>83</v>
      </c>
      <c r="J609" t="s">
        <v>416</v>
      </c>
      <c r="K609" s="15">
        <v>0.24965314903778946</v>
      </c>
      <c r="L609" s="15">
        <v>0</v>
      </c>
      <c r="M609" s="13">
        <v>45097</v>
      </c>
      <c r="O609">
        <v>0</v>
      </c>
      <c r="P609">
        <v>0</v>
      </c>
      <c r="Q609">
        <v>98102.883467155654</v>
      </c>
      <c r="R609">
        <v>3265.3069017377802</v>
      </c>
      <c r="S609">
        <v>67428.291509052462</v>
      </c>
      <c r="T609">
        <v>0</v>
      </c>
      <c r="U609">
        <v>0</v>
      </c>
      <c r="V609">
        <v>1333162.1847817013</v>
      </c>
      <c r="W609">
        <v>0</v>
      </c>
      <c r="X609">
        <v>0</v>
      </c>
      <c r="Y609">
        <v>1501958.6666596471</v>
      </c>
      <c r="Z609">
        <v>98041.333340352779</v>
      </c>
      <c r="AA609">
        <v>1600000</v>
      </c>
      <c r="AB609" t="s">
        <v>242</v>
      </c>
      <c r="AC609">
        <v>0</v>
      </c>
      <c r="AD609">
        <v>0</v>
      </c>
      <c r="AE609">
        <v>0</v>
      </c>
      <c r="AF609">
        <v>0</v>
      </c>
      <c r="AG609">
        <v>0</v>
      </c>
      <c r="AH609" t="s">
        <v>72</v>
      </c>
    </row>
    <row r="610" spans="1:34" x14ac:dyDescent="0.3">
      <c r="A610" t="s">
        <v>798</v>
      </c>
      <c r="B610">
        <v>4302300008</v>
      </c>
      <c r="C610" t="s">
        <v>96</v>
      </c>
      <c r="D610" t="s">
        <v>590</v>
      </c>
      <c r="E610" t="s">
        <v>447</v>
      </c>
      <c r="F610" t="s">
        <v>433</v>
      </c>
      <c r="G610" t="s">
        <v>417</v>
      </c>
      <c r="H610" t="s">
        <v>83</v>
      </c>
      <c r="J610" t="s">
        <v>52</v>
      </c>
      <c r="K610" s="15">
        <v>1600000</v>
      </c>
      <c r="L610" s="15">
        <v>0</v>
      </c>
      <c r="M610" s="13">
        <v>45097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">
        <v>242</v>
      </c>
      <c r="AC610">
        <v>1</v>
      </c>
      <c r="AD610">
        <v>1600000</v>
      </c>
      <c r="AE610">
        <v>0</v>
      </c>
      <c r="AF610">
        <v>0</v>
      </c>
      <c r="AG610">
        <v>98041.333340352867</v>
      </c>
      <c r="AH610" t="s">
        <v>58</v>
      </c>
    </row>
    <row r="611" spans="1:34" x14ac:dyDescent="0.3">
      <c r="A611" t="s">
        <v>798</v>
      </c>
      <c r="B611">
        <v>52200238</v>
      </c>
      <c r="C611" t="s">
        <v>648</v>
      </c>
      <c r="D611" t="s">
        <v>647</v>
      </c>
      <c r="E611" t="s">
        <v>436</v>
      </c>
      <c r="F611" t="s">
        <v>431</v>
      </c>
      <c r="G611" t="s">
        <v>674</v>
      </c>
      <c r="H611" t="s">
        <v>83</v>
      </c>
      <c r="J611" t="s">
        <v>52</v>
      </c>
      <c r="K611" s="15">
        <v>1000</v>
      </c>
      <c r="M611" s="13">
        <v>45098</v>
      </c>
      <c r="O611">
        <v>0</v>
      </c>
      <c r="P611">
        <v>0</v>
      </c>
      <c r="Q611">
        <v>0</v>
      </c>
      <c r="R611">
        <v>759.25539222213558</v>
      </c>
      <c r="S611">
        <v>38697.410657980879</v>
      </c>
      <c r="T611">
        <v>0</v>
      </c>
      <c r="U611">
        <v>0</v>
      </c>
      <c r="V611">
        <v>76681.788968468842</v>
      </c>
      <c r="W611">
        <v>0</v>
      </c>
      <c r="X611">
        <v>0</v>
      </c>
      <c r="Y611">
        <v>116138.45501867186</v>
      </c>
      <c r="Z611">
        <v>8076.5439738514815</v>
      </c>
      <c r="AA611">
        <v>124214.99899252334</v>
      </c>
      <c r="AB611" t="s">
        <v>242</v>
      </c>
      <c r="AC611">
        <v>4</v>
      </c>
      <c r="AD611">
        <v>5000</v>
      </c>
      <c r="AE611">
        <v>0</v>
      </c>
      <c r="AF611">
        <v>0</v>
      </c>
      <c r="AG611">
        <v>324.96063313602758</v>
      </c>
      <c r="AH611" t="s">
        <v>58</v>
      </c>
    </row>
    <row r="612" spans="1:34" x14ac:dyDescent="0.3">
      <c r="A612" t="s">
        <v>798</v>
      </c>
      <c r="B612">
        <v>52201479</v>
      </c>
      <c r="C612" t="s">
        <v>93</v>
      </c>
      <c r="D612" t="s">
        <v>159</v>
      </c>
      <c r="E612" t="s">
        <v>438</v>
      </c>
      <c r="F612" t="s">
        <v>431</v>
      </c>
      <c r="G612" t="s">
        <v>82</v>
      </c>
      <c r="H612" t="s">
        <v>83</v>
      </c>
      <c r="J612" t="s">
        <v>416</v>
      </c>
      <c r="K612" s="15">
        <v>0.24394780215626088</v>
      </c>
      <c r="M612" s="13">
        <v>45098</v>
      </c>
      <c r="O612">
        <v>0</v>
      </c>
      <c r="P612">
        <v>0</v>
      </c>
      <c r="Q612">
        <v>0</v>
      </c>
      <c r="R612">
        <v>141.79155572634104</v>
      </c>
      <c r="S612">
        <v>0</v>
      </c>
      <c r="T612">
        <v>0</v>
      </c>
      <c r="U612">
        <v>0</v>
      </c>
      <c r="V612">
        <v>12110.475241657401</v>
      </c>
      <c r="W612">
        <v>0</v>
      </c>
      <c r="X612">
        <v>0</v>
      </c>
      <c r="Y612">
        <v>12252.266797383742</v>
      </c>
      <c r="Z612">
        <v>847.73326691601812</v>
      </c>
      <c r="AA612">
        <v>13100.00006429976</v>
      </c>
      <c r="AB612" t="s">
        <v>242</v>
      </c>
      <c r="AC612">
        <v>10</v>
      </c>
      <c r="AD612">
        <v>44400</v>
      </c>
      <c r="AE612">
        <v>0</v>
      </c>
      <c r="AF612">
        <v>0</v>
      </c>
      <c r="AG612">
        <v>2868.3342715215008</v>
      </c>
      <c r="AH612" t="s">
        <v>58</v>
      </c>
    </row>
    <row r="613" spans="1:34" x14ac:dyDescent="0.3">
      <c r="A613" t="s">
        <v>798</v>
      </c>
      <c r="B613">
        <v>52200671</v>
      </c>
      <c r="C613">
        <v>27488939</v>
      </c>
      <c r="D613" t="s">
        <v>857</v>
      </c>
      <c r="E613" t="s">
        <v>438</v>
      </c>
      <c r="F613" t="s">
        <v>431</v>
      </c>
      <c r="G613" t="s">
        <v>82</v>
      </c>
      <c r="H613" t="s">
        <v>83</v>
      </c>
      <c r="J613" t="s">
        <v>52</v>
      </c>
      <c r="K613" s="15">
        <v>1500</v>
      </c>
      <c r="L613" s="15">
        <v>0</v>
      </c>
      <c r="M613" s="13">
        <v>45099</v>
      </c>
      <c r="O613">
        <v>0</v>
      </c>
      <c r="P613">
        <v>0</v>
      </c>
      <c r="Q613">
        <v>0</v>
      </c>
      <c r="R613">
        <v>922.79187036777171</v>
      </c>
      <c r="S613">
        <v>28237.749538883196</v>
      </c>
      <c r="T613">
        <v>0</v>
      </c>
      <c r="U613">
        <v>0</v>
      </c>
      <c r="V613">
        <v>53483.939690487481</v>
      </c>
      <c r="W613">
        <v>0</v>
      </c>
      <c r="X613">
        <v>0</v>
      </c>
      <c r="Y613">
        <v>82644.481099738448</v>
      </c>
      <c r="Z613">
        <v>5720.5182460559481</v>
      </c>
      <c r="AA613">
        <v>88364.999345794393</v>
      </c>
      <c r="AB613" t="s">
        <v>242</v>
      </c>
      <c r="AC613">
        <v>3</v>
      </c>
      <c r="AD613">
        <v>6000</v>
      </c>
      <c r="AE613">
        <v>0</v>
      </c>
      <c r="AF613">
        <v>0</v>
      </c>
      <c r="AG613">
        <v>388.1265709586396</v>
      </c>
      <c r="AH613" t="s">
        <v>58</v>
      </c>
    </row>
    <row r="614" spans="1:34" x14ac:dyDescent="0.3">
      <c r="A614" t="s">
        <v>798</v>
      </c>
      <c r="B614">
        <v>12200122</v>
      </c>
      <c r="C614">
        <v>5900440096</v>
      </c>
      <c r="D614" t="s">
        <v>113</v>
      </c>
      <c r="E614" t="s">
        <v>437</v>
      </c>
      <c r="F614" t="s">
        <v>427</v>
      </c>
      <c r="G614" t="s">
        <v>82</v>
      </c>
      <c r="H614" t="s">
        <v>82</v>
      </c>
      <c r="J614" t="s">
        <v>52</v>
      </c>
      <c r="K614" s="15">
        <v>500</v>
      </c>
      <c r="L614" s="15">
        <v>0</v>
      </c>
      <c r="M614" s="13">
        <v>45100</v>
      </c>
      <c r="O614">
        <v>0</v>
      </c>
      <c r="P614">
        <v>0</v>
      </c>
      <c r="Q614">
        <v>0</v>
      </c>
      <c r="R614">
        <v>0</v>
      </c>
      <c r="S614">
        <v>2947.4300000000021</v>
      </c>
      <c r="T614">
        <v>0</v>
      </c>
      <c r="U614">
        <v>0</v>
      </c>
      <c r="V614">
        <v>14052.06</v>
      </c>
      <c r="W614">
        <v>0</v>
      </c>
      <c r="X614">
        <v>0</v>
      </c>
      <c r="Y614">
        <v>16999.490000000002</v>
      </c>
      <c r="Z614">
        <v>0</v>
      </c>
      <c r="AA614">
        <v>16999.490000000002</v>
      </c>
      <c r="AB614" t="s">
        <v>242</v>
      </c>
      <c r="AC614">
        <v>5</v>
      </c>
      <c r="AD614">
        <v>4276</v>
      </c>
      <c r="AE614">
        <v>0</v>
      </c>
      <c r="AF614">
        <v>0</v>
      </c>
      <c r="AG614">
        <v>0</v>
      </c>
      <c r="AH614" t="s">
        <v>58</v>
      </c>
    </row>
    <row r="615" spans="1:34" x14ac:dyDescent="0.3">
      <c r="A615" t="s">
        <v>798</v>
      </c>
      <c r="B615">
        <v>12200176</v>
      </c>
      <c r="C615">
        <v>28068851</v>
      </c>
      <c r="D615" t="s">
        <v>119</v>
      </c>
      <c r="E615" t="s">
        <v>438</v>
      </c>
      <c r="F615" t="s">
        <v>427</v>
      </c>
      <c r="G615" t="s">
        <v>82</v>
      </c>
      <c r="H615" t="s">
        <v>82</v>
      </c>
      <c r="J615" t="s">
        <v>52</v>
      </c>
      <c r="K615" s="15">
        <v>10000</v>
      </c>
      <c r="L615" s="15">
        <v>0</v>
      </c>
      <c r="M615" s="13">
        <v>45100</v>
      </c>
      <c r="O615">
        <v>0</v>
      </c>
      <c r="P615">
        <v>0</v>
      </c>
      <c r="Q615">
        <v>0</v>
      </c>
      <c r="R615">
        <v>0</v>
      </c>
      <c r="S615">
        <v>9583.2107127017407</v>
      </c>
      <c r="T615">
        <v>0</v>
      </c>
      <c r="U615">
        <v>0</v>
      </c>
      <c r="V615">
        <v>144142.15908220914</v>
      </c>
      <c r="W615">
        <v>0</v>
      </c>
      <c r="X615">
        <v>0</v>
      </c>
      <c r="Y615">
        <v>153725.36979491089</v>
      </c>
      <c r="Z615">
        <v>0</v>
      </c>
      <c r="AA615">
        <v>153725.36979491089</v>
      </c>
      <c r="AB615" t="s">
        <v>242</v>
      </c>
      <c r="AC615">
        <v>2</v>
      </c>
      <c r="AD615">
        <v>12000</v>
      </c>
      <c r="AE615">
        <v>0</v>
      </c>
      <c r="AF615">
        <v>0</v>
      </c>
      <c r="AG615">
        <v>0</v>
      </c>
      <c r="AH615" t="s">
        <v>58</v>
      </c>
    </row>
    <row r="616" spans="1:34" x14ac:dyDescent="0.3">
      <c r="A616" t="s">
        <v>798</v>
      </c>
      <c r="B616">
        <v>4242300006</v>
      </c>
      <c r="C616" t="s">
        <v>376</v>
      </c>
      <c r="D616" t="s">
        <v>415</v>
      </c>
      <c r="E616" t="s">
        <v>444</v>
      </c>
      <c r="F616" t="s">
        <v>431</v>
      </c>
      <c r="G616" t="s">
        <v>233</v>
      </c>
      <c r="H616" t="s">
        <v>231</v>
      </c>
      <c r="J616" t="s">
        <v>416</v>
      </c>
      <c r="K616" s="15">
        <v>0.42148760330578516</v>
      </c>
      <c r="L616" s="15">
        <v>0</v>
      </c>
      <c r="M616" s="13">
        <v>45100</v>
      </c>
      <c r="O616">
        <v>0</v>
      </c>
      <c r="P616">
        <v>2314.0495867768595</v>
      </c>
      <c r="Q616">
        <v>67685.950413223138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70000</v>
      </c>
      <c r="Z616">
        <v>0</v>
      </c>
      <c r="AA616">
        <v>70000</v>
      </c>
      <c r="AB616" t="s">
        <v>242</v>
      </c>
      <c r="AC616">
        <v>0</v>
      </c>
      <c r="AD616">
        <v>0</v>
      </c>
      <c r="AE616">
        <v>0</v>
      </c>
      <c r="AF616">
        <v>0</v>
      </c>
      <c r="AG616">
        <v>0</v>
      </c>
      <c r="AH616" t="s">
        <v>72</v>
      </c>
    </row>
    <row r="617" spans="1:34" x14ac:dyDescent="0.3">
      <c r="A617" t="s">
        <v>798</v>
      </c>
      <c r="B617">
        <v>4242300006</v>
      </c>
      <c r="C617" t="s">
        <v>376</v>
      </c>
      <c r="D617" t="s">
        <v>415</v>
      </c>
      <c r="E617" t="s">
        <v>444</v>
      </c>
      <c r="F617" t="s">
        <v>431</v>
      </c>
      <c r="G617" t="s">
        <v>419</v>
      </c>
      <c r="H617" t="s">
        <v>231</v>
      </c>
      <c r="J617" t="s">
        <v>52</v>
      </c>
      <c r="K617" s="15">
        <v>70000</v>
      </c>
      <c r="L617" s="15">
        <v>0</v>
      </c>
      <c r="M617" s="13">
        <v>45100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">
        <v>242</v>
      </c>
      <c r="AC617">
        <v>1</v>
      </c>
      <c r="AD617">
        <v>70000</v>
      </c>
      <c r="AE617">
        <v>0</v>
      </c>
      <c r="AF617">
        <v>0</v>
      </c>
      <c r="AG617">
        <v>0</v>
      </c>
      <c r="AH617" t="s">
        <v>58</v>
      </c>
    </row>
    <row r="618" spans="1:34" x14ac:dyDescent="0.3">
      <c r="A618" t="s">
        <v>798</v>
      </c>
      <c r="B618">
        <v>52200770</v>
      </c>
      <c r="C618">
        <v>26747789</v>
      </c>
      <c r="D618" t="s">
        <v>863</v>
      </c>
      <c r="E618" t="s">
        <v>438</v>
      </c>
      <c r="F618" t="s">
        <v>431</v>
      </c>
      <c r="G618" t="s">
        <v>82</v>
      </c>
      <c r="H618" t="s">
        <v>83</v>
      </c>
      <c r="J618" t="s">
        <v>52</v>
      </c>
      <c r="K618" s="15">
        <v>1000</v>
      </c>
      <c r="L618" s="15">
        <v>0</v>
      </c>
      <c r="M618" s="13">
        <v>45101</v>
      </c>
      <c r="O618">
        <v>0</v>
      </c>
      <c r="P618">
        <v>0</v>
      </c>
      <c r="Q618">
        <v>0</v>
      </c>
      <c r="R618">
        <v>1070.8480859420463</v>
      </c>
      <c r="S618">
        <v>15440.413624275343</v>
      </c>
      <c r="T618">
        <v>0</v>
      </c>
      <c r="U618">
        <v>0</v>
      </c>
      <c r="V618">
        <v>42546.644545033792</v>
      </c>
      <c r="W618">
        <v>0</v>
      </c>
      <c r="X618">
        <v>0</v>
      </c>
      <c r="Y618">
        <v>59057.906255251182</v>
      </c>
      <c r="Z618">
        <v>4059.0940718516399</v>
      </c>
      <c r="AA618">
        <v>63117.000327102825</v>
      </c>
      <c r="AB618" t="s">
        <v>242</v>
      </c>
      <c r="AC618">
        <v>1</v>
      </c>
      <c r="AD618">
        <v>1000</v>
      </c>
      <c r="AE618">
        <v>0</v>
      </c>
      <c r="AF618">
        <v>0</v>
      </c>
      <c r="AG618">
        <v>64.233052351348874</v>
      </c>
      <c r="AH618" t="s">
        <v>72</v>
      </c>
    </row>
    <row r="619" spans="1:34" x14ac:dyDescent="0.3">
      <c r="A619" t="s">
        <v>798</v>
      </c>
      <c r="B619">
        <v>12200074</v>
      </c>
      <c r="C619">
        <v>24614224</v>
      </c>
      <c r="D619" t="s">
        <v>112</v>
      </c>
      <c r="E619" t="s">
        <v>436</v>
      </c>
      <c r="F619" t="s">
        <v>427</v>
      </c>
      <c r="G619" t="s">
        <v>82</v>
      </c>
      <c r="H619" t="s">
        <v>82</v>
      </c>
      <c r="J619" t="s">
        <v>52</v>
      </c>
      <c r="K619" s="15">
        <v>2000</v>
      </c>
      <c r="L619" s="15">
        <v>0</v>
      </c>
      <c r="M619" s="13">
        <v>45102</v>
      </c>
      <c r="O619">
        <v>0</v>
      </c>
      <c r="P619">
        <v>0</v>
      </c>
      <c r="Q619">
        <v>0</v>
      </c>
      <c r="R619">
        <v>0</v>
      </c>
      <c r="S619">
        <v>18580.236883253237</v>
      </c>
      <c r="T619">
        <v>0</v>
      </c>
      <c r="U619">
        <v>0</v>
      </c>
      <c r="V619">
        <v>97971.528938102099</v>
      </c>
      <c r="W619">
        <v>0</v>
      </c>
      <c r="X619">
        <v>0</v>
      </c>
      <c r="Y619">
        <v>116551.76582135534</v>
      </c>
      <c r="Z619">
        <v>0</v>
      </c>
      <c r="AA619">
        <v>116551.76582135534</v>
      </c>
      <c r="AB619" t="s">
        <v>242</v>
      </c>
      <c r="AC619">
        <v>1</v>
      </c>
      <c r="AD619">
        <v>2000</v>
      </c>
      <c r="AE619">
        <v>0</v>
      </c>
      <c r="AF619">
        <v>0</v>
      </c>
      <c r="AG619">
        <v>0</v>
      </c>
      <c r="AH619" t="s">
        <v>72</v>
      </c>
    </row>
    <row r="620" spans="1:34" x14ac:dyDescent="0.3">
      <c r="A620" t="s">
        <v>798</v>
      </c>
      <c r="B620">
        <v>52201039</v>
      </c>
      <c r="C620">
        <v>29379502</v>
      </c>
      <c r="D620" t="s">
        <v>146</v>
      </c>
      <c r="E620" t="s">
        <v>438</v>
      </c>
      <c r="F620" t="s">
        <v>431</v>
      </c>
      <c r="G620" t="s">
        <v>82</v>
      </c>
      <c r="H620" t="s">
        <v>83</v>
      </c>
      <c r="J620" t="s">
        <v>52</v>
      </c>
      <c r="K620" s="15">
        <v>1000</v>
      </c>
      <c r="L620" s="15">
        <v>0</v>
      </c>
      <c r="M620" s="13">
        <v>45102</v>
      </c>
      <c r="O620">
        <v>0</v>
      </c>
      <c r="P620">
        <v>0</v>
      </c>
      <c r="Q620">
        <v>0</v>
      </c>
      <c r="R620">
        <v>956.60869188175957</v>
      </c>
      <c r="S620">
        <v>21615.457722174058</v>
      </c>
      <c r="T620">
        <v>0</v>
      </c>
      <c r="U620">
        <v>0</v>
      </c>
      <c r="V620">
        <v>49170.889355899591</v>
      </c>
      <c r="W620">
        <v>0</v>
      </c>
      <c r="X620">
        <v>0</v>
      </c>
      <c r="Y620">
        <v>71742.955769955413</v>
      </c>
      <c r="Z620">
        <v>4955.0442954651562</v>
      </c>
      <c r="AA620">
        <v>76698.000065420565</v>
      </c>
      <c r="AB620" t="s">
        <v>242</v>
      </c>
      <c r="AC620">
        <v>2</v>
      </c>
      <c r="AD620">
        <v>2500</v>
      </c>
      <c r="AE620">
        <v>0</v>
      </c>
      <c r="AF620">
        <v>0</v>
      </c>
      <c r="AG620">
        <v>161.36692376796555</v>
      </c>
      <c r="AH620" t="s">
        <v>58</v>
      </c>
    </row>
    <row r="621" spans="1:34" x14ac:dyDescent="0.3">
      <c r="A621" t="s">
        <v>798</v>
      </c>
      <c r="B621">
        <v>4242300016</v>
      </c>
      <c r="C621" t="s">
        <v>514</v>
      </c>
      <c r="D621" t="s">
        <v>586</v>
      </c>
      <c r="E621" t="s">
        <v>444</v>
      </c>
      <c r="F621" t="s">
        <v>431</v>
      </c>
      <c r="G621" t="s">
        <v>230</v>
      </c>
      <c r="H621" t="s">
        <v>231</v>
      </c>
      <c r="J621" t="s">
        <v>416</v>
      </c>
      <c r="K621" s="15">
        <v>0.1256380413514917</v>
      </c>
      <c r="L621" s="15">
        <v>0</v>
      </c>
      <c r="M621" s="13">
        <v>45102</v>
      </c>
      <c r="O621">
        <v>0</v>
      </c>
      <c r="P621">
        <v>14567.744593042797</v>
      </c>
      <c r="Q621">
        <v>0</v>
      </c>
      <c r="R621">
        <v>0</v>
      </c>
      <c r="S621">
        <v>0</v>
      </c>
      <c r="T621">
        <v>19611.857016415142</v>
      </c>
      <c r="U621">
        <v>19611.857016415142</v>
      </c>
      <c r="V621">
        <v>0</v>
      </c>
      <c r="W621">
        <v>367722.31905778387</v>
      </c>
      <c r="X621">
        <v>0</v>
      </c>
      <c r="Y621">
        <v>421513.77768365695</v>
      </c>
      <c r="Z621">
        <v>28486.222316342992</v>
      </c>
      <c r="AA621">
        <v>449999.99999999994</v>
      </c>
      <c r="AB621" t="s">
        <v>242</v>
      </c>
      <c r="AC621">
        <v>0</v>
      </c>
      <c r="AD621">
        <v>0</v>
      </c>
      <c r="AE621">
        <v>0</v>
      </c>
      <c r="AF621">
        <v>0</v>
      </c>
      <c r="AG621">
        <v>0</v>
      </c>
      <c r="AH621" t="s">
        <v>72</v>
      </c>
    </row>
    <row r="622" spans="1:34" x14ac:dyDescent="0.3">
      <c r="A622" t="s">
        <v>798</v>
      </c>
      <c r="B622">
        <v>4242300016</v>
      </c>
      <c r="C622" t="s">
        <v>514</v>
      </c>
      <c r="D622" t="s">
        <v>586</v>
      </c>
      <c r="E622" t="s">
        <v>444</v>
      </c>
      <c r="F622" t="s">
        <v>431</v>
      </c>
      <c r="G622" t="s">
        <v>421</v>
      </c>
      <c r="H622" t="s">
        <v>231</v>
      </c>
      <c r="J622" t="s">
        <v>52</v>
      </c>
      <c r="K622" s="15">
        <v>450000</v>
      </c>
      <c r="L622" s="15">
        <v>0</v>
      </c>
      <c r="M622" s="13">
        <v>45102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">
        <v>242</v>
      </c>
      <c r="AC622">
        <v>1</v>
      </c>
      <c r="AD622">
        <v>450000</v>
      </c>
      <c r="AE622">
        <v>0</v>
      </c>
      <c r="AF622">
        <v>0</v>
      </c>
      <c r="AG622">
        <v>28486.222316342988</v>
      </c>
      <c r="AH622" t="s">
        <v>58</v>
      </c>
    </row>
    <row r="623" spans="1:34" x14ac:dyDescent="0.3">
      <c r="A623" t="s">
        <v>798</v>
      </c>
      <c r="B623">
        <v>2200001</v>
      </c>
      <c r="C623" t="s">
        <v>630</v>
      </c>
      <c r="D623" t="s">
        <v>407</v>
      </c>
      <c r="E623" t="s">
        <v>435</v>
      </c>
      <c r="F623" t="s">
        <v>675</v>
      </c>
      <c r="G623" t="s">
        <v>235</v>
      </c>
      <c r="H623" t="s">
        <v>235</v>
      </c>
      <c r="J623" t="s">
        <v>52</v>
      </c>
      <c r="K623" s="15">
        <v>3000</v>
      </c>
      <c r="M623" s="13">
        <v>45102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54246.990000000005</v>
      </c>
      <c r="W623">
        <v>0</v>
      </c>
      <c r="X623">
        <v>0</v>
      </c>
      <c r="Y623">
        <v>54246.990000000005</v>
      </c>
      <c r="Z623">
        <v>0</v>
      </c>
      <c r="AA623">
        <v>54246.990000000005</v>
      </c>
      <c r="AB623" t="s">
        <v>242</v>
      </c>
      <c r="AC623">
        <v>5</v>
      </c>
      <c r="AD623">
        <v>15000</v>
      </c>
      <c r="AE623">
        <v>0</v>
      </c>
      <c r="AF623">
        <v>0</v>
      </c>
      <c r="AG623">
        <v>0</v>
      </c>
      <c r="AH623" t="s">
        <v>58</v>
      </c>
    </row>
    <row r="624" spans="1:34" x14ac:dyDescent="0.3">
      <c r="A624" t="s">
        <v>798</v>
      </c>
      <c r="B624">
        <v>4142300399</v>
      </c>
      <c r="C624">
        <v>10173322</v>
      </c>
      <c r="D624" t="s">
        <v>258</v>
      </c>
      <c r="E624" t="s">
        <v>445</v>
      </c>
      <c r="F624" t="s">
        <v>430</v>
      </c>
      <c r="G624" t="s">
        <v>237</v>
      </c>
      <c r="H624" t="s">
        <v>234</v>
      </c>
      <c r="J624" t="s">
        <v>425</v>
      </c>
      <c r="K624" s="15">
        <v>85000</v>
      </c>
      <c r="L624" s="15">
        <v>73</v>
      </c>
      <c r="M624" s="13">
        <v>45103</v>
      </c>
      <c r="O624">
        <v>73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198289.71962616825</v>
      </c>
      <c r="Y624">
        <v>198362.71962616825</v>
      </c>
      <c r="Z624">
        <v>13880.28037383178</v>
      </c>
      <c r="AA624">
        <v>212243.00000000003</v>
      </c>
      <c r="AB624" t="s">
        <v>242</v>
      </c>
      <c r="AC624">
        <v>0</v>
      </c>
      <c r="AD624">
        <v>0</v>
      </c>
      <c r="AE624">
        <v>0</v>
      </c>
      <c r="AF624">
        <v>90950</v>
      </c>
      <c r="AG624">
        <v>5950</v>
      </c>
      <c r="AH624" t="s">
        <v>72</v>
      </c>
    </row>
    <row r="625" spans="1:34" x14ac:dyDescent="0.3">
      <c r="A625" t="s">
        <v>798</v>
      </c>
      <c r="B625">
        <v>52200733</v>
      </c>
      <c r="C625">
        <v>29713647</v>
      </c>
      <c r="D625" t="s">
        <v>140</v>
      </c>
      <c r="E625" t="s">
        <v>438</v>
      </c>
      <c r="F625" t="s">
        <v>431</v>
      </c>
      <c r="G625" t="s">
        <v>82</v>
      </c>
      <c r="H625" t="s">
        <v>83</v>
      </c>
      <c r="J625" t="s">
        <v>52</v>
      </c>
      <c r="K625" s="15">
        <v>10000</v>
      </c>
      <c r="L625" s="15">
        <v>0</v>
      </c>
      <c r="M625" s="13">
        <v>45103</v>
      </c>
      <c r="O625">
        <v>0</v>
      </c>
      <c r="P625">
        <v>0</v>
      </c>
      <c r="Q625">
        <v>0</v>
      </c>
      <c r="R625">
        <v>1001.1068404308686</v>
      </c>
      <c r="S625">
        <v>13896.161831373025</v>
      </c>
      <c r="T625">
        <v>0</v>
      </c>
      <c r="U625">
        <v>0</v>
      </c>
      <c r="V625">
        <v>58878.504672897187</v>
      </c>
      <c r="W625">
        <v>0</v>
      </c>
      <c r="X625">
        <v>0</v>
      </c>
      <c r="Y625">
        <v>73775.773344701083</v>
      </c>
      <c r="Z625">
        <v>5094.2266552989149</v>
      </c>
      <c r="AA625">
        <v>78870</v>
      </c>
      <c r="AB625" t="s">
        <v>242</v>
      </c>
      <c r="AC625">
        <v>1</v>
      </c>
      <c r="AD625">
        <v>10000</v>
      </c>
      <c r="AE625">
        <v>0</v>
      </c>
      <c r="AF625">
        <v>0</v>
      </c>
      <c r="AG625">
        <v>645.24998021510328</v>
      </c>
      <c r="AH625" t="s">
        <v>72</v>
      </c>
    </row>
    <row r="626" spans="1:34" x14ac:dyDescent="0.3">
      <c r="A626" t="s">
        <v>798</v>
      </c>
      <c r="B626">
        <v>52200938</v>
      </c>
      <c r="C626">
        <v>26269572</v>
      </c>
      <c r="D626" t="s">
        <v>144</v>
      </c>
      <c r="E626" t="s">
        <v>438</v>
      </c>
      <c r="F626" t="s">
        <v>431</v>
      </c>
      <c r="G626" t="s">
        <v>82</v>
      </c>
      <c r="H626" t="s">
        <v>83</v>
      </c>
      <c r="J626" t="s">
        <v>52</v>
      </c>
      <c r="K626" s="15">
        <v>2500</v>
      </c>
      <c r="L626" s="15">
        <v>0</v>
      </c>
      <c r="M626" s="13">
        <v>45103</v>
      </c>
      <c r="O626">
        <v>0</v>
      </c>
      <c r="P626">
        <v>0</v>
      </c>
      <c r="Q626">
        <v>0</v>
      </c>
      <c r="R626">
        <v>1100.9519692105591</v>
      </c>
      <c r="S626">
        <v>25389.164691270569</v>
      </c>
      <c r="T626">
        <v>0</v>
      </c>
      <c r="U626">
        <v>0</v>
      </c>
      <c r="V626">
        <v>47963.216707056527</v>
      </c>
      <c r="W626">
        <v>0</v>
      </c>
      <c r="X626">
        <v>0</v>
      </c>
      <c r="Y626">
        <v>74453.333367537649</v>
      </c>
      <c r="Z626">
        <v>5134.6666978828971</v>
      </c>
      <c r="AA626">
        <v>79588.000065420551</v>
      </c>
      <c r="AB626" t="s">
        <v>242</v>
      </c>
      <c r="AC626">
        <v>1</v>
      </c>
      <c r="AD626">
        <v>2500</v>
      </c>
      <c r="AE626">
        <v>0</v>
      </c>
      <c r="AF626">
        <v>0</v>
      </c>
      <c r="AG626">
        <v>161.12769892031702</v>
      </c>
      <c r="AH626" t="s">
        <v>72</v>
      </c>
    </row>
    <row r="627" spans="1:34" x14ac:dyDescent="0.3">
      <c r="A627" t="s">
        <v>798</v>
      </c>
      <c r="B627">
        <v>62200025</v>
      </c>
      <c r="C627">
        <v>9001302</v>
      </c>
      <c r="D627" t="s">
        <v>79</v>
      </c>
      <c r="E627" t="s">
        <v>435</v>
      </c>
      <c r="F627" t="s">
        <v>432</v>
      </c>
      <c r="G627" t="s">
        <v>82</v>
      </c>
      <c r="H627" t="s">
        <v>82</v>
      </c>
      <c r="J627" t="s">
        <v>52</v>
      </c>
      <c r="K627" s="15">
        <v>1000</v>
      </c>
      <c r="L627" s="15">
        <v>0</v>
      </c>
      <c r="M627" s="13">
        <v>45103</v>
      </c>
      <c r="O627">
        <v>0</v>
      </c>
      <c r="P627">
        <v>0</v>
      </c>
      <c r="Q627">
        <v>0</v>
      </c>
      <c r="R627">
        <v>0</v>
      </c>
      <c r="S627">
        <v>3185.2332638356165</v>
      </c>
      <c r="T627">
        <v>0</v>
      </c>
      <c r="U627">
        <v>0</v>
      </c>
      <c r="V627">
        <v>16839.61</v>
      </c>
      <c r="W627">
        <v>0</v>
      </c>
      <c r="X627">
        <v>0</v>
      </c>
      <c r="Y627">
        <v>20024.843263835617</v>
      </c>
      <c r="Z627">
        <v>0</v>
      </c>
      <c r="AA627">
        <v>20024.843263835617</v>
      </c>
      <c r="AB627" t="s">
        <v>242</v>
      </c>
      <c r="AC627">
        <v>10</v>
      </c>
      <c r="AD627">
        <v>10170</v>
      </c>
      <c r="AE627">
        <v>0</v>
      </c>
      <c r="AF627">
        <v>0</v>
      </c>
      <c r="AG627">
        <v>0</v>
      </c>
      <c r="AH627" t="s">
        <v>58</v>
      </c>
    </row>
    <row r="628" spans="1:34" x14ac:dyDescent="0.3">
      <c r="A628" t="s">
        <v>798</v>
      </c>
      <c r="B628">
        <v>12200005</v>
      </c>
      <c r="C628" t="s">
        <v>597</v>
      </c>
      <c r="D628" t="s">
        <v>596</v>
      </c>
      <c r="E628" t="s">
        <v>435</v>
      </c>
      <c r="F628" t="s">
        <v>427</v>
      </c>
      <c r="G628" t="s">
        <v>230</v>
      </c>
      <c r="H628" t="s">
        <v>230</v>
      </c>
      <c r="J628" t="s">
        <v>672</v>
      </c>
      <c r="M628" s="13">
        <v>45103</v>
      </c>
      <c r="O628">
        <v>20319</v>
      </c>
      <c r="P628">
        <v>0</v>
      </c>
      <c r="Q628">
        <v>0</v>
      </c>
      <c r="R628">
        <v>0</v>
      </c>
      <c r="S628">
        <v>329945.91000000003</v>
      </c>
      <c r="T628">
        <v>0</v>
      </c>
      <c r="U628">
        <v>0</v>
      </c>
      <c r="V628">
        <v>350050.77</v>
      </c>
      <c r="W628">
        <v>0</v>
      </c>
      <c r="X628">
        <v>0</v>
      </c>
      <c r="Y628">
        <v>700315.68</v>
      </c>
      <c r="Z628">
        <v>0</v>
      </c>
      <c r="AA628">
        <v>700315.68</v>
      </c>
      <c r="AB628" t="s">
        <v>242</v>
      </c>
      <c r="AC628">
        <v>1</v>
      </c>
      <c r="AD628">
        <v>4000</v>
      </c>
      <c r="AE628">
        <v>0</v>
      </c>
      <c r="AF628">
        <v>0</v>
      </c>
      <c r="AG628">
        <v>0</v>
      </c>
      <c r="AH628" t="s">
        <v>58</v>
      </c>
    </row>
    <row r="629" spans="1:34" x14ac:dyDescent="0.3">
      <c r="A629" t="s">
        <v>798</v>
      </c>
      <c r="B629">
        <v>52200016</v>
      </c>
      <c r="C629" t="s">
        <v>608</v>
      </c>
      <c r="D629" t="s">
        <v>607</v>
      </c>
      <c r="E629" t="s">
        <v>435</v>
      </c>
      <c r="F629" t="s">
        <v>431</v>
      </c>
      <c r="G629" t="s">
        <v>230</v>
      </c>
      <c r="H629" t="s">
        <v>231</v>
      </c>
      <c r="J629" t="s">
        <v>672</v>
      </c>
      <c r="M629" s="13">
        <v>45103</v>
      </c>
      <c r="O629">
        <v>5200</v>
      </c>
      <c r="P629">
        <v>0</v>
      </c>
      <c r="Q629">
        <v>0</v>
      </c>
      <c r="R629">
        <v>0</v>
      </c>
      <c r="S629">
        <v>0</v>
      </c>
      <c r="T629">
        <v>57289.719626168226</v>
      </c>
      <c r="U629">
        <v>0</v>
      </c>
      <c r="V629">
        <v>0</v>
      </c>
      <c r="W629">
        <v>50914.841121495323</v>
      </c>
      <c r="X629">
        <v>0</v>
      </c>
      <c r="Y629">
        <v>113404.56074766355</v>
      </c>
      <c r="Z629">
        <v>7574.3192523364487</v>
      </c>
      <c r="AA629">
        <v>120978.88</v>
      </c>
      <c r="AB629" t="s">
        <v>242</v>
      </c>
      <c r="AC629">
        <v>2</v>
      </c>
      <c r="AD629">
        <v>1000</v>
      </c>
      <c r="AE629">
        <v>0</v>
      </c>
      <c r="AF629">
        <v>0</v>
      </c>
      <c r="AG629">
        <v>64.904044915041538</v>
      </c>
      <c r="AH629" t="s">
        <v>58</v>
      </c>
    </row>
    <row r="630" spans="1:34" x14ac:dyDescent="0.3">
      <c r="A630" t="s">
        <v>798</v>
      </c>
      <c r="B630">
        <v>2200009</v>
      </c>
      <c r="C630">
        <v>19887094</v>
      </c>
      <c r="D630" t="s">
        <v>77</v>
      </c>
      <c r="E630" t="s">
        <v>435</v>
      </c>
      <c r="F630" t="s">
        <v>426</v>
      </c>
      <c r="G630" t="s">
        <v>82</v>
      </c>
      <c r="H630" t="s">
        <v>82</v>
      </c>
      <c r="J630" t="s">
        <v>52</v>
      </c>
      <c r="K630" s="15">
        <v>900</v>
      </c>
      <c r="L630" s="15">
        <v>0</v>
      </c>
      <c r="M630" s="13">
        <v>45104</v>
      </c>
      <c r="O630">
        <v>0</v>
      </c>
      <c r="P630">
        <v>0</v>
      </c>
      <c r="Q630">
        <v>0</v>
      </c>
      <c r="R630">
        <v>0</v>
      </c>
      <c r="S630">
        <v>17001.616180538298</v>
      </c>
      <c r="T630">
        <v>0</v>
      </c>
      <c r="U630">
        <v>0</v>
      </c>
      <c r="V630">
        <v>107102.9400910782</v>
      </c>
      <c r="W630">
        <v>0</v>
      </c>
      <c r="X630">
        <v>0</v>
      </c>
      <c r="Y630">
        <v>124104.5562716165</v>
      </c>
      <c r="Z630">
        <v>0</v>
      </c>
      <c r="AA630">
        <v>124104.5562716165</v>
      </c>
      <c r="AB630" t="s">
        <v>242</v>
      </c>
      <c r="AC630">
        <v>11</v>
      </c>
      <c r="AD630">
        <v>9900</v>
      </c>
      <c r="AE630">
        <v>0</v>
      </c>
      <c r="AF630">
        <v>0</v>
      </c>
      <c r="AG630">
        <v>0</v>
      </c>
      <c r="AH630" t="s">
        <v>58</v>
      </c>
    </row>
    <row r="631" spans="1:34" x14ac:dyDescent="0.3">
      <c r="A631" t="s">
        <v>798</v>
      </c>
      <c r="B631">
        <v>12200038</v>
      </c>
      <c r="C631">
        <v>19668536</v>
      </c>
      <c r="D631" t="s">
        <v>808</v>
      </c>
      <c r="E631" t="s">
        <v>435</v>
      </c>
      <c r="F631" t="s">
        <v>427</v>
      </c>
      <c r="G631" t="s">
        <v>82</v>
      </c>
      <c r="H631" t="s">
        <v>82</v>
      </c>
      <c r="J631" t="s">
        <v>52</v>
      </c>
      <c r="K631" s="15">
        <v>300</v>
      </c>
      <c r="L631" s="15">
        <v>0</v>
      </c>
      <c r="M631" s="13">
        <v>45104</v>
      </c>
      <c r="O631">
        <v>0</v>
      </c>
      <c r="P631">
        <v>0</v>
      </c>
      <c r="Q631">
        <v>0</v>
      </c>
      <c r="R631">
        <v>0</v>
      </c>
      <c r="S631">
        <v>17180.96446684932</v>
      </c>
      <c r="T631">
        <v>0</v>
      </c>
      <c r="U631">
        <v>0</v>
      </c>
      <c r="V631">
        <v>213784.64</v>
      </c>
      <c r="W631">
        <v>0</v>
      </c>
      <c r="X631">
        <v>0</v>
      </c>
      <c r="Y631">
        <v>230965.60446684933</v>
      </c>
      <c r="Z631">
        <v>0</v>
      </c>
      <c r="AA631">
        <v>230965.60446684933</v>
      </c>
      <c r="AB631" t="s">
        <v>242</v>
      </c>
      <c r="AC631">
        <v>11</v>
      </c>
      <c r="AD631">
        <v>19400</v>
      </c>
      <c r="AE631">
        <v>0</v>
      </c>
      <c r="AF631">
        <v>0</v>
      </c>
      <c r="AG631">
        <v>0</v>
      </c>
      <c r="AH631" t="s">
        <v>58</v>
      </c>
    </row>
    <row r="632" spans="1:34" x14ac:dyDescent="0.3">
      <c r="A632" t="s">
        <v>798</v>
      </c>
      <c r="B632">
        <v>52200217</v>
      </c>
      <c r="C632">
        <v>27002024</v>
      </c>
      <c r="D632" t="s">
        <v>134</v>
      </c>
      <c r="E632" t="s">
        <v>436</v>
      </c>
      <c r="F632" t="s">
        <v>431</v>
      </c>
      <c r="G632" t="s">
        <v>82</v>
      </c>
      <c r="H632" t="s">
        <v>83</v>
      </c>
      <c r="J632" t="s">
        <v>52</v>
      </c>
      <c r="K632" s="15">
        <v>10000</v>
      </c>
      <c r="L632" s="15">
        <v>0</v>
      </c>
      <c r="M632" s="13">
        <v>45104</v>
      </c>
      <c r="O632">
        <v>0</v>
      </c>
      <c r="P632">
        <v>0</v>
      </c>
      <c r="Q632">
        <v>0</v>
      </c>
      <c r="R632">
        <v>884.46799194292339</v>
      </c>
      <c r="S632">
        <v>11200.49720379166</v>
      </c>
      <c r="T632">
        <v>0</v>
      </c>
      <c r="U632">
        <v>0</v>
      </c>
      <c r="V632">
        <v>45794.392523364484</v>
      </c>
      <c r="W632">
        <v>0</v>
      </c>
      <c r="X632">
        <v>0</v>
      </c>
      <c r="Y632">
        <v>57879.357719099069</v>
      </c>
      <c r="Z632">
        <v>3989.6422809009305</v>
      </c>
      <c r="AA632">
        <v>61869</v>
      </c>
      <c r="AB632" t="s">
        <v>242</v>
      </c>
      <c r="AC632">
        <v>1</v>
      </c>
      <c r="AD632">
        <v>10000</v>
      </c>
      <c r="AE632">
        <v>0</v>
      </c>
      <c r="AF632">
        <v>0</v>
      </c>
      <c r="AG632">
        <v>644.09603685607908</v>
      </c>
      <c r="AH632" t="s">
        <v>72</v>
      </c>
    </row>
    <row r="633" spans="1:34" x14ac:dyDescent="0.3">
      <c r="A633" t="s">
        <v>798</v>
      </c>
      <c r="B633">
        <v>62200005</v>
      </c>
      <c r="C633">
        <v>19887124</v>
      </c>
      <c r="D633" t="s">
        <v>77</v>
      </c>
      <c r="E633" t="s">
        <v>435</v>
      </c>
      <c r="F633" t="s">
        <v>432</v>
      </c>
      <c r="G633" t="s">
        <v>82</v>
      </c>
      <c r="H633" t="s">
        <v>82</v>
      </c>
      <c r="J633" t="s">
        <v>52</v>
      </c>
      <c r="K633" s="15">
        <v>1800</v>
      </c>
      <c r="L633" s="15">
        <v>0</v>
      </c>
      <c r="M633" s="13">
        <v>45104</v>
      </c>
      <c r="O633">
        <v>0</v>
      </c>
      <c r="P633">
        <v>0</v>
      </c>
      <c r="Q633">
        <v>0</v>
      </c>
      <c r="R633">
        <v>0</v>
      </c>
      <c r="S633">
        <v>6625.6010580922848</v>
      </c>
      <c r="T633">
        <v>0</v>
      </c>
      <c r="U633">
        <v>0</v>
      </c>
      <c r="V633">
        <v>59598.02512483739</v>
      </c>
      <c r="W633">
        <v>0</v>
      </c>
      <c r="X633">
        <v>0</v>
      </c>
      <c r="Y633">
        <v>66223.626182929671</v>
      </c>
      <c r="Z633">
        <v>0</v>
      </c>
      <c r="AA633">
        <v>66223.626182929671</v>
      </c>
      <c r="AB633" t="s">
        <v>242</v>
      </c>
      <c r="AC633">
        <v>11</v>
      </c>
      <c r="AD633">
        <v>19800</v>
      </c>
      <c r="AE633">
        <v>0</v>
      </c>
      <c r="AF633">
        <v>0</v>
      </c>
      <c r="AG633">
        <v>0</v>
      </c>
      <c r="AH633" t="s">
        <v>58</v>
      </c>
    </row>
    <row r="634" spans="1:34" x14ac:dyDescent="0.3">
      <c r="A634" t="s">
        <v>798</v>
      </c>
      <c r="B634">
        <v>62200006</v>
      </c>
      <c r="C634">
        <v>19887213</v>
      </c>
      <c r="D634" t="s">
        <v>77</v>
      </c>
      <c r="E634" t="s">
        <v>435</v>
      </c>
      <c r="F634" t="s">
        <v>432</v>
      </c>
      <c r="G634" t="s">
        <v>82</v>
      </c>
      <c r="H634" t="s">
        <v>82</v>
      </c>
      <c r="J634" t="s">
        <v>52</v>
      </c>
      <c r="K634" s="15">
        <v>1800</v>
      </c>
      <c r="L634" s="15">
        <v>0</v>
      </c>
      <c r="M634" s="13">
        <v>45104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26295.406380183904</v>
      </c>
      <c r="W634">
        <v>0</v>
      </c>
      <c r="X634">
        <v>0</v>
      </c>
      <c r="Y634">
        <v>26295.406380183904</v>
      </c>
      <c r="Z634">
        <v>0</v>
      </c>
      <c r="AA634">
        <v>26295.406380183904</v>
      </c>
      <c r="AB634" t="s">
        <v>242</v>
      </c>
      <c r="AC634">
        <v>11</v>
      </c>
      <c r="AD634">
        <v>19800</v>
      </c>
      <c r="AE634">
        <v>0</v>
      </c>
      <c r="AF634">
        <v>0</v>
      </c>
      <c r="AG634">
        <v>0</v>
      </c>
      <c r="AH634" t="s">
        <v>58</v>
      </c>
    </row>
    <row r="635" spans="1:34" x14ac:dyDescent="0.3">
      <c r="A635" t="s">
        <v>798</v>
      </c>
      <c r="B635">
        <v>52201131</v>
      </c>
      <c r="C635" t="s">
        <v>653</v>
      </c>
      <c r="D635" t="s">
        <v>652</v>
      </c>
      <c r="E635" t="s">
        <v>438</v>
      </c>
      <c r="F635" t="s">
        <v>431</v>
      </c>
      <c r="G635" t="s">
        <v>82</v>
      </c>
      <c r="H635" t="s">
        <v>83</v>
      </c>
      <c r="J635" t="s">
        <v>52</v>
      </c>
      <c r="K635" s="15">
        <v>2400</v>
      </c>
      <c r="M635" s="13">
        <v>45104</v>
      </c>
      <c r="O635">
        <v>0</v>
      </c>
      <c r="P635">
        <v>0</v>
      </c>
      <c r="Q635">
        <v>0</v>
      </c>
      <c r="R635">
        <v>974.25557570318199</v>
      </c>
      <c r="S635">
        <v>60928.456599518147</v>
      </c>
      <c r="T635">
        <v>0</v>
      </c>
      <c r="U635">
        <v>0</v>
      </c>
      <c r="V635">
        <v>86763.834306231976</v>
      </c>
      <c r="W635">
        <v>0</v>
      </c>
      <c r="X635">
        <v>0</v>
      </c>
      <c r="Y635">
        <v>148666.54648145329</v>
      </c>
      <c r="Z635">
        <v>10338.46036340251</v>
      </c>
      <c r="AA635">
        <v>159005.00684485579</v>
      </c>
      <c r="AB635" t="s">
        <v>242</v>
      </c>
      <c r="AC635">
        <v>1</v>
      </c>
      <c r="AD635">
        <v>2400</v>
      </c>
      <c r="AE635">
        <v>0</v>
      </c>
      <c r="AF635">
        <v>0</v>
      </c>
      <c r="AG635">
        <v>155.97933672824547</v>
      </c>
      <c r="AH635" t="s">
        <v>72</v>
      </c>
    </row>
    <row r="636" spans="1:34" x14ac:dyDescent="0.3">
      <c r="A636" t="s">
        <v>798</v>
      </c>
      <c r="B636">
        <v>52201847</v>
      </c>
      <c r="C636" t="s">
        <v>644</v>
      </c>
      <c r="D636" t="s">
        <v>643</v>
      </c>
      <c r="E636" t="s">
        <v>438</v>
      </c>
      <c r="F636" t="s">
        <v>431</v>
      </c>
      <c r="G636" t="s">
        <v>230</v>
      </c>
      <c r="H636" t="s">
        <v>231</v>
      </c>
      <c r="J636" t="s">
        <v>672</v>
      </c>
      <c r="M636" s="13">
        <v>45104</v>
      </c>
      <c r="O636">
        <v>6000</v>
      </c>
      <c r="P636">
        <v>0</v>
      </c>
      <c r="Q636">
        <v>0</v>
      </c>
      <c r="R636">
        <v>0</v>
      </c>
      <c r="S636">
        <v>0</v>
      </c>
      <c r="T636">
        <v>68084.11214953271</v>
      </c>
      <c r="U636">
        <v>0</v>
      </c>
      <c r="V636">
        <v>0</v>
      </c>
      <c r="W636">
        <v>41121.495327102806</v>
      </c>
      <c r="X636">
        <v>0</v>
      </c>
      <c r="Y636">
        <v>115205.60747663552</v>
      </c>
      <c r="Z636">
        <v>7644.3925233644868</v>
      </c>
      <c r="AA636">
        <v>122850</v>
      </c>
      <c r="AB636" t="s">
        <v>242</v>
      </c>
      <c r="AC636">
        <v>1</v>
      </c>
      <c r="AD636">
        <v>300</v>
      </c>
      <c r="AE636">
        <v>0</v>
      </c>
      <c r="AF636">
        <v>0</v>
      </c>
      <c r="AG636">
        <v>19.411927576021696</v>
      </c>
      <c r="AH636" t="s">
        <v>58</v>
      </c>
    </row>
    <row r="637" spans="1:34" x14ac:dyDescent="0.3">
      <c r="A637" t="s">
        <v>798</v>
      </c>
      <c r="B637">
        <v>12200168</v>
      </c>
      <c r="C637">
        <v>22304640</v>
      </c>
      <c r="D637" t="s">
        <v>116</v>
      </c>
      <c r="E637" t="s">
        <v>438</v>
      </c>
      <c r="F637" t="s">
        <v>427</v>
      </c>
      <c r="G637" t="s">
        <v>82</v>
      </c>
      <c r="H637" t="s">
        <v>82</v>
      </c>
      <c r="J637" t="s">
        <v>52</v>
      </c>
      <c r="K637" s="15">
        <v>10000</v>
      </c>
      <c r="L637" s="15">
        <v>0</v>
      </c>
      <c r="M637" s="13">
        <v>45105</v>
      </c>
      <c r="O637">
        <v>0</v>
      </c>
      <c r="P637">
        <v>0</v>
      </c>
      <c r="Q637">
        <v>0</v>
      </c>
      <c r="R637">
        <v>0</v>
      </c>
      <c r="S637">
        <v>40001.057465295118</v>
      </c>
      <c r="T637">
        <v>0</v>
      </c>
      <c r="U637">
        <v>0</v>
      </c>
      <c r="V637">
        <v>265200.49260584638</v>
      </c>
      <c r="W637">
        <v>0</v>
      </c>
      <c r="X637">
        <v>0</v>
      </c>
      <c r="Y637">
        <v>305201.55007114151</v>
      </c>
      <c r="Z637">
        <v>0</v>
      </c>
      <c r="AA637">
        <v>305201.55007114151</v>
      </c>
      <c r="AB637" t="s">
        <v>242</v>
      </c>
      <c r="AC637">
        <v>3</v>
      </c>
      <c r="AD637">
        <v>40000</v>
      </c>
      <c r="AE637">
        <v>0</v>
      </c>
      <c r="AF637">
        <v>0</v>
      </c>
      <c r="AG637">
        <v>0</v>
      </c>
      <c r="AH637" t="s">
        <v>58</v>
      </c>
    </row>
    <row r="638" spans="1:34" x14ac:dyDescent="0.3">
      <c r="A638" t="s">
        <v>798</v>
      </c>
      <c r="B638">
        <v>52200112</v>
      </c>
      <c r="C638">
        <v>25062909</v>
      </c>
      <c r="D638" t="s">
        <v>132</v>
      </c>
      <c r="E638" t="s">
        <v>436</v>
      </c>
      <c r="F638" t="s">
        <v>431</v>
      </c>
      <c r="G638" t="s">
        <v>82</v>
      </c>
      <c r="H638" t="s">
        <v>83</v>
      </c>
      <c r="J638" t="s">
        <v>52</v>
      </c>
      <c r="K638" s="15">
        <v>1000</v>
      </c>
      <c r="L638" s="15">
        <v>0</v>
      </c>
      <c r="M638" s="13">
        <v>45105</v>
      </c>
      <c r="O638">
        <v>0</v>
      </c>
      <c r="P638">
        <v>0</v>
      </c>
      <c r="Q638">
        <v>0</v>
      </c>
      <c r="R638">
        <v>775.30080968985146</v>
      </c>
      <c r="S638">
        <v>16123.82832791673</v>
      </c>
      <c r="T638">
        <v>0</v>
      </c>
      <c r="U638">
        <v>0</v>
      </c>
      <c r="V638">
        <v>48171.217589309104</v>
      </c>
      <c r="W638">
        <v>0</v>
      </c>
      <c r="X638">
        <v>0</v>
      </c>
      <c r="Y638">
        <v>65070.346726915683</v>
      </c>
      <c r="Z638">
        <v>4500.6532142058086</v>
      </c>
      <c r="AA638">
        <v>69570.999941121496</v>
      </c>
      <c r="AB638" t="s">
        <v>242</v>
      </c>
      <c r="AC638">
        <v>2</v>
      </c>
      <c r="AD638">
        <v>1400</v>
      </c>
      <c r="AE638">
        <v>0</v>
      </c>
      <c r="AF638">
        <v>0</v>
      </c>
      <c r="AG638">
        <v>90.496314652607168</v>
      </c>
      <c r="AH638" t="s">
        <v>58</v>
      </c>
    </row>
    <row r="639" spans="1:34" x14ac:dyDescent="0.3">
      <c r="A639" t="s">
        <v>798</v>
      </c>
      <c r="B639">
        <v>52201548</v>
      </c>
      <c r="C639">
        <v>26585613</v>
      </c>
      <c r="D639" t="s">
        <v>881</v>
      </c>
      <c r="E639" t="s">
        <v>438</v>
      </c>
      <c r="F639" t="s">
        <v>431</v>
      </c>
      <c r="G639" t="s">
        <v>82</v>
      </c>
      <c r="H639" t="s">
        <v>83</v>
      </c>
      <c r="J639" t="s">
        <v>52</v>
      </c>
      <c r="K639" s="15">
        <v>1000</v>
      </c>
      <c r="L639" s="15">
        <v>0</v>
      </c>
      <c r="M639" s="13">
        <v>45105</v>
      </c>
      <c r="O639">
        <v>0</v>
      </c>
      <c r="P639">
        <v>0</v>
      </c>
      <c r="Q639">
        <v>0</v>
      </c>
      <c r="R639">
        <v>971.97580231209361</v>
      </c>
      <c r="S639">
        <v>26886.837259733093</v>
      </c>
      <c r="T639">
        <v>0</v>
      </c>
      <c r="U639">
        <v>0</v>
      </c>
      <c r="V639">
        <v>53105.707967345952</v>
      </c>
      <c r="W639">
        <v>0</v>
      </c>
      <c r="X639">
        <v>0</v>
      </c>
      <c r="Y639">
        <v>80964.521029391137</v>
      </c>
      <c r="Z639">
        <v>5599.4781658955335</v>
      </c>
      <c r="AA639">
        <v>86563.999195286669</v>
      </c>
      <c r="AB639" t="s">
        <v>242</v>
      </c>
      <c r="AC639">
        <v>2</v>
      </c>
      <c r="AD639">
        <v>1500</v>
      </c>
      <c r="AE639">
        <v>0</v>
      </c>
      <c r="AF639">
        <v>0</v>
      </c>
      <c r="AG639">
        <v>96.951688001725756</v>
      </c>
      <c r="AH639" t="s">
        <v>58</v>
      </c>
    </row>
    <row r="640" spans="1:34" x14ac:dyDescent="0.3">
      <c r="A640" t="s">
        <v>798</v>
      </c>
      <c r="B640">
        <v>4142300300</v>
      </c>
      <c r="C640">
        <v>10131172</v>
      </c>
      <c r="D640" t="s">
        <v>196</v>
      </c>
      <c r="E640" t="s">
        <v>445</v>
      </c>
      <c r="F640" t="s">
        <v>430</v>
      </c>
      <c r="G640" t="s">
        <v>230</v>
      </c>
      <c r="H640" t="s">
        <v>234</v>
      </c>
      <c r="J640" t="s">
        <v>52</v>
      </c>
      <c r="K640" s="15">
        <v>30000</v>
      </c>
      <c r="L640" s="15">
        <v>0</v>
      </c>
      <c r="M640" s="13">
        <v>45105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680971.16822429921</v>
      </c>
      <c r="Y640">
        <v>680971.16822429921</v>
      </c>
      <c r="Z640">
        <v>47667.981775700951</v>
      </c>
      <c r="AA640">
        <v>728639.15000000014</v>
      </c>
      <c r="AB640" t="s">
        <v>242</v>
      </c>
      <c r="AC640">
        <v>3</v>
      </c>
      <c r="AD640">
        <v>80000</v>
      </c>
      <c r="AE640">
        <v>0</v>
      </c>
      <c r="AF640">
        <v>0</v>
      </c>
      <c r="AG640">
        <v>5233.6448598130846</v>
      </c>
      <c r="AH640" t="s">
        <v>58</v>
      </c>
    </row>
    <row r="641" spans="1:34" x14ac:dyDescent="0.3">
      <c r="A641" t="s">
        <v>798</v>
      </c>
      <c r="B641">
        <v>4142301025</v>
      </c>
      <c r="C641">
        <v>10501272</v>
      </c>
      <c r="D641" t="s">
        <v>215</v>
      </c>
      <c r="E641" t="s">
        <v>445</v>
      </c>
      <c r="F641" t="s">
        <v>430</v>
      </c>
      <c r="G641" t="s">
        <v>230</v>
      </c>
      <c r="H641" t="s">
        <v>234</v>
      </c>
      <c r="J641" t="s">
        <v>52</v>
      </c>
      <c r="K641" s="15">
        <v>40000</v>
      </c>
      <c r="L641" s="15">
        <v>0</v>
      </c>
      <c r="M641" s="13">
        <v>45105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568143.76635514013</v>
      </c>
      <c r="Y641">
        <v>568143.76635514013</v>
      </c>
      <c r="Z641">
        <v>39770.063644859816</v>
      </c>
      <c r="AA641">
        <v>607913.82999999996</v>
      </c>
      <c r="AB641" t="s">
        <v>242</v>
      </c>
      <c r="AC641">
        <v>1</v>
      </c>
      <c r="AD641">
        <v>40000</v>
      </c>
      <c r="AE641">
        <v>0</v>
      </c>
      <c r="AF641">
        <v>0</v>
      </c>
      <c r="AG641">
        <v>2616.8224299065405</v>
      </c>
      <c r="AH641" t="s">
        <v>72</v>
      </c>
    </row>
    <row r="642" spans="1:34" x14ac:dyDescent="0.3">
      <c r="A642" t="s">
        <v>798</v>
      </c>
      <c r="B642">
        <v>62200104</v>
      </c>
      <c r="C642" t="s">
        <v>245</v>
      </c>
      <c r="D642" t="s">
        <v>316</v>
      </c>
      <c r="E642" t="s">
        <v>435</v>
      </c>
      <c r="F642" t="s">
        <v>432</v>
      </c>
      <c r="G642" t="s">
        <v>82</v>
      </c>
      <c r="H642" t="s">
        <v>82</v>
      </c>
      <c r="J642" t="s">
        <v>52</v>
      </c>
      <c r="K642" s="15">
        <v>3000</v>
      </c>
      <c r="L642" s="15">
        <v>0</v>
      </c>
      <c r="M642" s="13">
        <v>45105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14594.886678808063</v>
      </c>
      <c r="W642">
        <v>0</v>
      </c>
      <c r="X642">
        <v>0</v>
      </c>
      <c r="Y642">
        <v>14594.886678808063</v>
      </c>
      <c r="Z642">
        <v>0</v>
      </c>
      <c r="AA642">
        <v>14594.886678808063</v>
      </c>
      <c r="AB642" t="s">
        <v>242</v>
      </c>
      <c r="AC642">
        <v>11</v>
      </c>
      <c r="AD642">
        <v>23000</v>
      </c>
      <c r="AE642">
        <v>0</v>
      </c>
      <c r="AF642">
        <v>0</v>
      </c>
      <c r="AG642">
        <v>0</v>
      </c>
      <c r="AH642" t="s">
        <v>58</v>
      </c>
    </row>
    <row r="643" spans="1:34" x14ac:dyDescent="0.3">
      <c r="A643" t="s">
        <v>798</v>
      </c>
      <c r="B643">
        <v>4142300698</v>
      </c>
      <c r="C643" t="s">
        <v>498</v>
      </c>
      <c r="D643" t="s">
        <v>570</v>
      </c>
      <c r="E643" t="s">
        <v>445</v>
      </c>
      <c r="F643" t="s">
        <v>430</v>
      </c>
      <c r="G643" t="s">
        <v>230</v>
      </c>
      <c r="H643" t="s">
        <v>234</v>
      </c>
      <c r="J643" t="s">
        <v>416</v>
      </c>
      <c r="K643" s="15">
        <v>6.757429496714551E-2</v>
      </c>
      <c r="L643" s="15">
        <v>0</v>
      </c>
      <c r="M643" s="13">
        <v>45105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1191588.785046729</v>
      </c>
      <c r="Y643">
        <v>1191588.785046729</v>
      </c>
      <c r="Z643">
        <v>83411.214953271046</v>
      </c>
      <c r="AA643">
        <v>1275000</v>
      </c>
      <c r="AB643" t="s">
        <v>242</v>
      </c>
      <c r="AC643">
        <v>0</v>
      </c>
      <c r="AD643">
        <v>0</v>
      </c>
      <c r="AE643">
        <v>0</v>
      </c>
      <c r="AF643">
        <v>0</v>
      </c>
      <c r="AG643">
        <v>0</v>
      </c>
      <c r="AH643" t="s">
        <v>72</v>
      </c>
    </row>
    <row r="644" spans="1:34" x14ac:dyDescent="0.3">
      <c r="A644" t="s">
        <v>798</v>
      </c>
      <c r="B644">
        <v>12200041</v>
      </c>
      <c r="C644">
        <v>23113175</v>
      </c>
      <c r="D644" t="s">
        <v>78</v>
      </c>
      <c r="E644" t="s">
        <v>435</v>
      </c>
      <c r="F644" t="s">
        <v>427</v>
      </c>
      <c r="G644" t="s">
        <v>82</v>
      </c>
      <c r="H644" t="s">
        <v>82</v>
      </c>
      <c r="J644" t="s">
        <v>52</v>
      </c>
      <c r="K644" s="15">
        <v>5000</v>
      </c>
      <c r="L644" s="15">
        <v>0</v>
      </c>
      <c r="M644" s="13">
        <v>45106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172565.03142572055</v>
      </c>
      <c r="W644">
        <v>0</v>
      </c>
      <c r="X644">
        <v>0</v>
      </c>
      <c r="Y644">
        <v>172565.03142572055</v>
      </c>
      <c r="Z644">
        <v>0</v>
      </c>
      <c r="AA644">
        <v>172565.03142572055</v>
      </c>
      <c r="AB644" t="s">
        <v>242</v>
      </c>
      <c r="AC644">
        <v>14</v>
      </c>
      <c r="AD644">
        <v>50000</v>
      </c>
      <c r="AE644">
        <v>0</v>
      </c>
      <c r="AF644">
        <v>0</v>
      </c>
      <c r="AG644">
        <v>0</v>
      </c>
      <c r="AH644" t="s">
        <v>58</v>
      </c>
    </row>
    <row r="645" spans="1:34" x14ac:dyDescent="0.3">
      <c r="A645" t="s">
        <v>798</v>
      </c>
      <c r="B645">
        <v>52201017</v>
      </c>
      <c r="C645">
        <v>28653036</v>
      </c>
      <c r="D645" t="s">
        <v>870</v>
      </c>
      <c r="E645" t="s">
        <v>438</v>
      </c>
      <c r="F645" t="s">
        <v>431</v>
      </c>
      <c r="G645" t="s">
        <v>82</v>
      </c>
      <c r="H645" t="s">
        <v>83</v>
      </c>
      <c r="J645" t="s">
        <v>52</v>
      </c>
      <c r="K645" s="15">
        <v>1000</v>
      </c>
      <c r="L645" s="15">
        <v>0</v>
      </c>
      <c r="M645" s="13">
        <v>45106</v>
      </c>
      <c r="O645">
        <v>0</v>
      </c>
      <c r="P645">
        <v>0</v>
      </c>
      <c r="Q645">
        <v>0</v>
      </c>
      <c r="R645">
        <v>880.67570360785191</v>
      </c>
      <c r="S645">
        <v>32234.820580554064</v>
      </c>
      <c r="T645">
        <v>0</v>
      </c>
      <c r="U645">
        <v>0</v>
      </c>
      <c r="V645">
        <v>52250.529461492923</v>
      </c>
      <c r="W645">
        <v>0</v>
      </c>
      <c r="X645">
        <v>0</v>
      </c>
      <c r="Y645">
        <v>85366.025745654828</v>
      </c>
      <c r="Z645">
        <v>5913.9745029432888</v>
      </c>
      <c r="AA645">
        <v>91280.000248598109</v>
      </c>
      <c r="AB645" t="s">
        <v>242</v>
      </c>
      <c r="AC645">
        <v>1</v>
      </c>
      <c r="AD645">
        <v>1000</v>
      </c>
      <c r="AE645">
        <v>0</v>
      </c>
      <c r="AF645">
        <v>0</v>
      </c>
      <c r="AG645">
        <v>64.745139488364202</v>
      </c>
      <c r="AH645" t="s">
        <v>72</v>
      </c>
    </row>
    <row r="646" spans="1:34" x14ac:dyDescent="0.3">
      <c r="A646" t="s">
        <v>798</v>
      </c>
      <c r="B646">
        <v>52201192</v>
      </c>
      <c r="C646">
        <v>30434010</v>
      </c>
      <c r="D646" t="s">
        <v>874</v>
      </c>
      <c r="E646" t="s">
        <v>438</v>
      </c>
      <c r="F646" t="s">
        <v>431</v>
      </c>
      <c r="G646" t="s">
        <v>82</v>
      </c>
      <c r="H646" t="s">
        <v>83</v>
      </c>
      <c r="J646" t="s">
        <v>52</v>
      </c>
      <c r="K646" s="15">
        <v>2000</v>
      </c>
      <c r="L646" s="15">
        <v>0</v>
      </c>
      <c r="M646" s="13">
        <v>45106</v>
      </c>
      <c r="O646">
        <v>0</v>
      </c>
      <c r="P646">
        <v>0</v>
      </c>
      <c r="Q646">
        <v>0</v>
      </c>
      <c r="R646">
        <v>871.98989078975626</v>
      </c>
      <c r="S646">
        <v>35433.803535597333</v>
      </c>
      <c r="T646">
        <v>0</v>
      </c>
      <c r="U646">
        <v>0</v>
      </c>
      <c r="V646">
        <v>55563.40229011231</v>
      </c>
      <c r="W646">
        <v>0</v>
      </c>
      <c r="X646">
        <v>0</v>
      </c>
      <c r="Y646">
        <v>91869.195716499409</v>
      </c>
      <c r="Z646">
        <v>6369.8044077996765</v>
      </c>
      <c r="AA646">
        <v>98239.000124299084</v>
      </c>
      <c r="AB646" t="s">
        <v>242</v>
      </c>
      <c r="AC646">
        <v>1</v>
      </c>
      <c r="AD646">
        <v>2000</v>
      </c>
      <c r="AE646">
        <v>0</v>
      </c>
      <c r="AF646">
        <v>0</v>
      </c>
      <c r="AG646">
        <v>129.59746949091868</v>
      </c>
      <c r="AH646" t="s">
        <v>72</v>
      </c>
    </row>
    <row r="647" spans="1:34" x14ac:dyDescent="0.3">
      <c r="A647" t="s">
        <v>798</v>
      </c>
      <c r="B647">
        <v>4142300719</v>
      </c>
      <c r="C647">
        <v>10324507</v>
      </c>
      <c r="D647" t="s">
        <v>259</v>
      </c>
      <c r="E647" t="s">
        <v>445</v>
      </c>
      <c r="F647" t="s">
        <v>430</v>
      </c>
      <c r="G647" t="s">
        <v>237</v>
      </c>
      <c r="H647" t="s">
        <v>234</v>
      </c>
      <c r="J647" t="s">
        <v>425</v>
      </c>
      <c r="K647" s="15">
        <v>160000</v>
      </c>
      <c r="L647" s="15">
        <v>80</v>
      </c>
      <c r="M647" s="13">
        <v>45107</v>
      </c>
      <c r="O647">
        <v>80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131099.53271028039</v>
      </c>
      <c r="Y647">
        <v>131179.53271028039</v>
      </c>
      <c r="Z647">
        <v>9176.9672897196288</v>
      </c>
      <c r="AA647">
        <v>140356.5</v>
      </c>
      <c r="AB647" t="s">
        <v>242</v>
      </c>
      <c r="AC647">
        <v>0</v>
      </c>
      <c r="AD647">
        <v>0</v>
      </c>
      <c r="AE647">
        <v>0</v>
      </c>
      <c r="AF647">
        <v>171200</v>
      </c>
      <c r="AG647">
        <v>11200</v>
      </c>
      <c r="AH647" t="s">
        <v>72</v>
      </c>
    </row>
    <row r="648" spans="1:34" x14ac:dyDescent="0.3">
      <c r="A648" t="s">
        <v>798</v>
      </c>
      <c r="B648">
        <v>12200047</v>
      </c>
      <c r="C648">
        <v>25275500</v>
      </c>
      <c r="D648" t="s">
        <v>88</v>
      </c>
      <c r="E648" t="s">
        <v>436</v>
      </c>
      <c r="F648" t="s">
        <v>427</v>
      </c>
      <c r="G648" t="s">
        <v>82</v>
      </c>
      <c r="H648" t="s">
        <v>82</v>
      </c>
      <c r="J648" t="s">
        <v>52</v>
      </c>
      <c r="K648" s="15">
        <v>1000</v>
      </c>
      <c r="L648" s="15">
        <v>0</v>
      </c>
      <c r="M648" s="13">
        <v>45107</v>
      </c>
      <c r="O648">
        <v>0</v>
      </c>
      <c r="P648">
        <v>0</v>
      </c>
      <c r="Q648">
        <v>0</v>
      </c>
      <c r="R648">
        <v>0</v>
      </c>
      <c r="S648">
        <v>56301.279504387319</v>
      </c>
      <c r="T648">
        <v>0</v>
      </c>
      <c r="U648">
        <v>0</v>
      </c>
      <c r="V648">
        <v>278431.83561643836</v>
      </c>
      <c r="W648">
        <v>0</v>
      </c>
      <c r="X648">
        <v>0</v>
      </c>
      <c r="Y648">
        <v>334733.11512082571</v>
      </c>
      <c r="Z648">
        <v>0</v>
      </c>
      <c r="AA648">
        <v>334733.11512082571</v>
      </c>
      <c r="AB648" t="s">
        <v>242</v>
      </c>
      <c r="AC648">
        <v>3</v>
      </c>
      <c r="AD648">
        <v>3000</v>
      </c>
      <c r="AE648">
        <v>0</v>
      </c>
      <c r="AF648">
        <v>0</v>
      </c>
      <c r="AG648">
        <v>0</v>
      </c>
      <c r="AH648" t="s">
        <v>58</v>
      </c>
    </row>
    <row r="649" spans="1:34" x14ac:dyDescent="0.3">
      <c r="A649" t="s">
        <v>798</v>
      </c>
      <c r="B649">
        <v>12200122</v>
      </c>
      <c r="C649">
        <v>5900440096</v>
      </c>
      <c r="D649" t="s">
        <v>113</v>
      </c>
      <c r="E649" t="s">
        <v>437</v>
      </c>
      <c r="F649" t="s">
        <v>427</v>
      </c>
      <c r="G649" t="s">
        <v>82</v>
      </c>
      <c r="H649" t="s">
        <v>82</v>
      </c>
      <c r="J649" t="s">
        <v>52</v>
      </c>
      <c r="K649" s="15">
        <v>500</v>
      </c>
      <c r="L649" s="15">
        <v>0</v>
      </c>
      <c r="M649" s="13">
        <v>45107</v>
      </c>
      <c r="O649">
        <v>0</v>
      </c>
      <c r="P649">
        <v>0</v>
      </c>
      <c r="Q649">
        <v>0</v>
      </c>
      <c r="R649">
        <v>0</v>
      </c>
      <c r="S649">
        <v>2447.4300000000021</v>
      </c>
      <c r="T649">
        <v>0</v>
      </c>
      <c r="U649">
        <v>0</v>
      </c>
      <c r="V649">
        <v>14052.06</v>
      </c>
      <c r="W649">
        <v>0</v>
      </c>
      <c r="X649">
        <v>0</v>
      </c>
      <c r="Y649">
        <v>16499.490000000002</v>
      </c>
      <c r="Z649">
        <v>0</v>
      </c>
      <c r="AA649">
        <v>16499.490000000002</v>
      </c>
      <c r="AB649" t="s">
        <v>242</v>
      </c>
      <c r="AC649">
        <v>6</v>
      </c>
      <c r="AD649">
        <v>4776</v>
      </c>
      <c r="AE649">
        <v>0</v>
      </c>
      <c r="AF649">
        <v>0</v>
      </c>
      <c r="AG649">
        <v>0</v>
      </c>
      <c r="AH649" t="s">
        <v>58</v>
      </c>
    </row>
    <row r="650" spans="1:34" x14ac:dyDescent="0.3">
      <c r="A650" t="s">
        <v>798</v>
      </c>
      <c r="B650">
        <v>12200174</v>
      </c>
      <c r="C650">
        <v>22339805</v>
      </c>
      <c r="D650" t="s">
        <v>812</v>
      </c>
      <c r="E650" t="s">
        <v>438</v>
      </c>
      <c r="F650" t="s">
        <v>427</v>
      </c>
      <c r="G650" t="s">
        <v>82</v>
      </c>
      <c r="H650" t="s">
        <v>82</v>
      </c>
      <c r="J650" t="s">
        <v>52</v>
      </c>
      <c r="K650" s="15">
        <v>3000</v>
      </c>
      <c r="L650" s="15">
        <v>0</v>
      </c>
      <c r="M650" s="13">
        <v>45107</v>
      </c>
      <c r="O650">
        <v>0</v>
      </c>
      <c r="P650">
        <v>0</v>
      </c>
      <c r="Q650">
        <v>0</v>
      </c>
      <c r="R650">
        <v>0</v>
      </c>
      <c r="S650">
        <v>32839.152558591253</v>
      </c>
      <c r="T650">
        <v>0</v>
      </c>
      <c r="U650">
        <v>0</v>
      </c>
      <c r="V650">
        <v>98159.74943273337</v>
      </c>
      <c r="W650">
        <v>0</v>
      </c>
      <c r="X650">
        <v>0</v>
      </c>
      <c r="Y650">
        <v>130998.90199132462</v>
      </c>
      <c r="Z650">
        <v>0</v>
      </c>
      <c r="AA650">
        <v>130998.90199132462</v>
      </c>
      <c r="AB650" t="s">
        <v>242</v>
      </c>
      <c r="AC650">
        <v>1</v>
      </c>
      <c r="AD650">
        <v>3000</v>
      </c>
      <c r="AE650">
        <v>0</v>
      </c>
      <c r="AF650">
        <v>0</v>
      </c>
      <c r="AG650">
        <v>0</v>
      </c>
      <c r="AH650" t="s">
        <v>72</v>
      </c>
    </row>
    <row r="651" spans="1:34" x14ac:dyDescent="0.3">
      <c r="A651" t="s">
        <v>798</v>
      </c>
      <c r="B651">
        <v>22200010</v>
      </c>
      <c r="C651">
        <v>18928437</v>
      </c>
      <c r="D651" t="s">
        <v>85</v>
      </c>
      <c r="E651" t="s">
        <v>435</v>
      </c>
      <c r="F651" t="s">
        <v>428</v>
      </c>
      <c r="G651" t="s">
        <v>82</v>
      </c>
      <c r="H651" t="s">
        <v>82</v>
      </c>
      <c r="J651" t="s">
        <v>52</v>
      </c>
      <c r="K651" s="15">
        <v>1000</v>
      </c>
      <c r="L651" s="15">
        <v>0</v>
      </c>
      <c r="M651" s="13">
        <v>45107</v>
      </c>
      <c r="O651">
        <v>0</v>
      </c>
      <c r="P651">
        <v>0</v>
      </c>
      <c r="Q651">
        <v>0</v>
      </c>
      <c r="R651">
        <v>0</v>
      </c>
      <c r="S651">
        <v>1431.76186550685</v>
      </c>
      <c r="T651">
        <v>0</v>
      </c>
      <c r="U651">
        <v>0</v>
      </c>
      <c r="V651">
        <v>18637.990000000002</v>
      </c>
      <c r="W651">
        <v>0</v>
      </c>
      <c r="X651">
        <v>0</v>
      </c>
      <c r="Y651">
        <v>20069.751865506852</v>
      </c>
      <c r="Z651">
        <v>0</v>
      </c>
      <c r="AA651">
        <v>20069.751865506852</v>
      </c>
      <c r="AB651" t="s">
        <v>242</v>
      </c>
      <c r="AC651">
        <v>10</v>
      </c>
      <c r="AD651">
        <v>8000</v>
      </c>
      <c r="AE651">
        <v>0</v>
      </c>
      <c r="AF651">
        <v>0</v>
      </c>
      <c r="AG651">
        <v>0</v>
      </c>
      <c r="AH651" t="s">
        <v>58</v>
      </c>
    </row>
    <row r="652" spans="1:34" x14ac:dyDescent="0.3">
      <c r="A652" t="s">
        <v>798</v>
      </c>
      <c r="B652">
        <v>22200068</v>
      </c>
      <c r="C652">
        <v>20579132</v>
      </c>
      <c r="D652" t="s">
        <v>80</v>
      </c>
      <c r="E652" t="s">
        <v>435</v>
      </c>
      <c r="F652" t="s">
        <v>428</v>
      </c>
      <c r="G652" t="s">
        <v>82</v>
      </c>
      <c r="H652" t="s">
        <v>82</v>
      </c>
      <c r="J652" t="s">
        <v>52</v>
      </c>
      <c r="K652" s="15">
        <v>500</v>
      </c>
      <c r="L652" s="15">
        <v>0</v>
      </c>
      <c r="M652" s="13">
        <v>45107</v>
      </c>
      <c r="O652">
        <v>0</v>
      </c>
      <c r="P652">
        <v>0</v>
      </c>
      <c r="Q652">
        <v>0</v>
      </c>
      <c r="R652">
        <v>0</v>
      </c>
      <c r="S652">
        <v>3057.3615921232877</v>
      </c>
      <c r="T652">
        <v>0</v>
      </c>
      <c r="U652">
        <v>0</v>
      </c>
      <c r="V652">
        <v>21133.91</v>
      </c>
      <c r="W652">
        <v>0</v>
      </c>
      <c r="X652">
        <v>0</v>
      </c>
      <c r="Y652">
        <v>24191.271592123288</v>
      </c>
      <c r="Z652">
        <v>0</v>
      </c>
      <c r="AA652">
        <v>24191.271592123288</v>
      </c>
      <c r="AB652" t="s">
        <v>242</v>
      </c>
      <c r="AC652">
        <v>8</v>
      </c>
      <c r="AD652">
        <v>5500</v>
      </c>
      <c r="AE652">
        <v>0</v>
      </c>
      <c r="AF652">
        <v>0</v>
      </c>
      <c r="AG652">
        <v>0</v>
      </c>
      <c r="AH652" t="s">
        <v>58</v>
      </c>
    </row>
    <row r="653" spans="1:34" x14ac:dyDescent="0.3">
      <c r="A653" t="s">
        <v>798</v>
      </c>
      <c r="B653">
        <v>32200123</v>
      </c>
      <c r="C653">
        <v>26112598</v>
      </c>
      <c r="D653" t="s">
        <v>815</v>
      </c>
      <c r="E653" t="s">
        <v>438</v>
      </c>
      <c r="F653" t="s">
        <v>429</v>
      </c>
      <c r="G653" t="s">
        <v>82</v>
      </c>
      <c r="H653" t="s">
        <v>82</v>
      </c>
      <c r="J653" t="s">
        <v>52</v>
      </c>
      <c r="K653" s="15">
        <v>2000</v>
      </c>
      <c r="L653" s="15">
        <v>0</v>
      </c>
      <c r="M653" s="13">
        <v>45107</v>
      </c>
      <c r="O653">
        <v>0</v>
      </c>
      <c r="P653">
        <v>0</v>
      </c>
      <c r="Q653">
        <v>0</v>
      </c>
      <c r="R653">
        <v>0</v>
      </c>
      <c r="S653">
        <v>3254.7013698630144</v>
      </c>
      <c r="T653">
        <v>0</v>
      </c>
      <c r="U653">
        <v>0</v>
      </c>
      <c r="V653">
        <v>18150</v>
      </c>
      <c r="W653">
        <v>0</v>
      </c>
      <c r="X653">
        <v>0</v>
      </c>
      <c r="Y653">
        <v>21404.701369863014</v>
      </c>
      <c r="Z653">
        <v>0</v>
      </c>
      <c r="AA653">
        <v>21404.701369863014</v>
      </c>
      <c r="AB653" t="s">
        <v>242</v>
      </c>
      <c r="AC653">
        <v>2</v>
      </c>
      <c r="AD653">
        <v>4000</v>
      </c>
      <c r="AE653">
        <v>0</v>
      </c>
      <c r="AF653">
        <v>0</v>
      </c>
      <c r="AG653">
        <v>0</v>
      </c>
      <c r="AH653" t="s">
        <v>58</v>
      </c>
    </row>
    <row r="654" spans="1:34" x14ac:dyDescent="0.3">
      <c r="A654" t="s">
        <v>798</v>
      </c>
      <c r="B654">
        <v>42200856</v>
      </c>
      <c r="C654">
        <v>2757002330</v>
      </c>
      <c r="D654" t="s">
        <v>127</v>
      </c>
      <c r="E654" t="s">
        <v>439</v>
      </c>
      <c r="F654" t="s">
        <v>430</v>
      </c>
      <c r="G654" t="s">
        <v>233</v>
      </c>
      <c r="H654" t="s">
        <v>234</v>
      </c>
      <c r="J654" t="s">
        <v>52</v>
      </c>
      <c r="K654" s="15">
        <v>500</v>
      </c>
      <c r="L654" s="15">
        <v>0</v>
      </c>
      <c r="M654" s="13">
        <v>45107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36769.598130841121</v>
      </c>
      <c r="Y654">
        <v>36769.598130841121</v>
      </c>
      <c r="Z654">
        <v>2573.8718691588788</v>
      </c>
      <c r="AA654">
        <v>39343.47</v>
      </c>
      <c r="AB654" t="s">
        <v>242</v>
      </c>
      <c r="AC654">
        <v>2</v>
      </c>
      <c r="AD654">
        <v>1000</v>
      </c>
      <c r="AE654">
        <v>0</v>
      </c>
      <c r="AF654">
        <v>0</v>
      </c>
      <c r="AG654">
        <v>65.420560747663558</v>
      </c>
      <c r="AH654" t="s">
        <v>58</v>
      </c>
    </row>
    <row r="655" spans="1:34" x14ac:dyDescent="0.3">
      <c r="A655" t="s">
        <v>798</v>
      </c>
      <c r="B655">
        <v>42201112</v>
      </c>
      <c r="C655">
        <v>2756020075</v>
      </c>
      <c r="D655" t="s">
        <v>128</v>
      </c>
      <c r="E655" t="s">
        <v>439</v>
      </c>
      <c r="F655" t="s">
        <v>430</v>
      </c>
      <c r="G655" t="s">
        <v>233</v>
      </c>
      <c r="H655" t="s">
        <v>234</v>
      </c>
      <c r="J655" t="s">
        <v>52</v>
      </c>
      <c r="K655" s="15">
        <v>2000</v>
      </c>
      <c r="L655" s="15">
        <v>0</v>
      </c>
      <c r="M655" s="13">
        <v>45107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116860.19626168224</v>
      </c>
      <c r="Y655">
        <v>116860.19626168224</v>
      </c>
      <c r="Z655">
        <v>8180.2137383177578</v>
      </c>
      <c r="AA655">
        <v>125040.41</v>
      </c>
      <c r="AB655" t="s">
        <v>242</v>
      </c>
      <c r="AC655">
        <v>1</v>
      </c>
      <c r="AD655">
        <v>2000</v>
      </c>
      <c r="AE655">
        <v>0</v>
      </c>
      <c r="AF655">
        <v>0</v>
      </c>
      <c r="AG655">
        <v>130.84112149532712</v>
      </c>
      <c r="AH655" t="s">
        <v>72</v>
      </c>
    </row>
    <row r="656" spans="1:34" x14ac:dyDescent="0.3">
      <c r="A656" t="s">
        <v>798</v>
      </c>
      <c r="B656">
        <v>42201121</v>
      </c>
      <c r="C656">
        <v>2755013059</v>
      </c>
      <c r="D656" t="s">
        <v>829</v>
      </c>
      <c r="E656" t="s">
        <v>439</v>
      </c>
      <c r="F656" t="s">
        <v>430</v>
      </c>
      <c r="G656" t="s">
        <v>233</v>
      </c>
      <c r="H656" t="s">
        <v>234</v>
      </c>
      <c r="J656" t="s">
        <v>52</v>
      </c>
      <c r="K656" s="15">
        <v>2000</v>
      </c>
      <c r="L656" s="15">
        <v>0</v>
      </c>
      <c r="M656" s="13">
        <v>45107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123209.57943925234</v>
      </c>
      <c r="Y656">
        <v>123209.57943925234</v>
      </c>
      <c r="Z656">
        <v>8624.6705607476651</v>
      </c>
      <c r="AA656">
        <v>131834.25</v>
      </c>
      <c r="AB656" t="s">
        <v>242</v>
      </c>
      <c r="AC656">
        <v>1</v>
      </c>
      <c r="AD656">
        <v>2000</v>
      </c>
      <c r="AE656">
        <v>0</v>
      </c>
      <c r="AF656">
        <v>0</v>
      </c>
      <c r="AG656">
        <v>130.84112149532712</v>
      </c>
      <c r="AH656" t="s">
        <v>72</v>
      </c>
    </row>
    <row r="657" spans="1:34" x14ac:dyDescent="0.3">
      <c r="A657" t="s">
        <v>798</v>
      </c>
      <c r="B657">
        <v>42201150</v>
      </c>
      <c r="C657">
        <v>2758020463</v>
      </c>
      <c r="D657" t="s">
        <v>129</v>
      </c>
      <c r="E657" t="s">
        <v>439</v>
      </c>
      <c r="F657" t="s">
        <v>430</v>
      </c>
      <c r="G657" t="s">
        <v>230</v>
      </c>
      <c r="H657" t="s">
        <v>234</v>
      </c>
      <c r="J657" t="s">
        <v>52</v>
      </c>
      <c r="K657" s="15">
        <v>10000</v>
      </c>
      <c r="L657" s="15">
        <v>0</v>
      </c>
      <c r="M657" s="13">
        <v>45107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369010.62616822432</v>
      </c>
      <c r="Y657">
        <v>369010.62616822432</v>
      </c>
      <c r="Z657">
        <v>25830.743831775704</v>
      </c>
      <c r="AA657">
        <v>394841.37</v>
      </c>
      <c r="AB657" t="s">
        <v>242</v>
      </c>
      <c r="AC657">
        <v>2</v>
      </c>
      <c r="AD657">
        <v>20000</v>
      </c>
      <c r="AE657">
        <v>0</v>
      </c>
      <c r="AF657">
        <v>0</v>
      </c>
      <c r="AG657">
        <v>1308.4112149532702</v>
      </c>
      <c r="AH657" t="s">
        <v>58</v>
      </c>
    </row>
    <row r="658" spans="1:34" x14ac:dyDescent="0.3">
      <c r="A658" t="s">
        <v>798</v>
      </c>
      <c r="B658">
        <v>42201379</v>
      </c>
      <c r="C658">
        <v>2753003129</v>
      </c>
      <c r="D658" t="s">
        <v>833</v>
      </c>
      <c r="E658" t="s">
        <v>439</v>
      </c>
      <c r="F658" t="s">
        <v>430</v>
      </c>
      <c r="G658" t="s">
        <v>230</v>
      </c>
      <c r="H658" t="s">
        <v>234</v>
      </c>
      <c r="J658" t="s">
        <v>52</v>
      </c>
      <c r="K658" s="15">
        <v>500</v>
      </c>
      <c r="L658" s="15">
        <v>0</v>
      </c>
      <c r="M658" s="13">
        <v>45107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74915.457943925241</v>
      </c>
      <c r="Y658">
        <v>74915.457943925241</v>
      </c>
      <c r="Z658">
        <v>5244.082056074767</v>
      </c>
      <c r="AA658">
        <v>80159.540000000008</v>
      </c>
      <c r="AB658" t="s">
        <v>242</v>
      </c>
      <c r="AC658">
        <v>3</v>
      </c>
      <c r="AD658">
        <v>1500</v>
      </c>
      <c r="AE658">
        <v>0</v>
      </c>
      <c r="AF658">
        <v>0</v>
      </c>
      <c r="AG658">
        <v>98.130841121495337</v>
      </c>
      <c r="AH658" t="s">
        <v>58</v>
      </c>
    </row>
    <row r="659" spans="1:34" x14ac:dyDescent="0.3">
      <c r="A659" t="s">
        <v>798</v>
      </c>
      <c r="B659">
        <v>52200358</v>
      </c>
      <c r="C659">
        <v>26358634</v>
      </c>
      <c r="D659" t="s">
        <v>851</v>
      </c>
      <c r="E659" t="s">
        <v>436</v>
      </c>
      <c r="F659" t="s">
        <v>431</v>
      </c>
      <c r="G659" t="s">
        <v>82</v>
      </c>
      <c r="H659" t="s">
        <v>83</v>
      </c>
      <c r="J659" t="s">
        <v>52</v>
      </c>
      <c r="K659" s="15">
        <v>500</v>
      </c>
      <c r="L659" s="15">
        <v>0</v>
      </c>
      <c r="M659" s="13">
        <v>45107</v>
      </c>
      <c r="O659">
        <v>0</v>
      </c>
      <c r="P659">
        <v>0</v>
      </c>
      <c r="Q659">
        <v>0</v>
      </c>
      <c r="R659">
        <v>925.8718452871949</v>
      </c>
      <c r="S659">
        <v>21932.983093320552</v>
      </c>
      <c r="T659">
        <v>0</v>
      </c>
      <c r="U659">
        <v>0</v>
      </c>
      <c r="V659">
        <v>42723.211920691763</v>
      </c>
      <c r="W659">
        <v>0</v>
      </c>
      <c r="X659">
        <v>0</v>
      </c>
      <c r="Y659">
        <v>65582.066859299506</v>
      </c>
      <c r="Z659">
        <v>4525.9336509808627</v>
      </c>
      <c r="AA659">
        <v>70108.00051028037</v>
      </c>
      <c r="AB659" t="s">
        <v>242</v>
      </c>
      <c r="AC659">
        <v>2</v>
      </c>
      <c r="AD659">
        <v>1000</v>
      </c>
      <c r="AE659">
        <v>0</v>
      </c>
      <c r="AF659">
        <v>0</v>
      </c>
      <c r="AG659">
        <v>64.496288944022126</v>
      </c>
      <c r="AH659" t="s">
        <v>58</v>
      </c>
    </row>
    <row r="660" spans="1:34" x14ac:dyDescent="0.3">
      <c r="A660" t="s">
        <v>798</v>
      </c>
      <c r="B660">
        <v>52200390</v>
      </c>
      <c r="C660">
        <v>28031153</v>
      </c>
      <c r="D660" t="s">
        <v>853</v>
      </c>
      <c r="E660" t="s">
        <v>436</v>
      </c>
      <c r="F660" t="s">
        <v>431</v>
      </c>
      <c r="G660" t="s">
        <v>82</v>
      </c>
      <c r="H660" t="s">
        <v>83</v>
      </c>
      <c r="J660" t="s">
        <v>52</v>
      </c>
      <c r="K660" s="15">
        <v>1000</v>
      </c>
      <c r="L660" s="15">
        <v>0</v>
      </c>
      <c r="M660" s="13">
        <v>45107</v>
      </c>
      <c r="O660">
        <v>0</v>
      </c>
      <c r="P660">
        <v>0</v>
      </c>
      <c r="Q660">
        <v>0</v>
      </c>
      <c r="R660">
        <v>909.04994625242352</v>
      </c>
      <c r="S660">
        <v>35437.117992409731</v>
      </c>
      <c r="T660">
        <v>0</v>
      </c>
      <c r="U660">
        <v>0</v>
      </c>
      <c r="V660">
        <v>51886.19999825312</v>
      </c>
      <c r="W660">
        <v>0</v>
      </c>
      <c r="X660">
        <v>0</v>
      </c>
      <c r="Y660">
        <v>88232.367936915281</v>
      </c>
      <c r="Z660">
        <v>6112.6322593464001</v>
      </c>
      <c r="AA660">
        <v>94345.000196261681</v>
      </c>
      <c r="AB660" t="s">
        <v>242</v>
      </c>
      <c r="AC660">
        <v>5</v>
      </c>
      <c r="AD660">
        <v>3000</v>
      </c>
      <c r="AE660">
        <v>0</v>
      </c>
      <c r="AF660">
        <v>0</v>
      </c>
      <c r="AG660">
        <v>194.23691237165389</v>
      </c>
      <c r="AH660" t="s">
        <v>58</v>
      </c>
    </row>
    <row r="661" spans="1:34" x14ac:dyDescent="0.3">
      <c r="A661" t="s">
        <v>798</v>
      </c>
      <c r="B661">
        <v>52200412</v>
      </c>
      <c r="C661">
        <v>25145601</v>
      </c>
      <c r="D661" t="s">
        <v>86</v>
      </c>
      <c r="E661" t="s">
        <v>436</v>
      </c>
      <c r="F661" t="s">
        <v>431</v>
      </c>
      <c r="G661" t="s">
        <v>82</v>
      </c>
      <c r="H661" t="s">
        <v>83</v>
      </c>
      <c r="J661" t="s">
        <v>52</v>
      </c>
      <c r="K661" s="15">
        <v>1000</v>
      </c>
      <c r="L661" s="15">
        <v>0</v>
      </c>
      <c r="M661" s="13">
        <v>45107</v>
      </c>
      <c r="O661">
        <v>0</v>
      </c>
      <c r="P661">
        <v>0</v>
      </c>
      <c r="Q661">
        <v>0</v>
      </c>
      <c r="R661">
        <v>818.28626312970903</v>
      </c>
      <c r="S661">
        <v>26719.917811556654</v>
      </c>
      <c r="T661">
        <v>0</v>
      </c>
      <c r="U661">
        <v>0</v>
      </c>
      <c r="V661">
        <v>52616.263104201244</v>
      </c>
      <c r="W661">
        <v>0</v>
      </c>
      <c r="X661">
        <v>0</v>
      </c>
      <c r="Y661">
        <v>80154.4671788876</v>
      </c>
      <c r="Z661">
        <v>5553.5326641030533</v>
      </c>
      <c r="AA661">
        <v>85707.999842990655</v>
      </c>
      <c r="AB661" t="s">
        <v>242</v>
      </c>
      <c r="AC661">
        <v>8</v>
      </c>
      <c r="AD661">
        <v>7100</v>
      </c>
      <c r="AE661">
        <v>0</v>
      </c>
      <c r="AF661">
        <v>0</v>
      </c>
      <c r="AG661">
        <v>459.72900786829877</v>
      </c>
      <c r="AH661" t="s">
        <v>58</v>
      </c>
    </row>
    <row r="662" spans="1:34" x14ac:dyDescent="0.3">
      <c r="A662" t="s">
        <v>798</v>
      </c>
      <c r="B662">
        <v>52200759</v>
      </c>
      <c r="C662">
        <v>28121445</v>
      </c>
      <c r="D662" t="s">
        <v>861</v>
      </c>
      <c r="E662" t="s">
        <v>438</v>
      </c>
      <c r="F662" t="s">
        <v>431</v>
      </c>
      <c r="G662" t="s">
        <v>82</v>
      </c>
      <c r="H662" t="s">
        <v>83</v>
      </c>
      <c r="J662" t="s">
        <v>52</v>
      </c>
      <c r="K662" s="15">
        <v>1200</v>
      </c>
      <c r="L662" s="15">
        <v>0</v>
      </c>
      <c r="M662" s="13">
        <v>45107</v>
      </c>
      <c r="O662">
        <v>0</v>
      </c>
      <c r="P662">
        <v>0</v>
      </c>
      <c r="Q662">
        <v>0</v>
      </c>
      <c r="R662">
        <v>813.7629295469784</v>
      </c>
      <c r="S662">
        <v>9055.9796361851277</v>
      </c>
      <c r="T662">
        <v>0</v>
      </c>
      <c r="U662">
        <v>0</v>
      </c>
      <c r="V662">
        <v>39834.895745406931</v>
      </c>
      <c r="W662">
        <v>0</v>
      </c>
      <c r="X662">
        <v>0</v>
      </c>
      <c r="Y662">
        <v>49704.638311139039</v>
      </c>
      <c r="Z662">
        <v>3422.3612767114441</v>
      </c>
      <c r="AA662">
        <v>53126.999587850485</v>
      </c>
      <c r="AB662" t="s">
        <v>242</v>
      </c>
      <c r="AC662">
        <v>4</v>
      </c>
      <c r="AD662">
        <v>4700</v>
      </c>
      <c r="AE662">
        <v>0</v>
      </c>
      <c r="AF662">
        <v>0</v>
      </c>
      <c r="AG662">
        <v>302.42374305447527</v>
      </c>
      <c r="AH662" t="s">
        <v>58</v>
      </c>
    </row>
    <row r="663" spans="1:34" x14ac:dyDescent="0.3">
      <c r="A663" t="s">
        <v>798</v>
      </c>
      <c r="B663">
        <v>52201061</v>
      </c>
      <c r="C663">
        <v>28773198</v>
      </c>
      <c r="D663" t="s">
        <v>871</v>
      </c>
      <c r="E663" t="s">
        <v>438</v>
      </c>
      <c r="F663" t="s">
        <v>431</v>
      </c>
      <c r="G663" t="s">
        <v>82</v>
      </c>
      <c r="H663" t="s">
        <v>83</v>
      </c>
      <c r="J663" t="s">
        <v>52</v>
      </c>
      <c r="K663" s="15">
        <v>1000</v>
      </c>
      <c r="L663" s="15">
        <v>0</v>
      </c>
      <c r="M663" s="13">
        <v>45107</v>
      </c>
      <c r="O663">
        <v>0</v>
      </c>
      <c r="P663">
        <v>0</v>
      </c>
      <c r="Q663">
        <v>0</v>
      </c>
      <c r="R663">
        <v>861.14848684853189</v>
      </c>
      <c r="S663">
        <v>28619.465574154441</v>
      </c>
      <c r="T663">
        <v>0</v>
      </c>
      <c r="U663">
        <v>0</v>
      </c>
      <c r="V663">
        <v>42760.769466523408</v>
      </c>
      <c r="W663">
        <v>0</v>
      </c>
      <c r="X663">
        <v>0</v>
      </c>
      <c r="Y663">
        <v>72241.383527526385</v>
      </c>
      <c r="Z663">
        <v>4996.6164528474501</v>
      </c>
      <c r="AA663">
        <v>77237.999980373832</v>
      </c>
      <c r="AB663" t="s">
        <v>242</v>
      </c>
      <c r="AC663">
        <v>2</v>
      </c>
      <c r="AD663">
        <v>2500</v>
      </c>
      <c r="AE663">
        <v>0</v>
      </c>
      <c r="AF663">
        <v>0</v>
      </c>
      <c r="AG663">
        <v>161.59849913962364</v>
      </c>
      <c r="AH663" t="s">
        <v>58</v>
      </c>
    </row>
    <row r="664" spans="1:34" x14ac:dyDescent="0.3">
      <c r="A664" t="s">
        <v>798</v>
      </c>
      <c r="B664">
        <v>52201274</v>
      </c>
      <c r="C664">
        <v>25806950</v>
      </c>
      <c r="D664" t="s">
        <v>152</v>
      </c>
      <c r="E664" t="s">
        <v>438</v>
      </c>
      <c r="F664" t="s">
        <v>431</v>
      </c>
      <c r="G664" t="s">
        <v>82</v>
      </c>
      <c r="H664" t="s">
        <v>83</v>
      </c>
      <c r="J664" t="s">
        <v>52</v>
      </c>
      <c r="K664" s="15">
        <v>3000</v>
      </c>
      <c r="L664" s="15">
        <v>0</v>
      </c>
      <c r="M664" s="13">
        <v>45107</v>
      </c>
      <c r="O664">
        <v>0</v>
      </c>
      <c r="P664">
        <v>0</v>
      </c>
      <c r="Q664">
        <v>0</v>
      </c>
      <c r="R664">
        <v>865.42525423443919</v>
      </c>
      <c r="S664">
        <v>18646.068166313329</v>
      </c>
      <c r="T664">
        <v>0</v>
      </c>
      <c r="U664">
        <v>0</v>
      </c>
      <c r="V664">
        <v>82200.263157792826</v>
      </c>
      <c r="W664">
        <v>0</v>
      </c>
      <c r="X664">
        <v>0</v>
      </c>
      <c r="Y664">
        <v>101711.7565783406</v>
      </c>
      <c r="Z664">
        <v>7059.2431926874315</v>
      </c>
      <c r="AA664">
        <v>108770.99977102803</v>
      </c>
      <c r="AB664" t="s">
        <v>242</v>
      </c>
      <c r="AC664">
        <v>1</v>
      </c>
      <c r="AD664">
        <v>3000</v>
      </c>
      <c r="AE664">
        <v>0</v>
      </c>
      <c r="AF664">
        <v>0</v>
      </c>
      <c r="AG664">
        <v>194.58856803402887</v>
      </c>
      <c r="AH664" t="s">
        <v>72</v>
      </c>
    </row>
    <row r="665" spans="1:34" x14ac:dyDescent="0.3">
      <c r="A665" t="s">
        <v>798</v>
      </c>
      <c r="B665">
        <v>52201340</v>
      </c>
      <c r="C665">
        <v>28518241</v>
      </c>
      <c r="D665" t="s">
        <v>154</v>
      </c>
      <c r="E665" t="s">
        <v>438</v>
      </c>
      <c r="F665" t="s">
        <v>431</v>
      </c>
      <c r="G665" t="s">
        <v>82</v>
      </c>
      <c r="H665" t="s">
        <v>83</v>
      </c>
      <c r="J665" t="s">
        <v>52</v>
      </c>
      <c r="K665" s="15">
        <v>5000</v>
      </c>
      <c r="L665" s="15">
        <v>0</v>
      </c>
      <c r="M665" s="13">
        <v>45107</v>
      </c>
      <c r="O665">
        <v>0</v>
      </c>
      <c r="P665">
        <v>0</v>
      </c>
      <c r="Q665">
        <v>0</v>
      </c>
      <c r="R665">
        <v>965.59108499649608</v>
      </c>
      <c r="S665">
        <v>19024.007055253875</v>
      </c>
      <c r="T665">
        <v>0</v>
      </c>
      <c r="U665">
        <v>0</v>
      </c>
      <c r="V665">
        <v>46100.673645528383</v>
      </c>
      <c r="W665">
        <v>0</v>
      </c>
      <c r="X665">
        <v>0</v>
      </c>
      <c r="Y665">
        <v>66090.27178577875</v>
      </c>
      <c r="Z665">
        <v>4558.7276490547583</v>
      </c>
      <c r="AA665">
        <v>70648.999434833502</v>
      </c>
      <c r="AB665" t="s">
        <v>242</v>
      </c>
      <c r="AC665">
        <v>1</v>
      </c>
      <c r="AD665">
        <v>5000</v>
      </c>
      <c r="AE665">
        <v>0</v>
      </c>
      <c r="AF665">
        <v>0</v>
      </c>
      <c r="AG665">
        <v>322.30035135491107</v>
      </c>
      <c r="AH665" t="s">
        <v>72</v>
      </c>
    </row>
    <row r="666" spans="1:34" x14ac:dyDescent="0.3">
      <c r="A666" t="s">
        <v>798</v>
      </c>
      <c r="B666">
        <v>52201351</v>
      </c>
      <c r="C666">
        <v>22940816</v>
      </c>
      <c r="D666" t="s">
        <v>155</v>
      </c>
      <c r="E666" t="s">
        <v>438</v>
      </c>
      <c r="F666" t="s">
        <v>431</v>
      </c>
      <c r="G666" t="s">
        <v>82</v>
      </c>
      <c r="H666" t="s">
        <v>83</v>
      </c>
      <c r="J666" t="s">
        <v>52</v>
      </c>
      <c r="K666" s="15">
        <v>1500</v>
      </c>
      <c r="L666" s="15">
        <v>0</v>
      </c>
      <c r="M666" s="13">
        <v>45107</v>
      </c>
      <c r="O666">
        <v>0</v>
      </c>
      <c r="P666">
        <v>0</v>
      </c>
      <c r="Q666">
        <v>0</v>
      </c>
      <c r="R666">
        <v>878.33661878777809</v>
      </c>
      <c r="S666">
        <v>29429.757222368869</v>
      </c>
      <c r="T666">
        <v>0</v>
      </c>
      <c r="U666">
        <v>0</v>
      </c>
      <c r="V666">
        <v>73829.741339665459</v>
      </c>
      <c r="W666">
        <v>0</v>
      </c>
      <c r="X666">
        <v>0</v>
      </c>
      <c r="Y666">
        <v>104137.83518082211</v>
      </c>
      <c r="Z666">
        <v>7228.1648993424042</v>
      </c>
      <c r="AA666">
        <v>111366.00008016451</v>
      </c>
      <c r="AB666" t="s">
        <v>242</v>
      </c>
      <c r="AC666">
        <v>1</v>
      </c>
      <c r="AD666">
        <v>1500</v>
      </c>
      <c r="AE666">
        <v>0</v>
      </c>
      <c r="AF666">
        <v>0</v>
      </c>
      <c r="AG666">
        <v>97.302395621630467</v>
      </c>
      <c r="AH666" t="s">
        <v>72</v>
      </c>
    </row>
    <row r="667" spans="1:34" x14ac:dyDescent="0.3">
      <c r="A667" t="s">
        <v>798</v>
      </c>
      <c r="B667">
        <v>52201479</v>
      </c>
      <c r="C667">
        <v>26373941</v>
      </c>
      <c r="D667" t="s">
        <v>159</v>
      </c>
      <c r="E667" t="s">
        <v>438</v>
      </c>
      <c r="F667" t="s">
        <v>431</v>
      </c>
      <c r="G667" t="s">
        <v>82</v>
      </c>
      <c r="H667" t="s">
        <v>83</v>
      </c>
      <c r="J667" t="s">
        <v>52</v>
      </c>
      <c r="K667" s="15">
        <v>8700</v>
      </c>
      <c r="L667" s="15">
        <v>0</v>
      </c>
      <c r="M667" s="13">
        <v>45107</v>
      </c>
      <c r="O667">
        <v>0</v>
      </c>
      <c r="P667">
        <v>0</v>
      </c>
      <c r="Q667">
        <v>0</v>
      </c>
      <c r="R667">
        <v>682.51232976860013</v>
      </c>
      <c r="S667">
        <v>4341.3339788677968</v>
      </c>
      <c r="T667">
        <v>0</v>
      </c>
      <c r="U667">
        <v>0</v>
      </c>
      <c r="V667">
        <v>48696.505044756617</v>
      </c>
      <c r="W667">
        <v>0</v>
      </c>
      <c r="X667">
        <v>0</v>
      </c>
      <c r="Y667">
        <v>53720.351353393016</v>
      </c>
      <c r="Z667">
        <v>3712.6487316537095</v>
      </c>
      <c r="AA667">
        <v>57433.000085046726</v>
      </c>
      <c r="AB667" t="s">
        <v>242</v>
      </c>
      <c r="AC667">
        <v>4</v>
      </c>
      <c r="AD667">
        <v>16200</v>
      </c>
      <c r="AE667">
        <v>0</v>
      </c>
      <c r="AF667">
        <v>0</v>
      </c>
      <c r="AG667">
        <v>1046.173703816637</v>
      </c>
      <c r="AH667" t="s">
        <v>58</v>
      </c>
    </row>
    <row r="668" spans="1:34" x14ac:dyDescent="0.3">
      <c r="A668" t="s">
        <v>798</v>
      </c>
      <c r="B668">
        <v>52201830</v>
      </c>
      <c r="C668">
        <v>25560817</v>
      </c>
      <c r="D668" t="s">
        <v>167</v>
      </c>
      <c r="E668" t="s">
        <v>438</v>
      </c>
      <c r="F668" t="s">
        <v>431</v>
      </c>
      <c r="G668" t="s">
        <v>82</v>
      </c>
      <c r="H668" t="s">
        <v>83</v>
      </c>
      <c r="J668" t="s">
        <v>52</v>
      </c>
      <c r="K668" s="15">
        <v>1750</v>
      </c>
      <c r="L668" s="15">
        <v>0</v>
      </c>
      <c r="M668" s="13">
        <v>45107</v>
      </c>
      <c r="O668">
        <v>0</v>
      </c>
      <c r="P668">
        <v>0</v>
      </c>
      <c r="Q668">
        <v>0</v>
      </c>
      <c r="R668">
        <v>916.40827730283911</v>
      </c>
      <c r="S668">
        <v>29954.52357378391</v>
      </c>
      <c r="T668">
        <v>0</v>
      </c>
      <c r="U668">
        <v>0</v>
      </c>
      <c r="V668">
        <v>53474.06748157987</v>
      </c>
      <c r="W668">
        <v>0</v>
      </c>
      <c r="X668">
        <v>0</v>
      </c>
      <c r="Y668">
        <v>84344.999332666615</v>
      </c>
      <c r="Z668">
        <v>5840.0013738754651</v>
      </c>
      <c r="AA668">
        <v>90185.00070654208</v>
      </c>
      <c r="AB668" t="s">
        <v>242</v>
      </c>
      <c r="AC668">
        <v>3</v>
      </c>
      <c r="AD668">
        <v>6750</v>
      </c>
      <c r="AE668">
        <v>0</v>
      </c>
      <c r="AF668">
        <v>0</v>
      </c>
      <c r="AG668">
        <v>436.77437328149404</v>
      </c>
      <c r="AH668" t="s">
        <v>58</v>
      </c>
    </row>
    <row r="669" spans="1:34" x14ac:dyDescent="0.3">
      <c r="A669" t="s">
        <v>798</v>
      </c>
      <c r="B669">
        <v>62200080</v>
      </c>
      <c r="C669">
        <v>22425262</v>
      </c>
      <c r="D669" t="s">
        <v>80</v>
      </c>
      <c r="E669" t="s">
        <v>435</v>
      </c>
      <c r="F669" t="s">
        <v>432</v>
      </c>
      <c r="G669" t="s">
        <v>82</v>
      </c>
      <c r="H669" t="s">
        <v>82</v>
      </c>
      <c r="J669" t="s">
        <v>52</v>
      </c>
      <c r="K669" s="15">
        <v>500</v>
      </c>
      <c r="L669" s="15">
        <v>0</v>
      </c>
      <c r="M669" s="13">
        <v>45107</v>
      </c>
      <c r="O669">
        <v>0</v>
      </c>
      <c r="P669">
        <v>0</v>
      </c>
      <c r="Q669">
        <v>0</v>
      </c>
      <c r="R669">
        <v>0</v>
      </c>
      <c r="S669">
        <v>10739.219178082192</v>
      </c>
      <c r="T669">
        <v>0</v>
      </c>
      <c r="U669">
        <v>0</v>
      </c>
      <c r="V669">
        <v>30000</v>
      </c>
      <c r="W669">
        <v>0</v>
      </c>
      <c r="X669">
        <v>0</v>
      </c>
      <c r="Y669">
        <v>40739.219178082189</v>
      </c>
      <c r="Z669">
        <v>0</v>
      </c>
      <c r="AA669">
        <v>40739.219178082189</v>
      </c>
      <c r="AB669" t="s">
        <v>242</v>
      </c>
      <c r="AC669">
        <v>6</v>
      </c>
      <c r="AD669">
        <v>3000</v>
      </c>
      <c r="AE669">
        <v>0</v>
      </c>
      <c r="AF669">
        <v>0</v>
      </c>
      <c r="AG669">
        <v>0</v>
      </c>
      <c r="AH669" t="s">
        <v>58</v>
      </c>
    </row>
    <row r="670" spans="1:34" x14ac:dyDescent="0.3">
      <c r="A670" t="s">
        <v>798</v>
      </c>
      <c r="B670">
        <v>62200115</v>
      </c>
      <c r="C670">
        <v>25275925</v>
      </c>
      <c r="D670" t="s">
        <v>88</v>
      </c>
      <c r="E670" t="s">
        <v>436</v>
      </c>
      <c r="F670" t="s">
        <v>432</v>
      </c>
      <c r="G670" t="s">
        <v>82</v>
      </c>
      <c r="H670" t="s">
        <v>82</v>
      </c>
      <c r="J670" t="s">
        <v>52</v>
      </c>
      <c r="K670" s="15">
        <v>500</v>
      </c>
      <c r="L670" s="15">
        <v>0</v>
      </c>
      <c r="M670" s="13">
        <v>45107</v>
      </c>
      <c r="O670">
        <v>0</v>
      </c>
      <c r="P670">
        <v>0</v>
      </c>
      <c r="Q670">
        <v>0</v>
      </c>
      <c r="R670">
        <v>0</v>
      </c>
      <c r="S670">
        <v>6304.74114699457</v>
      </c>
      <c r="T670">
        <v>0</v>
      </c>
      <c r="U670">
        <v>0</v>
      </c>
      <c r="V670">
        <v>29072.994912695332</v>
      </c>
      <c r="W670">
        <v>0</v>
      </c>
      <c r="X670">
        <v>0</v>
      </c>
      <c r="Y670">
        <v>35377.736059689902</v>
      </c>
      <c r="Z670">
        <v>0</v>
      </c>
      <c r="AA670">
        <v>35377.736059689902</v>
      </c>
      <c r="AB670" t="s">
        <v>242</v>
      </c>
      <c r="AC670">
        <v>5</v>
      </c>
      <c r="AD670">
        <v>3000</v>
      </c>
      <c r="AE670">
        <v>0</v>
      </c>
      <c r="AF670">
        <v>0</v>
      </c>
      <c r="AG670">
        <v>0</v>
      </c>
      <c r="AH670" t="s">
        <v>58</v>
      </c>
    </row>
    <row r="671" spans="1:34" x14ac:dyDescent="0.3">
      <c r="A671" t="s">
        <v>798</v>
      </c>
      <c r="B671">
        <v>4142300116</v>
      </c>
      <c r="C671">
        <v>10205921</v>
      </c>
      <c r="D671" t="s">
        <v>189</v>
      </c>
      <c r="E671" t="s">
        <v>445</v>
      </c>
      <c r="F671" t="s">
        <v>430</v>
      </c>
      <c r="G671" t="s">
        <v>233</v>
      </c>
      <c r="H671" t="s">
        <v>234</v>
      </c>
      <c r="J671" t="s">
        <v>52</v>
      </c>
      <c r="K671" s="15">
        <v>100000</v>
      </c>
      <c r="L671" s="15">
        <v>0</v>
      </c>
      <c r="M671" s="13">
        <v>45107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427661.16822429898</v>
      </c>
      <c r="Y671">
        <v>427661.16822429898</v>
      </c>
      <c r="Z671">
        <v>29936.281775700932</v>
      </c>
      <c r="AA671">
        <v>457597.4499999999</v>
      </c>
      <c r="AB671" t="s">
        <v>242</v>
      </c>
      <c r="AC671">
        <v>1</v>
      </c>
      <c r="AD671">
        <v>100000</v>
      </c>
      <c r="AE671">
        <v>0</v>
      </c>
      <c r="AF671">
        <v>0</v>
      </c>
      <c r="AG671">
        <v>6542.0560747663549</v>
      </c>
      <c r="AH671" t="s">
        <v>72</v>
      </c>
    </row>
    <row r="672" spans="1:34" x14ac:dyDescent="0.3">
      <c r="A672" t="s">
        <v>798</v>
      </c>
      <c r="B672">
        <v>4142300160</v>
      </c>
      <c r="C672">
        <v>10044677</v>
      </c>
      <c r="D672" t="s">
        <v>190</v>
      </c>
      <c r="E672" t="s">
        <v>445</v>
      </c>
      <c r="F672" t="s">
        <v>430</v>
      </c>
      <c r="G672" t="s">
        <v>230</v>
      </c>
      <c r="H672" t="s">
        <v>234</v>
      </c>
      <c r="J672" t="s">
        <v>52</v>
      </c>
      <c r="K672" s="15">
        <v>4000</v>
      </c>
      <c r="L672" s="15">
        <v>0</v>
      </c>
      <c r="M672" s="13">
        <v>45107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77444.495327102806</v>
      </c>
      <c r="Y672">
        <v>77444.495327102806</v>
      </c>
      <c r="Z672">
        <v>5421.1146728971971</v>
      </c>
      <c r="AA672">
        <v>82865.61</v>
      </c>
      <c r="AB672" t="s">
        <v>242</v>
      </c>
      <c r="AC672">
        <v>1</v>
      </c>
      <c r="AD672">
        <v>4000</v>
      </c>
      <c r="AE672">
        <v>0</v>
      </c>
      <c r="AF672">
        <v>0</v>
      </c>
      <c r="AG672">
        <v>261.68224299065423</v>
      </c>
      <c r="AH672" t="s">
        <v>72</v>
      </c>
    </row>
    <row r="673" spans="1:34" x14ac:dyDescent="0.3">
      <c r="A673" t="s">
        <v>798</v>
      </c>
      <c r="B673">
        <v>4142300221</v>
      </c>
      <c r="C673">
        <v>10089343</v>
      </c>
      <c r="D673" t="s">
        <v>194</v>
      </c>
      <c r="E673" t="s">
        <v>445</v>
      </c>
      <c r="F673" t="s">
        <v>430</v>
      </c>
      <c r="G673" t="s">
        <v>230</v>
      </c>
      <c r="H673" t="s">
        <v>234</v>
      </c>
      <c r="J673" t="s">
        <v>52</v>
      </c>
      <c r="K673" s="15">
        <v>10000</v>
      </c>
      <c r="L673" s="15">
        <v>0</v>
      </c>
      <c r="M673" s="13">
        <v>45107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172488.78504672897</v>
      </c>
      <c r="Y673">
        <v>172488.78504672897</v>
      </c>
      <c r="Z673">
        <v>12074.214953271028</v>
      </c>
      <c r="AA673">
        <v>184563</v>
      </c>
      <c r="AB673" t="s">
        <v>242</v>
      </c>
      <c r="AC673">
        <v>1</v>
      </c>
      <c r="AD673">
        <v>10000</v>
      </c>
      <c r="AE673">
        <v>0</v>
      </c>
      <c r="AF673">
        <v>0</v>
      </c>
      <c r="AG673">
        <v>654.20560747663512</v>
      </c>
      <c r="AH673" t="s">
        <v>72</v>
      </c>
    </row>
    <row r="674" spans="1:34" x14ac:dyDescent="0.3">
      <c r="A674" t="s">
        <v>798</v>
      </c>
      <c r="B674">
        <v>4142300416</v>
      </c>
      <c r="C674">
        <v>10179898</v>
      </c>
      <c r="D674" t="s">
        <v>198</v>
      </c>
      <c r="E674" t="s">
        <v>445</v>
      </c>
      <c r="F674" t="s">
        <v>430</v>
      </c>
      <c r="G674" t="s">
        <v>230</v>
      </c>
      <c r="H674" t="s">
        <v>234</v>
      </c>
      <c r="J674" t="s">
        <v>52</v>
      </c>
      <c r="K674" s="15">
        <v>7200</v>
      </c>
      <c r="L674" s="15">
        <v>0</v>
      </c>
      <c r="M674" s="13">
        <v>45107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345380.36448598129</v>
      </c>
      <c r="Y674">
        <v>345380.36448598129</v>
      </c>
      <c r="Z674">
        <v>24176.625514018691</v>
      </c>
      <c r="AA674">
        <v>369556.99</v>
      </c>
      <c r="AB674" t="s">
        <v>242</v>
      </c>
      <c r="AC674">
        <v>1</v>
      </c>
      <c r="AD674">
        <v>7200</v>
      </c>
      <c r="AE674">
        <v>0</v>
      </c>
      <c r="AF674">
        <v>0</v>
      </c>
      <c r="AG674">
        <v>471.02803738317743</v>
      </c>
      <c r="AH674" t="s">
        <v>72</v>
      </c>
    </row>
    <row r="675" spans="1:34" x14ac:dyDescent="0.3">
      <c r="A675" t="s">
        <v>798</v>
      </c>
      <c r="B675">
        <v>4302300030</v>
      </c>
      <c r="C675">
        <v>901014009060</v>
      </c>
      <c r="D675" t="s">
        <v>226</v>
      </c>
      <c r="E675" t="s">
        <v>447</v>
      </c>
      <c r="F675" t="s">
        <v>433</v>
      </c>
      <c r="G675" t="s">
        <v>82</v>
      </c>
      <c r="H675" t="s">
        <v>83</v>
      </c>
      <c r="J675" t="s">
        <v>52</v>
      </c>
      <c r="K675" s="15">
        <v>20000</v>
      </c>
      <c r="L675" s="15">
        <v>0</v>
      </c>
      <c r="M675" s="13">
        <v>45107</v>
      </c>
      <c r="O675">
        <v>0</v>
      </c>
      <c r="P675">
        <v>0</v>
      </c>
      <c r="Q675">
        <v>40405.460658085307</v>
      </c>
      <c r="R675">
        <v>24628.69</v>
      </c>
      <c r="S675">
        <v>109070.73863730342</v>
      </c>
      <c r="T675">
        <v>0</v>
      </c>
      <c r="U675">
        <v>0</v>
      </c>
      <c r="V675">
        <v>587264.66</v>
      </c>
      <c r="W675">
        <v>0</v>
      </c>
      <c r="X675">
        <v>0</v>
      </c>
      <c r="Y675">
        <v>761369.54929538874</v>
      </c>
      <c r="Z675">
        <v>48743.477904611253</v>
      </c>
      <c r="AA675">
        <v>810113.02720000001</v>
      </c>
      <c r="AB675" t="s">
        <v>242</v>
      </c>
      <c r="AC675">
        <v>2</v>
      </c>
      <c r="AD675">
        <v>27000</v>
      </c>
      <c r="AE675">
        <v>0</v>
      </c>
      <c r="AF675">
        <v>0</v>
      </c>
      <c r="AG675">
        <v>1615.2192953887579</v>
      </c>
      <c r="AH675" t="s">
        <v>58</v>
      </c>
    </row>
    <row r="676" spans="1:34" x14ac:dyDescent="0.3">
      <c r="A676" t="s">
        <v>798</v>
      </c>
      <c r="B676">
        <v>4302300036</v>
      </c>
      <c r="C676">
        <v>901015004180</v>
      </c>
      <c r="D676" t="s">
        <v>226</v>
      </c>
      <c r="E676" t="s">
        <v>447</v>
      </c>
      <c r="F676" t="s">
        <v>433</v>
      </c>
      <c r="G676" t="s">
        <v>82</v>
      </c>
      <c r="H676" t="s">
        <v>83</v>
      </c>
      <c r="J676" t="s">
        <v>52</v>
      </c>
      <c r="K676" s="15">
        <v>20000</v>
      </c>
      <c r="L676" s="15">
        <v>0</v>
      </c>
      <c r="M676" s="13">
        <v>45107</v>
      </c>
      <c r="O676">
        <v>0</v>
      </c>
      <c r="P676">
        <v>0</v>
      </c>
      <c r="Q676">
        <v>73849.29535009386</v>
      </c>
      <c r="R676">
        <v>32364.02</v>
      </c>
      <c r="S676">
        <v>184774.35948589357</v>
      </c>
      <c r="T676">
        <v>0</v>
      </c>
      <c r="U676">
        <v>0</v>
      </c>
      <c r="V676">
        <v>1054424.3799999999</v>
      </c>
      <c r="W676">
        <v>0</v>
      </c>
      <c r="X676">
        <v>0</v>
      </c>
      <c r="Y676">
        <v>1345412.0548359873</v>
      </c>
      <c r="Z676">
        <v>86743.911764012548</v>
      </c>
      <c r="AA676">
        <v>1432155.9665999999</v>
      </c>
      <c r="AB676" t="s">
        <v>242</v>
      </c>
      <c r="AC676">
        <v>2</v>
      </c>
      <c r="AD676">
        <v>33000</v>
      </c>
      <c r="AE676">
        <v>0</v>
      </c>
      <c r="AF676">
        <v>0</v>
      </c>
      <c r="AG676">
        <v>1988.254835987449</v>
      </c>
      <c r="AH676" t="s">
        <v>58</v>
      </c>
    </row>
    <row r="677" spans="1:34" x14ac:dyDescent="0.3">
      <c r="A677" t="s">
        <v>798</v>
      </c>
      <c r="B677">
        <v>22200039</v>
      </c>
      <c r="C677" t="s">
        <v>340</v>
      </c>
      <c r="D677" t="s">
        <v>382</v>
      </c>
      <c r="E677" t="s">
        <v>435</v>
      </c>
      <c r="F677" t="s">
        <v>428</v>
      </c>
      <c r="G677" t="s">
        <v>82</v>
      </c>
      <c r="H677" t="s">
        <v>82</v>
      </c>
      <c r="J677" t="s">
        <v>52</v>
      </c>
      <c r="K677" s="15">
        <v>3000</v>
      </c>
      <c r="L677" s="15">
        <v>0</v>
      </c>
      <c r="M677" s="13">
        <v>45107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6984.3180800000009</v>
      </c>
      <c r="W677">
        <v>0</v>
      </c>
      <c r="X677">
        <v>0</v>
      </c>
      <c r="Y677">
        <v>6984.3180800000009</v>
      </c>
      <c r="Z677">
        <v>0</v>
      </c>
      <c r="AA677">
        <v>6984.3180800000009</v>
      </c>
      <c r="AB677" t="s">
        <v>242</v>
      </c>
      <c r="AC677">
        <v>8</v>
      </c>
      <c r="AD677">
        <v>16000</v>
      </c>
      <c r="AE677">
        <v>0</v>
      </c>
      <c r="AF677">
        <v>0</v>
      </c>
      <c r="AG677">
        <v>0</v>
      </c>
      <c r="AH677" t="s">
        <v>58</v>
      </c>
    </row>
    <row r="678" spans="1:34" x14ac:dyDescent="0.3">
      <c r="A678" t="s">
        <v>798</v>
      </c>
      <c r="B678">
        <v>32200047</v>
      </c>
      <c r="C678" t="s">
        <v>343</v>
      </c>
      <c r="D678" t="s">
        <v>383</v>
      </c>
      <c r="E678" t="s">
        <v>435</v>
      </c>
      <c r="F678" t="s">
        <v>429</v>
      </c>
      <c r="G678" t="s">
        <v>82</v>
      </c>
      <c r="H678" t="s">
        <v>82</v>
      </c>
      <c r="J678" t="s">
        <v>416</v>
      </c>
      <c r="K678" s="15">
        <v>9.3317876956197643E-2</v>
      </c>
      <c r="L678" s="15">
        <v>0</v>
      </c>
      <c r="M678" s="13">
        <v>45107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9000</v>
      </c>
      <c r="W678">
        <v>0</v>
      </c>
      <c r="X678">
        <v>0</v>
      </c>
      <c r="Y678">
        <v>9000</v>
      </c>
      <c r="Z678">
        <v>0</v>
      </c>
      <c r="AA678">
        <v>9000</v>
      </c>
      <c r="AB678" t="s">
        <v>242</v>
      </c>
      <c r="AC678">
        <v>2</v>
      </c>
      <c r="AD678">
        <v>3000</v>
      </c>
      <c r="AE678">
        <v>0</v>
      </c>
      <c r="AF678">
        <v>0</v>
      </c>
      <c r="AG678">
        <v>0</v>
      </c>
      <c r="AH678" t="s">
        <v>58</v>
      </c>
    </row>
    <row r="679" spans="1:34" x14ac:dyDescent="0.3">
      <c r="A679" t="s">
        <v>798</v>
      </c>
      <c r="B679">
        <v>32200047</v>
      </c>
      <c r="C679" t="s">
        <v>343</v>
      </c>
      <c r="D679" t="s">
        <v>383</v>
      </c>
      <c r="E679" t="s">
        <v>435</v>
      </c>
      <c r="F679" t="s">
        <v>429</v>
      </c>
      <c r="G679" t="s">
        <v>417</v>
      </c>
      <c r="H679" t="s">
        <v>82</v>
      </c>
      <c r="J679" t="s">
        <v>52</v>
      </c>
      <c r="K679" s="15">
        <v>9000</v>
      </c>
      <c r="L679" s="15">
        <v>0</v>
      </c>
      <c r="M679" s="13">
        <v>45107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">
        <v>242</v>
      </c>
      <c r="AC679">
        <v>3</v>
      </c>
      <c r="AD679">
        <v>12000</v>
      </c>
      <c r="AE679">
        <v>0</v>
      </c>
      <c r="AF679">
        <v>0</v>
      </c>
      <c r="AG679">
        <v>0</v>
      </c>
      <c r="AH679" t="s">
        <v>58</v>
      </c>
    </row>
    <row r="680" spans="1:34" x14ac:dyDescent="0.3">
      <c r="A680" t="s">
        <v>798</v>
      </c>
      <c r="B680">
        <v>4142300104</v>
      </c>
      <c r="C680" t="s">
        <v>473</v>
      </c>
      <c r="D680" t="s">
        <v>546</v>
      </c>
      <c r="E680" t="s">
        <v>444</v>
      </c>
      <c r="F680" t="s">
        <v>430</v>
      </c>
      <c r="G680" t="s">
        <v>230</v>
      </c>
      <c r="H680" t="s">
        <v>231</v>
      </c>
      <c r="J680" t="s">
        <v>52</v>
      </c>
      <c r="K680" s="15">
        <v>4000</v>
      </c>
      <c r="L680" s="15">
        <v>0</v>
      </c>
      <c r="M680" s="13">
        <v>45107</v>
      </c>
      <c r="O680">
        <v>0</v>
      </c>
      <c r="P680">
        <v>5237.8133201129795</v>
      </c>
      <c r="Q680">
        <v>0</v>
      </c>
      <c r="R680">
        <v>0</v>
      </c>
      <c r="S680">
        <v>0</v>
      </c>
      <c r="T680">
        <v>16646.90343914675</v>
      </c>
      <c r="U680">
        <v>11214.953271028038</v>
      </c>
      <c r="V680">
        <v>0</v>
      </c>
      <c r="W680">
        <v>65887.850467289725</v>
      </c>
      <c r="X680">
        <v>0</v>
      </c>
      <c r="Y680">
        <v>98987.520497577498</v>
      </c>
      <c r="Z680">
        <v>6562.4795024225168</v>
      </c>
      <c r="AA680">
        <v>105550.00000000001</v>
      </c>
      <c r="AB680" t="s">
        <v>242</v>
      </c>
      <c r="AC680">
        <v>1</v>
      </c>
      <c r="AD680">
        <v>4000</v>
      </c>
      <c r="AE680">
        <v>0</v>
      </c>
      <c r="AF680">
        <v>0</v>
      </c>
      <c r="AG680">
        <v>247.80087140926025</v>
      </c>
      <c r="AH680" t="s">
        <v>72</v>
      </c>
    </row>
    <row r="681" spans="1:34" x14ac:dyDescent="0.3">
      <c r="A681" t="s">
        <v>798</v>
      </c>
      <c r="B681">
        <v>4142300187</v>
      </c>
      <c r="C681" t="s">
        <v>481</v>
      </c>
      <c r="D681" t="s">
        <v>553</v>
      </c>
      <c r="E681" t="s">
        <v>445</v>
      </c>
      <c r="F681" t="s">
        <v>430</v>
      </c>
      <c r="G681" t="s">
        <v>230</v>
      </c>
      <c r="H681" t="s">
        <v>234</v>
      </c>
      <c r="J681" t="s">
        <v>416</v>
      </c>
      <c r="K681" s="15">
        <v>0.28087664014060298</v>
      </c>
      <c r="L681" s="15">
        <v>0</v>
      </c>
      <c r="M681" s="13">
        <v>45107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42056.074766355145</v>
      </c>
      <c r="Y681">
        <v>42056.074766355145</v>
      </c>
      <c r="Z681">
        <v>2943.9252336448603</v>
      </c>
      <c r="AA681">
        <v>45000.000000000007</v>
      </c>
      <c r="AB681" t="s">
        <v>242</v>
      </c>
      <c r="AC681">
        <v>0</v>
      </c>
      <c r="AD681">
        <v>0</v>
      </c>
      <c r="AE681">
        <v>0</v>
      </c>
      <c r="AF681">
        <v>0</v>
      </c>
      <c r="AG681">
        <v>0</v>
      </c>
      <c r="AH681" t="s">
        <v>72</v>
      </c>
    </row>
    <row r="682" spans="1:34" x14ac:dyDescent="0.3">
      <c r="A682" t="s">
        <v>798</v>
      </c>
      <c r="B682">
        <v>4142300187</v>
      </c>
      <c r="C682" t="s">
        <v>481</v>
      </c>
      <c r="D682" t="s">
        <v>553</v>
      </c>
      <c r="E682" t="s">
        <v>445</v>
      </c>
      <c r="F682" t="s">
        <v>430</v>
      </c>
      <c r="G682" t="s">
        <v>421</v>
      </c>
      <c r="H682" t="s">
        <v>234</v>
      </c>
      <c r="J682" t="s">
        <v>52</v>
      </c>
      <c r="K682" s="15">
        <v>45000</v>
      </c>
      <c r="L682" s="15">
        <v>0</v>
      </c>
      <c r="M682" s="13">
        <v>45107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">
        <v>242</v>
      </c>
      <c r="AC682">
        <v>1</v>
      </c>
      <c r="AD682">
        <v>45000</v>
      </c>
      <c r="AE682">
        <v>0</v>
      </c>
      <c r="AF682">
        <v>0</v>
      </c>
      <c r="AG682">
        <v>2943.9252336448626</v>
      </c>
      <c r="AH682" t="s">
        <v>58</v>
      </c>
    </row>
    <row r="683" spans="1:34" x14ac:dyDescent="0.3">
      <c r="A683" t="s">
        <v>798</v>
      </c>
      <c r="B683">
        <v>4142300698</v>
      </c>
      <c r="C683" t="s">
        <v>498</v>
      </c>
      <c r="D683" t="s">
        <v>570</v>
      </c>
      <c r="E683" t="s">
        <v>445</v>
      </c>
      <c r="F683" t="s">
        <v>430</v>
      </c>
      <c r="G683" t="s">
        <v>230</v>
      </c>
      <c r="H683" t="s">
        <v>234</v>
      </c>
      <c r="J683" t="s">
        <v>52</v>
      </c>
      <c r="K683" s="15">
        <v>637500</v>
      </c>
      <c r="L683" s="15">
        <v>0</v>
      </c>
      <c r="M683" s="13">
        <v>45107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595794.39252336451</v>
      </c>
      <c r="Y683">
        <v>595794.39252336451</v>
      </c>
      <c r="Z683">
        <v>41705.607476635523</v>
      </c>
      <c r="AA683">
        <v>637500</v>
      </c>
      <c r="AB683" t="s">
        <v>242</v>
      </c>
      <c r="AC683">
        <v>1</v>
      </c>
      <c r="AD683">
        <v>637500</v>
      </c>
      <c r="AE683">
        <v>0</v>
      </c>
      <c r="AF683">
        <v>0</v>
      </c>
      <c r="AG683">
        <v>41705.607476635487</v>
      </c>
      <c r="AH683" t="s">
        <v>58</v>
      </c>
    </row>
    <row r="684" spans="1:34" x14ac:dyDescent="0.3">
      <c r="A684" t="s">
        <v>798</v>
      </c>
      <c r="B684">
        <v>12200042</v>
      </c>
      <c r="C684" t="s">
        <v>625</v>
      </c>
      <c r="D684" t="s">
        <v>624</v>
      </c>
      <c r="E684" t="s">
        <v>435</v>
      </c>
      <c r="F684" t="s">
        <v>427</v>
      </c>
      <c r="G684" t="s">
        <v>230</v>
      </c>
      <c r="H684" t="s">
        <v>230</v>
      </c>
      <c r="J684" t="s">
        <v>52</v>
      </c>
      <c r="K684" s="15">
        <v>2000</v>
      </c>
      <c r="M684" s="13">
        <v>45107</v>
      </c>
      <c r="O684">
        <v>0</v>
      </c>
      <c r="P684">
        <v>0</v>
      </c>
      <c r="Q684">
        <v>0</v>
      </c>
      <c r="R684">
        <v>0</v>
      </c>
      <c r="S684">
        <v>29173.699999999997</v>
      </c>
      <c r="T684">
        <v>0</v>
      </c>
      <c r="U684">
        <v>0</v>
      </c>
      <c r="V684">
        <v>80000</v>
      </c>
      <c r="W684">
        <v>0</v>
      </c>
      <c r="X684">
        <v>0</v>
      </c>
      <c r="Y684">
        <v>109173.7</v>
      </c>
      <c r="Z684">
        <v>0</v>
      </c>
      <c r="AA684">
        <v>109173.7</v>
      </c>
      <c r="AB684" t="s">
        <v>242</v>
      </c>
      <c r="AC684">
        <v>6</v>
      </c>
      <c r="AD684">
        <v>11600</v>
      </c>
      <c r="AE684">
        <v>0</v>
      </c>
      <c r="AF684">
        <v>0</v>
      </c>
      <c r="AG684">
        <v>0</v>
      </c>
      <c r="AH684" t="s">
        <v>58</v>
      </c>
    </row>
    <row r="685" spans="1:34" x14ac:dyDescent="0.3">
      <c r="A685" t="s">
        <v>798</v>
      </c>
      <c r="B685">
        <v>52200005</v>
      </c>
      <c r="C685" t="s">
        <v>634</v>
      </c>
      <c r="D685" t="s">
        <v>633</v>
      </c>
      <c r="E685" t="s">
        <v>435</v>
      </c>
      <c r="F685" t="s">
        <v>431</v>
      </c>
      <c r="G685" t="s">
        <v>230</v>
      </c>
      <c r="H685" t="s">
        <v>231</v>
      </c>
      <c r="J685" t="s">
        <v>52</v>
      </c>
      <c r="K685" s="15">
        <v>1000</v>
      </c>
      <c r="M685" s="13">
        <v>45107</v>
      </c>
      <c r="O685">
        <v>4329.3931029587948</v>
      </c>
      <c r="P685">
        <v>0</v>
      </c>
      <c r="Q685">
        <v>0</v>
      </c>
      <c r="R685">
        <v>0</v>
      </c>
      <c r="S685">
        <v>0</v>
      </c>
      <c r="T685">
        <v>14645.427006580565</v>
      </c>
      <c r="U685">
        <v>0</v>
      </c>
      <c r="V685">
        <v>0</v>
      </c>
      <c r="W685">
        <v>39636.775700934581</v>
      </c>
      <c r="X685">
        <v>0</v>
      </c>
      <c r="Y685">
        <v>58611.59581047394</v>
      </c>
      <c r="Z685">
        <v>3799.7541895260601</v>
      </c>
      <c r="AA685">
        <v>62411.35</v>
      </c>
      <c r="AB685" t="s">
        <v>242</v>
      </c>
      <c r="AC685">
        <v>4</v>
      </c>
      <c r="AD685">
        <v>7000</v>
      </c>
      <c r="AE685">
        <v>0</v>
      </c>
      <c r="AF685">
        <v>0</v>
      </c>
      <c r="AG685">
        <v>432.23679095032367</v>
      </c>
      <c r="AH685" t="s">
        <v>58</v>
      </c>
    </row>
    <row r="686" spans="1:34" x14ac:dyDescent="0.3">
      <c r="A686" t="s">
        <v>798</v>
      </c>
      <c r="B686">
        <v>52201528</v>
      </c>
      <c r="C686" t="s">
        <v>655</v>
      </c>
      <c r="D686" t="s">
        <v>654</v>
      </c>
      <c r="E686" t="s">
        <v>438</v>
      </c>
      <c r="F686" t="s">
        <v>431</v>
      </c>
      <c r="G686" t="s">
        <v>82</v>
      </c>
      <c r="H686" t="s">
        <v>83</v>
      </c>
      <c r="J686" t="s">
        <v>52</v>
      </c>
      <c r="K686" s="15">
        <v>1000</v>
      </c>
      <c r="M686" s="13">
        <v>45107</v>
      </c>
      <c r="O686">
        <v>0</v>
      </c>
      <c r="P686">
        <v>0</v>
      </c>
      <c r="Q686">
        <v>0</v>
      </c>
      <c r="R686">
        <v>1031.8580390311736</v>
      </c>
      <c r="S686">
        <v>50053.403701840027</v>
      </c>
      <c r="T686">
        <v>0</v>
      </c>
      <c r="U686">
        <v>0</v>
      </c>
      <c r="V686">
        <v>93457.943925233645</v>
      </c>
      <c r="W686">
        <v>0</v>
      </c>
      <c r="X686">
        <v>0</v>
      </c>
      <c r="Y686">
        <v>144543.20566610486</v>
      </c>
      <c r="Z686">
        <v>10045.794333895157</v>
      </c>
      <c r="AA686">
        <v>154589</v>
      </c>
      <c r="AB686" t="s">
        <v>242</v>
      </c>
      <c r="AC686">
        <v>1</v>
      </c>
      <c r="AD686">
        <v>1000</v>
      </c>
      <c r="AE686">
        <v>0</v>
      </c>
      <c r="AF686">
        <v>0</v>
      </c>
      <c r="AG686">
        <v>64.953329656245046</v>
      </c>
      <c r="AH686" t="s">
        <v>72</v>
      </c>
    </row>
    <row r="687" spans="1:34" x14ac:dyDescent="0.3">
      <c r="A687" t="s">
        <v>798</v>
      </c>
      <c r="B687">
        <v>4142300423</v>
      </c>
      <c r="C687">
        <v>10190544</v>
      </c>
      <c r="D687" t="s">
        <v>260</v>
      </c>
      <c r="E687" t="s">
        <v>445</v>
      </c>
      <c r="F687" t="s">
        <v>430</v>
      </c>
      <c r="G687" t="s">
        <v>237</v>
      </c>
      <c r="H687" t="s">
        <v>234</v>
      </c>
      <c r="J687" t="s">
        <v>425</v>
      </c>
      <c r="K687" s="15">
        <v>175000</v>
      </c>
      <c r="L687" s="15">
        <v>98</v>
      </c>
      <c r="M687" s="13">
        <v>45108</v>
      </c>
      <c r="O687">
        <v>98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238180.32262194343</v>
      </c>
      <c r="Y687">
        <v>238278.32262194343</v>
      </c>
      <c r="Z687">
        <v>16672.622583536042</v>
      </c>
      <c r="AA687">
        <v>254950.94520547948</v>
      </c>
      <c r="AB687" t="s">
        <v>242</v>
      </c>
      <c r="AC687">
        <v>0</v>
      </c>
      <c r="AD687">
        <v>0</v>
      </c>
      <c r="AE687">
        <v>0</v>
      </c>
      <c r="AF687">
        <v>187250</v>
      </c>
      <c r="AG687">
        <v>12250</v>
      </c>
      <c r="AH687" t="s">
        <v>72</v>
      </c>
    </row>
    <row r="688" spans="1:34" x14ac:dyDescent="0.3">
      <c r="A688" t="s">
        <v>798</v>
      </c>
      <c r="B688">
        <v>12200198</v>
      </c>
      <c r="C688">
        <v>21155200</v>
      </c>
      <c r="D688" t="s">
        <v>815</v>
      </c>
      <c r="E688" t="s">
        <v>438</v>
      </c>
      <c r="F688" t="s">
        <v>427</v>
      </c>
      <c r="G688" t="s">
        <v>82</v>
      </c>
      <c r="H688" t="s">
        <v>82</v>
      </c>
      <c r="J688" t="s">
        <v>52</v>
      </c>
      <c r="K688" s="15">
        <v>3000</v>
      </c>
      <c r="L688" s="15">
        <v>0</v>
      </c>
      <c r="M688" s="13">
        <v>45108</v>
      </c>
      <c r="O688">
        <v>0</v>
      </c>
      <c r="P688">
        <v>0</v>
      </c>
      <c r="Q688">
        <v>0</v>
      </c>
      <c r="R688">
        <v>0</v>
      </c>
      <c r="S688">
        <v>21252.267691327819</v>
      </c>
      <c r="T688">
        <v>0</v>
      </c>
      <c r="U688">
        <v>0</v>
      </c>
      <c r="V688">
        <v>142102.18304325169</v>
      </c>
      <c r="W688">
        <v>0</v>
      </c>
      <c r="X688">
        <v>0</v>
      </c>
      <c r="Y688">
        <v>163354.4507345795</v>
      </c>
      <c r="Z688">
        <v>0</v>
      </c>
      <c r="AA688">
        <v>163354.4507345795</v>
      </c>
      <c r="AB688" t="s">
        <v>242</v>
      </c>
      <c r="AC688">
        <v>7</v>
      </c>
      <c r="AD688">
        <v>18000</v>
      </c>
      <c r="AE688">
        <v>0</v>
      </c>
      <c r="AF688">
        <v>0</v>
      </c>
      <c r="AG688">
        <v>0</v>
      </c>
      <c r="AH688" t="s">
        <v>58</v>
      </c>
    </row>
    <row r="689" spans="1:34" x14ac:dyDescent="0.3">
      <c r="A689" t="s">
        <v>798</v>
      </c>
      <c r="B689">
        <v>52200548</v>
      </c>
      <c r="C689">
        <v>6001920035</v>
      </c>
      <c r="D689" t="s">
        <v>855</v>
      </c>
      <c r="E689" t="s">
        <v>437</v>
      </c>
      <c r="F689" t="s">
        <v>431</v>
      </c>
      <c r="G689" t="s">
        <v>82</v>
      </c>
      <c r="H689" t="s">
        <v>83</v>
      </c>
      <c r="J689" t="s">
        <v>52</v>
      </c>
      <c r="K689" s="15">
        <v>1000</v>
      </c>
      <c r="L689" s="15">
        <v>0</v>
      </c>
      <c r="M689" s="13">
        <v>45108</v>
      </c>
      <c r="O689">
        <v>0</v>
      </c>
      <c r="P689">
        <v>0</v>
      </c>
      <c r="Q689">
        <v>0</v>
      </c>
      <c r="R689">
        <v>0</v>
      </c>
      <c r="S689">
        <v>754.32710280373749</v>
      </c>
      <c r="T689">
        <v>0</v>
      </c>
      <c r="U689">
        <v>0</v>
      </c>
      <c r="V689">
        <v>5553.8971962616824</v>
      </c>
      <c r="W689">
        <v>0</v>
      </c>
      <c r="X689">
        <v>0</v>
      </c>
      <c r="Y689">
        <v>6308.2242990654195</v>
      </c>
      <c r="Z689">
        <v>441.5757009345794</v>
      </c>
      <c r="AA689">
        <v>6749.7999999999993</v>
      </c>
      <c r="AB689" t="s">
        <v>242</v>
      </c>
      <c r="AC689">
        <v>2</v>
      </c>
      <c r="AD689">
        <v>2000</v>
      </c>
      <c r="AE689">
        <v>0</v>
      </c>
      <c r="AF689">
        <v>0</v>
      </c>
      <c r="AG689">
        <v>130.84112149532712</v>
      </c>
      <c r="AH689" t="s">
        <v>58</v>
      </c>
    </row>
    <row r="690" spans="1:34" x14ac:dyDescent="0.3">
      <c r="A690" t="s">
        <v>798</v>
      </c>
      <c r="B690">
        <v>4302300048</v>
      </c>
      <c r="C690">
        <v>901020006420</v>
      </c>
      <c r="D690" t="s">
        <v>228</v>
      </c>
      <c r="E690" t="s">
        <v>447</v>
      </c>
      <c r="F690" t="s">
        <v>433</v>
      </c>
      <c r="G690" t="s">
        <v>82</v>
      </c>
      <c r="H690" t="s">
        <v>83</v>
      </c>
      <c r="J690" t="s">
        <v>52</v>
      </c>
      <c r="K690" s="15">
        <v>30701</v>
      </c>
      <c r="L690" s="15">
        <v>0</v>
      </c>
      <c r="M690" s="13">
        <v>45109</v>
      </c>
      <c r="O690">
        <v>0</v>
      </c>
      <c r="P690">
        <v>0</v>
      </c>
      <c r="Q690">
        <v>27837.215689497236</v>
      </c>
      <c r="R690">
        <v>2772.12</v>
      </c>
      <c r="S690">
        <v>0</v>
      </c>
      <c r="T690">
        <v>0</v>
      </c>
      <c r="U690">
        <v>0</v>
      </c>
      <c r="V690">
        <v>409821.23103785299</v>
      </c>
      <c r="W690">
        <v>0</v>
      </c>
      <c r="X690">
        <v>0</v>
      </c>
      <c r="Y690">
        <v>440430.56672735023</v>
      </c>
      <c r="Z690">
        <v>28687.486172649711</v>
      </c>
      <c r="AA690">
        <v>469118.05289999995</v>
      </c>
      <c r="AB690" t="s">
        <v>242</v>
      </c>
      <c r="AC690">
        <v>3</v>
      </c>
      <c r="AD690">
        <v>92103</v>
      </c>
      <c r="AE690">
        <v>0</v>
      </c>
      <c r="AF690">
        <v>0</v>
      </c>
      <c r="AG690">
        <v>5603.2367273502859</v>
      </c>
      <c r="AH690" t="s">
        <v>58</v>
      </c>
    </row>
    <row r="691" spans="1:34" x14ac:dyDescent="0.3">
      <c r="A691" t="s">
        <v>798</v>
      </c>
      <c r="B691">
        <v>4142300433</v>
      </c>
      <c r="C691">
        <v>10183918</v>
      </c>
      <c r="D691" t="s">
        <v>261</v>
      </c>
      <c r="E691" t="s">
        <v>445</v>
      </c>
      <c r="F691" t="s">
        <v>430</v>
      </c>
      <c r="G691" t="s">
        <v>237</v>
      </c>
      <c r="H691" t="s">
        <v>234</v>
      </c>
      <c r="J691" t="s">
        <v>425</v>
      </c>
      <c r="K691" s="15">
        <v>130000</v>
      </c>
      <c r="L691" s="15">
        <v>117</v>
      </c>
      <c r="M691" s="13">
        <v>45110</v>
      </c>
      <c r="O691">
        <v>117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201232.47983612854</v>
      </c>
      <c r="Y691">
        <v>201349.47983612854</v>
      </c>
      <c r="Z691">
        <v>14086.273588528999</v>
      </c>
      <c r="AA691">
        <v>215435.75342465754</v>
      </c>
      <c r="AB691" t="s">
        <v>242</v>
      </c>
      <c r="AC691">
        <v>0</v>
      </c>
      <c r="AD691">
        <v>0</v>
      </c>
      <c r="AE691">
        <v>0</v>
      </c>
      <c r="AF691">
        <v>139100</v>
      </c>
      <c r="AG691">
        <v>9100</v>
      </c>
      <c r="AH691" t="s">
        <v>72</v>
      </c>
    </row>
    <row r="692" spans="1:34" x14ac:dyDescent="0.3">
      <c r="A692" t="s">
        <v>798</v>
      </c>
      <c r="B692">
        <v>42200038</v>
      </c>
      <c r="C692" t="s">
        <v>452</v>
      </c>
      <c r="D692" t="s">
        <v>521</v>
      </c>
      <c r="E692" t="s">
        <v>437</v>
      </c>
      <c r="F692" t="s">
        <v>430</v>
      </c>
      <c r="G692" t="s">
        <v>230</v>
      </c>
      <c r="H692" t="s">
        <v>231</v>
      </c>
      <c r="J692" t="s">
        <v>52</v>
      </c>
      <c r="K692" s="15">
        <v>1000</v>
      </c>
      <c r="L692" s="15">
        <v>0</v>
      </c>
      <c r="M692" s="13">
        <v>45110</v>
      </c>
      <c r="O692">
        <v>0</v>
      </c>
      <c r="P692">
        <v>0</v>
      </c>
      <c r="Q692">
        <v>0</v>
      </c>
      <c r="R692">
        <v>0</v>
      </c>
      <c r="S692">
        <v>22425.92958475637</v>
      </c>
      <c r="T692">
        <v>15632.434647455962</v>
      </c>
      <c r="U692">
        <v>22429.906542056076</v>
      </c>
      <c r="V692">
        <v>0</v>
      </c>
      <c r="W692">
        <v>310280.37383177568</v>
      </c>
      <c r="X692">
        <v>0</v>
      </c>
      <c r="Y692">
        <v>370768.64460604411</v>
      </c>
      <c r="Z692">
        <v>24383.990051490142</v>
      </c>
      <c r="AA692">
        <v>395152.63465753425</v>
      </c>
      <c r="AB692" t="s">
        <v>242</v>
      </c>
      <c r="AC692">
        <v>5</v>
      </c>
      <c r="AD692">
        <v>12000</v>
      </c>
      <c r="AE692">
        <v>0</v>
      </c>
      <c r="AF692">
        <v>0</v>
      </c>
      <c r="AG692">
        <v>737.50527561266199</v>
      </c>
      <c r="AH692" t="s">
        <v>58</v>
      </c>
    </row>
    <row r="693" spans="1:34" x14ac:dyDescent="0.3">
      <c r="A693" t="s">
        <v>798</v>
      </c>
      <c r="B693">
        <v>52200238</v>
      </c>
      <c r="C693" t="s">
        <v>648</v>
      </c>
      <c r="D693" t="s">
        <v>647</v>
      </c>
      <c r="E693" t="s">
        <v>436</v>
      </c>
      <c r="F693" t="s">
        <v>431</v>
      </c>
      <c r="G693" t="s">
        <v>674</v>
      </c>
      <c r="H693" t="s">
        <v>83</v>
      </c>
      <c r="J693" t="s">
        <v>52</v>
      </c>
      <c r="K693" s="15">
        <v>500</v>
      </c>
      <c r="M693" s="13">
        <v>45110</v>
      </c>
      <c r="O693">
        <v>0</v>
      </c>
      <c r="P693">
        <v>0</v>
      </c>
      <c r="Q693">
        <v>0</v>
      </c>
      <c r="R693">
        <v>755.98664117796136</v>
      </c>
      <c r="S693">
        <v>38233.175845872633</v>
      </c>
      <c r="T693">
        <v>0</v>
      </c>
      <c r="U693">
        <v>0</v>
      </c>
      <c r="V693">
        <v>76681.788968468842</v>
      </c>
      <c r="W693">
        <v>0</v>
      </c>
      <c r="X693">
        <v>0</v>
      </c>
      <c r="Y693">
        <v>115670.95145551943</v>
      </c>
      <c r="Z693">
        <v>8044.0475370039048</v>
      </c>
      <c r="AA693">
        <v>123714.99899252334</v>
      </c>
      <c r="AB693" t="s">
        <v>242</v>
      </c>
      <c r="AC693">
        <v>5</v>
      </c>
      <c r="AD693">
        <v>5500</v>
      </c>
      <c r="AE693">
        <v>0</v>
      </c>
      <c r="AF693">
        <v>0</v>
      </c>
      <c r="AG693">
        <v>357.45706998360498</v>
      </c>
      <c r="AH693" t="s">
        <v>58</v>
      </c>
    </row>
    <row r="694" spans="1:34" x14ac:dyDescent="0.3">
      <c r="A694" t="s">
        <v>798</v>
      </c>
      <c r="B694">
        <v>4142301051</v>
      </c>
      <c r="C694">
        <v>10542282</v>
      </c>
      <c r="D694" t="s">
        <v>262</v>
      </c>
      <c r="E694" t="s">
        <v>445</v>
      </c>
      <c r="F694" t="s">
        <v>430</v>
      </c>
      <c r="G694" t="s">
        <v>237</v>
      </c>
      <c r="H694" t="s">
        <v>234</v>
      </c>
      <c r="J694" t="s">
        <v>425</v>
      </c>
      <c r="K694" s="15">
        <v>92000</v>
      </c>
      <c r="L694" s="15">
        <v>575</v>
      </c>
      <c r="M694" s="13">
        <v>45111</v>
      </c>
      <c r="O694">
        <v>575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260093.58878504677</v>
      </c>
      <c r="Y694">
        <v>260668.58878504677</v>
      </c>
      <c r="Z694">
        <v>18206.551214953277</v>
      </c>
      <c r="AA694">
        <v>278875.14000000007</v>
      </c>
      <c r="AB694" t="s">
        <v>242</v>
      </c>
      <c r="AC694">
        <v>0</v>
      </c>
      <c r="AD694">
        <v>0</v>
      </c>
      <c r="AE694">
        <v>0</v>
      </c>
      <c r="AF694">
        <v>98440</v>
      </c>
      <c r="AG694">
        <v>6440</v>
      </c>
      <c r="AH694" t="s">
        <v>72</v>
      </c>
    </row>
    <row r="695" spans="1:34" x14ac:dyDescent="0.3">
      <c r="A695" t="s">
        <v>798</v>
      </c>
      <c r="B695">
        <v>42200737</v>
      </c>
      <c r="C695">
        <v>2754011893</v>
      </c>
      <c r="D695" t="s">
        <v>126</v>
      </c>
      <c r="E695" t="s">
        <v>439</v>
      </c>
      <c r="F695" t="s">
        <v>430</v>
      </c>
      <c r="G695" t="s">
        <v>233</v>
      </c>
      <c r="H695" t="s">
        <v>234</v>
      </c>
      <c r="J695" t="s">
        <v>52</v>
      </c>
      <c r="K695" s="15">
        <v>1000</v>
      </c>
      <c r="L695" s="15">
        <v>0</v>
      </c>
      <c r="M695" s="13">
        <v>45112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576645.70093457936</v>
      </c>
      <c r="Y695">
        <v>576645.70093457936</v>
      </c>
      <c r="Z695">
        <v>40365.199065420558</v>
      </c>
      <c r="AA695">
        <v>617010.89999999991</v>
      </c>
      <c r="AB695" t="s">
        <v>242</v>
      </c>
      <c r="AC695">
        <v>2</v>
      </c>
      <c r="AD695">
        <v>2000</v>
      </c>
      <c r="AE695">
        <v>0</v>
      </c>
      <c r="AF695">
        <v>0</v>
      </c>
      <c r="AG695">
        <v>130.84112149532712</v>
      </c>
      <c r="AH695" t="s">
        <v>58</v>
      </c>
    </row>
    <row r="696" spans="1:34" x14ac:dyDescent="0.3">
      <c r="A696" t="s">
        <v>798</v>
      </c>
      <c r="B696">
        <v>42201317</v>
      </c>
      <c r="C696">
        <v>2757009008</v>
      </c>
      <c r="D696" t="s">
        <v>832</v>
      </c>
      <c r="E696" t="s">
        <v>439</v>
      </c>
      <c r="F696" t="s">
        <v>430</v>
      </c>
      <c r="G696" t="s">
        <v>230</v>
      </c>
      <c r="H696" t="s">
        <v>234</v>
      </c>
      <c r="J696" t="s">
        <v>52</v>
      </c>
      <c r="K696" s="15">
        <v>1000</v>
      </c>
      <c r="L696" s="15">
        <v>0</v>
      </c>
      <c r="M696" s="13">
        <v>45112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414299.06542056077</v>
      </c>
      <c r="Y696">
        <v>414299.06542056077</v>
      </c>
      <c r="Z696">
        <v>29000.934579439258</v>
      </c>
      <c r="AA696">
        <v>443300</v>
      </c>
      <c r="AB696" t="s">
        <v>242</v>
      </c>
      <c r="AC696">
        <v>3</v>
      </c>
      <c r="AD696">
        <v>3000</v>
      </c>
      <c r="AE696">
        <v>0</v>
      </c>
      <c r="AF696">
        <v>0</v>
      </c>
      <c r="AG696">
        <v>196.26168224299067</v>
      </c>
      <c r="AH696" t="s">
        <v>58</v>
      </c>
    </row>
    <row r="697" spans="1:34" x14ac:dyDescent="0.3">
      <c r="A697" t="s">
        <v>798</v>
      </c>
      <c r="B697">
        <v>4302300004</v>
      </c>
      <c r="C697">
        <v>901019009305</v>
      </c>
      <c r="D697" t="s">
        <v>221</v>
      </c>
      <c r="E697" t="s">
        <v>447</v>
      </c>
      <c r="F697" t="s">
        <v>433</v>
      </c>
      <c r="G697" t="s">
        <v>82</v>
      </c>
      <c r="H697" t="s">
        <v>83</v>
      </c>
      <c r="J697" t="s">
        <v>52</v>
      </c>
      <c r="K697" s="15">
        <v>25000</v>
      </c>
      <c r="L697" s="15">
        <v>0</v>
      </c>
      <c r="M697" s="13">
        <v>45112</v>
      </c>
      <c r="O697">
        <v>0</v>
      </c>
      <c r="P697">
        <v>0</v>
      </c>
      <c r="Q697">
        <v>165705.7582187092</v>
      </c>
      <c r="R697">
        <v>7341.0099999999993</v>
      </c>
      <c r="S697">
        <v>328539.38484232785</v>
      </c>
      <c r="T697">
        <v>0</v>
      </c>
      <c r="U697">
        <v>0</v>
      </c>
      <c r="V697">
        <v>2333526.79</v>
      </c>
      <c r="W697">
        <v>0</v>
      </c>
      <c r="X697">
        <v>0</v>
      </c>
      <c r="Y697">
        <v>2835112.943061037</v>
      </c>
      <c r="Z697">
        <v>186344.63223896298</v>
      </c>
      <c r="AA697">
        <v>3021457.5753000001</v>
      </c>
      <c r="AB697" t="s">
        <v>242</v>
      </c>
      <c r="AC697">
        <v>1</v>
      </c>
      <c r="AD697">
        <v>25000</v>
      </c>
      <c r="AE697">
        <v>0</v>
      </c>
      <c r="AF697">
        <v>0</v>
      </c>
      <c r="AG697">
        <v>1535.6330610370496</v>
      </c>
      <c r="AH697" t="s">
        <v>72</v>
      </c>
    </row>
    <row r="698" spans="1:34" x14ac:dyDescent="0.3">
      <c r="A698" t="s">
        <v>798</v>
      </c>
      <c r="B698">
        <v>2200002</v>
      </c>
      <c r="C698" t="s">
        <v>645</v>
      </c>
      <c r="D698" t="s">
        <v>407</v>
      </c>
      <c r="E698" t="s">
        <v>435</v>
      </c>
      <c r="F698" t="s">
        <v>426</v>
      </c>
      <c r="G698" t="s">
        <v>235</v>
      </c>
      <c r="H698" t="s">
        <v>235</v>
      </c>
      <c r="J698" t="s">
        <v>52</v>
      </c>
      <c r="K698" s="15">
        <v>5000</v>
      </c>
      <c r="M698" s="13">
        <v>45112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113625</v>
      </c>
      <c r="W698">
        <v>0</v>
      </c>
      <c r="X698">
        <v>0</v>
      </c>
      <c r="Y698">
        <v>113625</v>
      </c>
      <c r="Z698">
        <v>0</v>
      </c>
      <c r="AA698">
        <v>113625</v>
      </c>
      <c r="AB698" t="s">
        <v>242</v>
      </c>
      <c r="AC698">
        <v>3</v>
      </c>
      <c r="AD698">
        <v>15000</v>
      </c>
      <c r="AE698">
        <v>0</v>
      </c>
      <c r="AF698">
        <v>0</v>
      </c>
      <c r="AG698">
        <v>0</v>
      </c>
      <c r="AH698" t="s">
        <v>58</v>
      </c>
    </row>
    <row r="699" spans="1:34" x14ac:dyDescent="0.3">
      <c r="A699" t="s">
        <v>798</v>
      </c>
      <c r="B699">
        <v>2200003</v>
      </c>
      <c r="C699" t="s">
        <v>646</v>
      </c>
      <c r="D699" t="s">
        <v>407</v>
      </c>
      <c r="E699" t="s">
        <v>435</v>
      </c>
      <c r="F699" t="s">
        <v>426</v>
      </c>
      <c r="G699" t="s">
        <v>235</v>
      </c>
      <c r="H699" t="s">
        <v>235</v>
      </c>
      <c r="J699" t="s">
        <v>52</v>
      </c>
      <c r="K699" s="15">
        <v>5000</v>
      </c>
      <c r="M699" s="13">
        <v>45112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123250</v>
      </c>
      <c r="W699">
        <v>0</v>
      </c>
      <c r="X699">
        <v>0</v>
      </c>
      <c r="Y699">
        <v>123250</v>
      </c>
      <c r="Z699">
        <v>0</v>
      </c>
      <c r="AA699">
        <v>123250</v>
      </c>
      <c r="AB699" t="s">
        <v>242</v>
      </c>
      <c r="AC699">
        <v>3</v>
      </c>
      <c r="AD699">
        <v>15000</v>
      </c>
      <c r="AE699">
        <v>0</v>
      </c>
      <c r="AF699">
        <v>0</v>
      </c>
      <c r="AG699">
        <v>0</v>
      </c>
      <c r="AH699" t="s">
        <v>58</v>
      </c>
    </row>
    <row r="700" spans="1:34" x14ac:dyDescent="0.3">
      <c r="A700" t="s">
        <v>798</v>
      </c>
      <c r="B700">
        <v>62200095</v>
      </c>
      <c r="C700" t="s">
        <v>640</v>
      </c>
      <c r="D700" t="s">
        <v>639</v>
      </c>
      <c r="E700" t="s">
        <v>435</v>
      </c>
      <c r="F700" t="s">
        <v>432</v>
      </c>
      <c r="G700" t="s">
        <v>235</v>
      </c>
      <c r="H700" t="s">
        <v>235</v>
      </c>
      <c r="J700" t="s">
        <v>52</v>
      </c>
      <c r="K700" s="15">
        <v>2000</v>
      </c>
      <c r="M700" s="13">
        <v>45112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48352.790000000008</v>
      </c>
      <c r="W700">
        <v>0</v>
      </c>
      <c r="X700">
        <v>0</v>
      </c>
      <c r="Y700">
        <v>48352.790000000008</v>
      </c>
      <c r="Z700">
        <v>0</v>
      </c>
      <c r="AA700">
        <v>48352.790000000008</v>
      </c>
      <c r="AB700" t="s">
        <v>242</v>
      </c>
      <c r="AC700">
        <v>4</v>
      </c>
      <c r="AD700">
        <v>8000</v>
      </c>
      <c r="AE700">
        <v>0</v>
      </c>
      <c r="AF700">
        <v>0</v>
      </c>
      <c r="AG700">
        <v>0</v>
      </c>
      <c r="AH700" t="s">
        <v>58</v>
      </c>
    </row>
    <row r="701" spans="1:34" x14ac:dyDescent="0.3">
      <c r="A701" t="s">
        <v>798</v>
      </c>
      <c r="B701">
        <v>52201528</v>
      </c>
      <c r="C701" t="s">
        <v>655</v>
      </c>
      <c r="D701" t="s">
        <v>654</v>
      </c>
      <c r="E701" t="s">
        <v>438</v>
      </c>
      <c r="F701" t="s">
        <v>431</v>
      </c>
      <c r="G701" t="s">
        <v>82</v>
      </c>
      <c r="H701" t="s">
        <v>83</v>
      </c>
      <c r="J701" t="s">
        <v>52</v>
      </c>
      <c r="K701" s="15">
        <v>1500</v>
      </c>
      <c r="M701" s="13">
        <v>45112</v>
      </c>
      <c r="O701">
        <v>0</v>
      </c>
      <c r="P701">
        <v>0</v>
      </c>
      <c r="Q701">
        <v>0</v>
      </c>
      <c r="R701">
        <v>1021.1499116486789</v>
      </c>
      <c r="S701">
        <v>48661.542138646095</v>
      </c>
      <c r="T701">
        <v>0</v>
      </c>
      <c r="U701">
        <v>0</v>
      </c>
      <c r="V701">
        <v>93457.943925233645</v>
      </c>
      <c r="W701">
        <v>0</v>
      </c>
      <c r="X701">
        <v>0</v>
      </c>
      <c r="Y701">
        <v>143140.63597552842</v>
      </c>
      <c r="Z701">
        <v>9948.3640244715825</v>
      </c>
      <c r="AA701">
        <v>153089</v>
      </c>
      <c r="AB701" t="s">
        <v>242</v>
      </c>
      <c r="AC701">
        <v>2</v>
      </c>
      <c r="AD701">
        <v>2500</v>
      </c>
      <c r="AE701">
        <v>0</v>
      </c>
      <c r="AF701">
        <v>0</v>
      </c>
      <c r="AG701">
        <v>162.38363907982023</v>
      </c>
      <c r="AH701" t="s">
        <v>58</v>
      </c>
    </row>
    <row r="702" spans="1:34" x14ac:dyDescent="0.3">
      <c r="A702" t="s">
        <v>798</v>
      </c>
      <c r="B702">
        <v>52200938</v>
      </c>
      <c r="C702">
        <v>26269572</v>
      </c>
      <c r="D702" t="s">
        <v>144</v>
      </c>
      <c r="E702" t="s">
        <v>438</v>
      </c>
      <c r="F702" t="s">
        <v>431</v>
      </c>
      <c r="G702" t="s">
        <v>82</v>
      </c>
      <c r="H702" t="s">
        <v>83</v>
      </c>
      <c r="J702" t="s">
        <v>52</v>
      </c>
      <c r="K702" s="15">
        <v>500</v>
      </c>
      <c r="L702" s="15">
        <v>0</v>
      </c>
      <c r="M702" s="13">
        <v>45113</v>
      </c>
      <c r="O702">
        <v>0</v>
      </c>
      <c r="P702">
        <v>0</v>
      </c>
      <c r="Q702">
        <v>0</v>
      </c>
      <c r="R702">
        <v>1093.5583985038204</v>
      </c>
      <c r="S702">
        <v>24928.784850809578</v>
      </c>
      <c r="T702">
        <v>0</v>
      </c>
      <c r="U702">
        <v>0</v>
      </c>
      <c r="V702">
        <v>47963.216707056527</v>
      </c>
      <c r="W702">
        <v>0</v>
      </c>
      <c r="X702">
        <v>0</v>
      </c>
      <c r="Y702">
        <v>73985.559956369922</v>
      </c>
      <c r="Z702">
        <v>5102.4401090506281</v>
      </c>
      <c r="AA702">
        <v>79088.000065420551</v>
      </c>
      <c r="AB702" t="s">
        <v>242</v>
      </c>
      <c r="AC702">
        <v>2</v>
      </c>
      <c r="AD702">
        <v>3000</v>
      </c>
      <c r="AE702">
        <v>0</v>
      </c>
      <c r="AF702">
        <v>0</v>
      </c>
      <c r="AG702">
        <v>193.35428775258646</v>
      </c>
      <c r="AH702" t="s">
        <v>58</v>
      </c>
    </row>
    <row r="703" spans="1:34" x14ac:dyDescent="0.3">
      <c r="A703" t="s">
        <v>798</v>
      </c>
      <c r="B703">
        <v>42201151</v>
      </c>
      <c r="C703">
        <v>2759024152</v>
      </c>
      <c r="D703" t="s">
        <v>830</v>
      </c>
      <c r="E703" t="s">
        <v>439</v>
      </c>
      <c r="F703" t="s">
        <v>430</v>
      </c>
      <c r="G703" t="s">
        <v>230</v>
      </c>
      <c r="H703" t="s">
        <v>234</v>
      </c>
      <c r="J703" t="s">
        <v>52</v>
      </c>
      <c r="K703" s="15">
        <v>1000</v>
      </c>
      <c r="L703" s="15">
        <v>0</v>
      </c>
      <c r="M703" s="13">
        <v>45114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320689.2803738318</v>
      </c>
      <c r="Y703">
        <v>320689.2803738318</v>
      </c>
      <c r="Z703">
        <v>22448.249626168228</v>
      </c>
      <c r="AA703">
        <v>343137.53</v>
      </c>
      <c r="AB703" t="s">
        <v>242</v>
      </c>
      <c r="AC703">
        <v>4</v>
      </c>
      <c r="AD703">
        <v>7000</v>
      </c>
      <c r="AE703">
        <v>0</v>
      </c>
      <c r="AF703">
        <v>0</v>
      </c>
      <c r="AG703">
        <v>457.94392523364536</v>
      </c>
      <c r="AH703" t="s">
        <v>58</v>
      </c>
    </row>
    <row r="704" spans="1:34" x14ac:dyDescent="0.3">
      <c r="A704" t="s">
        <v>798</v>
      </c>
      <c r="B704">
        <v>52200061</v>
      </c>
      <c r="C704">
        <v>28231012</v>
      </c>
      <c r="D704" t="s">
        <v>835</v>
      </c>
      <c r="E704" t="s">
        <v>436</v>
      </c>
      <c r="F704" t="s">
        <v>431</v>
      </c>
      <c r="G704" t="s">
        <v>82</v>
      </c>
      <c r="H704" t="s">
        <v>83</v>
      </c>
      <c r="J704" t="s">
        <v>52</v>
      </c>
      <c r="K704" s="15">
        <v>5000</v>
      </c>
      <c r="L704" s="15">
        <v>0</v>
      </c>
      <c r="M704" s="13">
        <v>45114</v>
      </c>
      <c r="O704">
        <v>0</v>
      </c>
      <c r="P704">
        <v>0</v>
      </c>
      <c r="Q704">
        <v>0</v>
      </c>
      <c r="R704">
        <v>693.01364003688764</v>
      </c>
      <c r="S704">
        <v>1908.4373457599177</v>
      </c>
      <c r="T704">
        <v>0</v>
      </c>
      <c r="U704">
        <v>0</v>
      </c>
      <c r="V704">
        <v>57032.675233644863</v>
      </c>
      <c r="W704">
        <v>0</v>
      </c>
      <c r="X704">
        <v>0</v>
      </c>
      <c r="Y704">
        <v>59634.12621944167</v>
      </c>
      <c r="Z704">
        <v>4125.8778805583352</v>
      </c>
      <c r="AA704">
        <v>63760.004100000006</v>
      </c>
      <c r="AB704" t="s">
        <v>242</v>
      </c>
      <c r="AC704">
        <v>9</v>
      </c>
      <c r="AD704">
        <v>21000</v>
      </c>
      <c r="AE704">
        <v>0</v>
      </c>
      <c r="AF704">
        <v>0</v>
      </c>
      <c r="AG704">
        <v>1357.6737895351237</v>
      </c>
      <c r="AH704" t="s">
        <v>58</v>
      </c>
    </row>
    <row r="705" spans="1:34" x14ac:dyDescent="0.3">
      <c r="A705" t="s">
        <v>798</v>
      </c>
      <c r="B705">
        <v>4142300842</v>
      </c>
      <c r="C705">
        <v>10382588</v>
      </c>
      <c r="D705" t="s">
        <v>211</v>
      </c>
      <c r="E705" t="s">
        <v>445</v>
      </c>
      <c r="F705" t="s">
        <v>430</v>
      </c>
      <c r="G705" t="s">
        <v>230</v>
      </c>
      <c r="H705" t="s">
        <v>234</v>
      </c>
      <c r="J705" t="s">
        <v>52</v>
      </c>
      <c r="K705" s="15">
        <v>2000</v>
      </c>
      <c r="L705" s="15">
        <v>0</v>
      </c>
      <c r="M705" s="13">
        <v>45114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125731.91588785045</v>
      </c>
      <c r="Y705">
        <v>125731.91588785045</v>
      </c>
      <c r="Z705">
        <v>8801.2341121495319</v>
      </c>
      <c r="AA705">
        <v>134533.15</v>
      </c>
      <c r="AB705" t="s">
        <v>242</v>
      </c>
      <c r="AC705">
        <v>1</v>
      </c>
      <c r="AD705">
        <v>2000</v>
      </c>
      <c r="AE705">
        <v>0</v>
      </c>
      <c r="AF705">
        <v>0</v>
      </c>
      <c r="AG705">
        <v>130.84112149532712</v>
      </c>
      <c r="AH705" t="s">
        <v>72</v>
      </c>
    </row>
    <row r="706" spans="1:34" x14ac:dyDescent="0.3">
      <c r="A706" t="s">
        <v>798</v>
      </c>
      <c r="B706">
        <v>12200059</v>
      </c>
      <c r="C706" t="s">
        <v>337</v>
      </c>
      <c r="D706" t="s">
        <v>379</v>
      </c>
      <c r="E706" t="s">
        <v>436</v>
      </c>
      <c r="F706" t="s">
        <v>427</v>
      </c>
      <c r="G706" t="s">
        <v>82</v>
      </c>
      <c r="H706" t="s">
        <v>82</v>
      </c>
      <c r="J706" t="s">
        <v>416</v>
      </c>
      <c r="K706" s="15">
        <v>0.14829446035689675</v>
      </c>
      <c r="L706" s="15">
        <v>0</v>
      </c>
      <c r="M706" s="13">
        <v>45114</v>
      </c>
      <c r="O706">
        <v>0</v>
      </c>
      <c r="P706">
        <v>0</v>
      </c>
      <c r="Q706">
        <v>0</v>
      </c>
      <c r="R706">
        <v>1181.3155834849842</v>
      </c>
      <c r="S706">
        <v>44409.354902170206</v>
      </c>
      <c r="T706">
        <v>0</v>
      </c>
      <c r="U706">
        <v>0</v>
      </c>
      <c r="V706">
        <v>204409.32951434478</v>
      </c>
      <c r="W706">
        <v>0</v>
      </c>
      <c r="X706">
        <v>0</v>
      </c>
      <c r="Y706">
        <v>249999.99999999997</v>
      </c>
      <c r="Z706">
        <v>0</v>
      </c>
      <c r="AA706">
        <v>249999.99999999997</v>
      </c>
      <c r="AB706" t="s">
        <v>242</v>
      </c>
      <c r="AC706">
        <v>0</v>
      </c>
      <c r="AD706">
        <v>0</v>
      </c>
      <c r="AE706">
        <v>0</v>
      </c>
      <c r="AF706">
        <v>0</v>
      </c>
      <c r="AG706">
        <v>0</v>
      </c>
      <c r="AH706" t="s">
        <v>72</v>
      </c>
    </row>
    <row r="707" spans="1:34" x14ac:dyDescent="0.3">
      <c r="A707" t="s">
        <v>798</v>
      </c>
      <c r="B707">
        <v>4142300698</v>
      </c>
      <c r="C707" t="s">
        <v>498</v>
      </c>
      <c r="D707" t="s">
        <v>570</v>
      </c>
      <c r="E707" t="s">
        <v>445</v>
      </c>
      <c r="F707" t="s">
        <v>430</v>
      </c>
      <c r="G707" t="s">
        <v>421</v>
      </c>
      <c r="H707" t="s">
        <v>234</v>
      </c>
      <c r="J707" t="s">
        <v>52</v>
      </c>
      <c r="K707" s="15">
        <v>637500</v>
      </c>
      <c r="L707" s="15">
        <v>0</v>
      </c>
      <c r="M707" s="13">
        <v>45114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">
        <v>242</v>
      </c>
      <c r="AC707">
        <v>2</v>
      </c>
      <c r="AD707">
        <v>1275000</v>
      </c>
      <c r="AE707">
        <v>0</v>
      </c>
      <c r="AF707">
        <v>0</v>
      </c>
      <c r="AG707">
        <v>83411.214953270974</v>
      </c>
      <c r="AH707" t="s">
        <v>58</v>
      </c>
    </row>
    <row r="708" spans="1:34" x14ac:dyDescent="0.3">
      <c r="A708" t="s">
        <v>798</v>
      </c>
      <c r="B708">
        <v>52200618</v>
      </c>
      <c r="C708">
        <v>6102050058</v>
      </c>
      <c r="D708" t="s">
        <v>856</v>
      </c>
      <c r="E708" t="s">
        <v>437</v>
      </c>
      <c r="F708" t="s">
        <v>431</v>
      </c>
      <c r="G708" t="s">
        <v>82</v>
      </c>
      <c r="H708" t="s">
        <v>83</v>
      </c>
      <c r="J708" t="s">
        <v>52</v>
      </c>
      <c r="K708" s="15">
        <v>1000</v>
      </c>
      <c r="L708" s="15">
        <v>0</v>
      </c>
      <c r="M708" s="13">
        <v>45115</v>
      </c>
      <c r="O708">
        <v>0</v>
      </c>
      <c r="P708">
        <v>0</v>
      </c>
      <c r="Q708">
        <v>0</v>
      </c>
      <c r="R708">
        <v>0</v>
      </c>
      <c r="S708">
        <v>430.76635514018699</v>
      </c>
      <c r="T708">
        <v>0</v>
      </c>
      <c r="U708">
        <v>0</v>
      </c>
      <c r="V708">
        <v>5052.6448598130837</v>
      </c>
      <c r="W708">
        <v>0</v>
      </c>
      <c r="X708">
        <v>0</v>
      </c>
      <c r="Y708">
        <v>5483.4112149532702</v>
      </c>
      <c r="Z708">
        <v>383.83878504672896</v>
      </c>
      <c r="AA708">
        <v>5867.2499999999991</v>
      </c>
      <c r="AB708" t="s">
        <v>242</v>
      </c>
      <c r="AC708">
        <v>2</v>
      </c>
      <c r="AD708">
        <v>2000</v>
      </c>
      <c r="AE708">
        <v>0</v>
      </c>
      <c r="AF708">
        <v>0</v>
      </c>
      <c r="AG708">
        <v>130.84112149532712</v>
      </c>
      <c r="AH708" t="s">
        <v>58</v>
      </c>
    </row>
    <row r="709" spans="1:34" x14ac:dyDescent="0.3">
      <c r="A709" t="s">
        <v>798</v>
      </c>
      <c r="B709">
        <v>12200171</v>
      </c>
      <c r="C709">
        <v>25596188</v>
      </c>
      <c r="D709" t="s">
        <v>117</v>
      </c>
      <c r="E709" t="s">
        <v>438</v>
      </c>
      <c r="F709" t="s">
        <v>427</v>
      </c>
      <c r="G709" t="s">
        <v>82</v>
      </c>
      <c r="H709" t="s">
        <v>82</v>
      </c>
      <c r="J709" t="s">
        <v>52</v>
      </c>
      <c r="K709" s="15">
        <v>1000</v>
      </c>
      <c r="L709" s="15">
        <v>0</v>
      </c>
      <c r="M709" s="13">
        <v>45117</v>
      </c>
      <c r="O709">
        <v>0</v>
      </c>
      <c r="P709">
        <v>0</v>
      </c>
      <c r="Q709">
        <v>0</v>
      </c>
      <c r="R709">
        <v>485</v>
      </c>
      <c r="S709">
        <v>33559.933781943517</v>
      </c>
      <c r="T709">
        <v>0</v>
      </c>
      <c r="U709">
        <v>0</v>
      </c>
      <c r="V709">
        <v>146895.79377429161</v>
      </c>
      <c r="W709">
        <v>0</v>
      </c>
      <c r="X709">
        <v>0</v>
      </c>
      <c r="Y709">
        <v>180940.72755623513</v>
      </c>
      <c r="Z709">
        <v>0</v>
      </c>
      <c r="AA709">
        <v>180940.72755623513</v>
      </c>
      <c r="AB709" t="s">
        <v>242</v>
      </c>
      <c r="AC709">
        <v>1</v>
      </c>
      <c r="AD709">
        <v>1000</v>
      </c>
      <c r="AE709">
        <v>0</v>
      </c>
      <c r="AF709">
        <v>0</v>
      </c>
      <c r="AG709">
        <v>0</v>
      </c>
      <c r="AH709" t="s">
        <v>72</v>
      </c>
    </row>
    <row r="710" spans="1:34" x14ac:dyDescent="0.3">
      <c r="A710" t="s">
        <v>798</v>
      </c>
      <c r="B710">
        <v>52200986</v>
      </c>
      <c r="C710">
        <v>16907372</v>
      </c>
      <c r="D710" t="s">
        <v>867</v>
      </c>
      <c r="E710" t="s">
        <v>438</v>
      </c>
      <c r="F710" t="s">
        <v>431</v>
      </c>
      <c r="G710" t="s">
        <v>82</v>
      </c>
      <c r="H710" t="s">
        <v>83</v>
      </c>
      <c r="J710" t="s">
        <v>52</v>
      </c>
      <c r="K710" s="15">
        <v>500</v>
      </c>
      <c r="L710" s="15">
        <v>0</v>
      </c>
      <c r="M710" s="13">
        <v>45117</v>
      </c>
      <c r="O710">
        <v>0</v>
      </c>
      <c r="P710">
        <v>0</v>
      </c>
      <c r="Q710">
        <v>0</v>
      </c>
      <c r="R710">
        <v>846.62105049611773</v>
      </c>
      <c r="S710">
        <v>13620.992545319885</v>
      </c>
      <c r="T710">
        <v>0</v>
      </c>
      <c r="U710">
        <v>0</v>
      </c>
      <c r="V710">
        <v>36346.652188691092</v>
      </c>
      <c r="W710">
        <v>0</v>
      </c>
      <c r="X710">
        <v>0</v>
      </c>
      <c r="Y710">
        <v>50814.265784507093</v>
      </c>
      <c r="Z710">
        <v>3497.7351313807685</v>
      </c>
      <c r="AA710">
        <v>54312.00091588786</v>
      </c>
      <c r="AB710" t="s">
        <v>242</v>
      </c>
      <c r="AC710">
        <v>4</v>
      </c>
      <c r="AD710">
        <v>2658</v>
      </c>
      <c r="AE710">
        <v>0</v>
      </c>
      <c r="AF710">
        <v>0</v>
      </c>
      <c r="AG710">
        <v>170.98455470535356</v>
      </c>
      <c r="AH710" t="s">
        <v>58</v>
      </c>
    </row>
    <row r="711" spans="1:34" x14ac:dyDescent="0.3">
      <c r="A711" t="s">
        <v>798</v>
      </c>
      <c r="B711">
        <v>52201200</v>
      </c>
      <c r="C711">
        <v>30646683</v>
      </c>
      <c r="D711" t="s">
        <v>875</v>
      </c>
      <c r="E711" t="s">
        <v>438</v>
      </c>
      <c r="F711" t="s">
        <v>431</v>
      </c>
      <c r="G711" t="s">
        <v>82</v>
      </c>
      <c r="H711" t="s">
        <v>83</v>
      </c>
      <c r="J711" t="s">
        <v>52</v>
      </c>
      <c r="K711" s="15">
        <v>2000</v>
      </c>
      <c r="L711" s="15">
        <v>0</v>
      </c>
      <c r="M711" s="13">
        <v>45117</v>
      </c>
      <c r="O711">
        <v>0</v>
      </c>
      <c r="P711">
        <v>0</v>
      </c>
      <c r="Q711">
        <v>0</v>
      </c>
      <c r="R711">
        <v>916.40235647973282</v>
      </c>
      <c r="S711">
        <v>30152.894993944174</v>
      </c>
      <c r="T711">
        <v>0</v>
      </c>
      <c r="U711">
        <v>0</v>
      </c>
      <c r="V711">
        <v>46728.971962616823</v>
      </c>
      <c r="W711">
        <v>0</v>
      </c>
      <c r="X711">
        <v>0</v>
      </c>
      <c r="Y711">
        <v>77798.269313040728</v>
      </c>
      <c r="Z711">
        <v>5381.7306869592694</v>
      </c>
      <c r="AA711">
        <v>83180</v>
      </c>
      <c r="AB711" t="s">
        <v>242</v>
      </c>
      <c r="AC711">
        <v>1</v>
      </c>
      <c r="AD711">
        <v>2000</v>
      </c>
      <c r="AE711">
        <v>0</v>
      </c>
      <c r="AF711">
        <v>0</v>
      </c>
      <c r="AG711">
        <v>129.2973504239078</v>
      </c>
      <c r="AH711" t="s">
        <v>72</v>
      </c>
    </row>
    <row r="712" spans="1:34" x14ac:dyDescent="0.3">
      <c r="A712" t="s">
        <v>798</v>
      </c>
      <c r="B712">
        <v>4132301147</v>
      </c>
      <c r="C712">
        <v>3100025875</v>
      </c>
      <c r="D712" t="s">
        <v>180</v>
      </c>
      <c r="E712" t="s">
        <v>441</v>
      </c>
      <c r="F712" t="s">
        <v>430</v>
      </c>
      <c r="G712" t="s">
        <v>233</v>
      </c>
      <c r="H712" t="s">
        <v>231</v>
      </c>
      <c r="J712" t="s">
        <v>52</v>
      </c>
      <c r="K712" s="15">
        <v>1000</v>
      </c>
      <c r="L712" s="15">
        <v>0</v>
      </c>
      <c r="M712" s="13">
        <v>45117</v>
      </c>
      <c r="O712">
        <v>0</v>
      </c>
      <c r="P712">
        <v>3534.6794631256789</v>
      </c>
      <c r="Q712">
        <v>0</v>
      </c>
      <c r="R712">
        <v>0</v>
      </c>
      <c r="S712">
        <v>1065.7191780821918</v>
      </c>
      <c r="T712">
        <v>3565.7201279199267</v>
      </c>
      <c r="U712">
        <v>0</v>
      </c>
      <c r="V712">
        <v>0</v>
      </c>
      <c r="W712">
        <v>0</v>
      </c>
      <c r="X712">
        <v>0</v>
      </c>
      <c r="Y712">
        <v>8166.1187691277973</v>
      </c>
      <c r="Z712">
        <v>249.60040895439488</v>
      </c>
      <c r="AA712">
        <v>8415.7191780821922</v>
      </c>
      <c r="AB712" t="s">
        <v>242</v>
      </c>
      <c r="AC712">
        <v>1</v>
      </c>
      <c r="AD712">
        <v>1000</v>
      </c>
      <c r="AE712">
        <v>0</v>
      </c>
      <c r="AF712">
        <v>0</v>
      </c>
      <c r="AG712">
        <v>28.436974223175241</v>
      </c>
      <c r="AH712" t="s">
        <v>72</v>
      </c>
    </row>
    <row r="713" spans="1:34" x14ac:dyDescent="0.3">
      <c r="A713" t="s">
        <v>798</v>
      </c>
      <c r="B713">
        <v>12200059</v>
      </c>
      <c r="C713" t="s">
        <v>337</v>
      </c>
      <c r="D713" t="s">
        <v>379</v>
      </c>
      <c r="E713" t="s">
        <v>436</v>
      </c>
      <c r="F713" t="s">
        <v>427</v>
      </c>
      <c r="G713" t="s">
        <v>417</v>
      </c>
      <c r="H713" t="s">
        <v>82</v>
      </c>
      <c r="J713" t="s">
        <v>52</v>
      </c>
      <c r="K713" s="15">
        <v>250000</v>
      </c>
      <c r="L713" s="15">
        <v>0</v>
      </c>
      <c r="M713" s="13">
        <v>45117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">
        <v>242</v>
      </c>
      <c r="AC713">
        <v>1</v>
      </c>
      <c r="AD713">
        <v>250000</v>
      </c>
      <c r="AE713">
        <v>0</v>
      </c>
      <c r="AF713">
        <v>0</v>
      </c>
      <c r="AG713">
        <v>0</v>
      </c>
      <c r="AH713" t="s">
        <v>58</v>
      </c>
    </row>
    <row r="714" spans="1:34" x14ac:dyDescent="0.3">
      <c r="A714" t="s">
        <v>798</v>
      </c>
      <c r="B714">
        <v>22200146</v>
      </c>
      <c r="C714" t="s">
        <v>342</v>
      </c>
      <c r="D714" t="s">
        <v>323</v>
      </c>
      <c r="E714" t="s">
        <v>438</v>
      </c>
      <c r="F714" t="s">
        <v>428</v>
      </c>
      <c r="G714" t="s">
        <v>82</v>
      </c>
      <c r="H714" t="s">
        <v>82</v>
      </c>
      <c r="J714" t="s">
        <v>416</v>
      </c>
      <c r="K714" s="15">
        <v>0.10993005598232175</v>
      </c>
      <c r="L714" s="15">
        <v>0</v>
      </c>
      <c r="M714" s="13">
        <v>45117</v>
      </c>
      <c r="O714">
        <v>0</v>
      </c>
      <c r="P714">
        <v>0</v>
      </c>
      <c r="Q714">
        <v>0</v>
      </c>
      <c r="R714">
        <v>0</v>
      </c>
      <c r="S714">
        <v>587.30226278304121</v>
      </c>
      <c r="T714">
        <v>0</v>
      </c>
      <c r="U714">
        <v>0</v>
      </c>
      <c r="V714">
        <v>4412.6977372169586</v>
      </c>
      <c r="W714">
        <v>0</v>
      </c>
      <c r="X714">
        <v>0</v>
      </c>
      <c r="Y714">
        <v>5000</v>
      </c>
      <c r="Z714">
        <v>0</v>
      </c>
      <c r="AA714">
        <v>5000</v>
      </c>
      <c r="AB714" t="s">
        <v>242</v>
      </c>
      <c r="AC714">
        <v>0</v>
      </c>
      <c r="AD714">
        <v>0</v>
      </c>
      <c r="AE714">
        <v>0</v>
      </c>
      <c r="AF714">
        <v>0</v>
      </c>
      <c r="AG714">
        <v>0</v>
      </c>
      <c r="AH714" t="s">
        <v>72</v>
      </c>
    </row>
    <row r="715" spans="1:34" x14ac:dyDescent="0.3">
      <c r="A715" t="s">
        <v>798</v>
      </c>
      <c r="B715">
        <v>32200117</v>
      </c>
      <c r="C715" t="s">
        <v>344</v>
      </c>
      <c r="D715" t="s">
        <v>323</v>
      </c>
      <c r="E715" t="s">
        <v>438</v>
      </c>
      <c r="F715" t="s">
        <v>429</v>
      </c>
      <c r="G715" t="s">
        <v>82</v>
      </c>
      <c r="H715" t="s">
        <v>82</v>
      </c>
      <c r="J715" t="s">
        <v>416</v>
      </c>
      <c r="K715" s="15">
        <v>0.25922558427820974</v>
      </c>
      <c r="L715" s="15">
        <v>0</v>
      </c>
      <c r="M715" s="13">
        <v>45117</v>
      </c>
      <c r="O715">
        <v>0</v>
      </c>
      <c r="P715">
        <v>0</v>
      </c>
      <c r="Q715">
        <v>0</v>
      </c>
      <c r="R715">
        <v>733.36667156457236</v>
      </c>
      <c r="S715">
        <v>770.17808622857729</v>
      </c>
      <c r="T715">
        <v>0</v>
      </c>
      <c r="U715">
        <v>0</v>
      </c>
      <c r="V715">
        <v>3496.45524220685</v>
      </c>
      <c r="W715">
        <v>0</v>
      </c>
      <c r="X715">
        <v>0</v>
      </c>
      <c r="Y715">
        <v>5000</v>
      </c>
      <c r="Z715">
        <v>0</v>
      </c>
      <c r="AA715">
        <v>5000</v>
      </c>
      <c r="AB715" t="s">
        <v>242</v>
      </c>
      <c r="AC715">
        <v>0</v>
      </c>
      <c r="AD715">
        <v>0</v>
      </c>
      <c r="AE715">
        <v>0</v>
      </c>
      <c r="AF715">
        <v>0</v>
      </c>
      <c r="AG715">
        <v>0</v>
      </c>
      <c r="AH715" t="s">
        <v>72</v>
      </c>
    </row>
    <row r="716" spans="1:34" x14ac:dyDescent="0.3">
      <c r="A716" t="s">
        <v>798</v>
      </c>
      <c r="B716">
        <v>12200136</v>
      </c>
      <c r="C716">
        <v>6001560014</v>
      </c>
      <c r="D716" t="s">
        <v>811</v>
      </c>
      <c r="E716" t="s">
        <v>437</v>
      </c>
      <c r="F716" t="s">
        <v>427</v>
      </c>
      <c r="G716" t="s">
        <v>82</v>
      </c>
      <c r="H716" t="s">
        <v>82</v>
      </c>
      <c r="J716" t="s">
        <v>52</v>
      </c>
      <c r="K716" s="15">
        <v>1500</v>
      </c>
      <c r="L716" s="15">
        <v>0</v>
      </c>
      <c r="M716" s="13">
        <v>45118</v>
      </c>
      <c r="O716">
        <v>0</v>
      </c>
      <c r="P716">
        <v>0</v>
      </c>
      <c r="Q716">
        <v>0</v>
      </c>
      <c r="R716">
        <v>0</v>
      </c>
      <c r="S716">
        <v>8.7699999999995271</v>
      </c>
      <c r="T716">
        <v>0</v>
      </c>
      <c r="U716">
        <v>0</v>
      </c>
      <c r="V716">
        <v>4058.67</v>
      </c>
      <c r="W716">
        <v>0</v>
      </c>
      <c r="X716">
        <v>0</v>
      </c>
      <c r="Y716">
        <v>4067.4399999999996</v>
      </c>
      <c r="Z716">
        <v>0</v>
      </c>
      <c r="AA716">
        <v>4067.4399999999996</v>
      </c>
      <c r="AB716" t="s">
        <v>242</v>
      </c>
      <c r="AC716">
        <v>1</v>
      </c>
      <c r="AD716">
        <v>1500</v>
      </c>
      <c r="AE716">
        <v>0</v>
      </c>
      <c r="AF716">
        <v>0</v>
      </c>
      <c r="AG716">
        <v>0</v>
      </c>
      <c r="AH716" t="s">
        <v>72</v>
      </c>
    </row>
    <row r="717" spans="1:34" x14ac:dyDescent="0.3">
      <c r="A717" t="s">
        <v>798</v>
      </c>
      <c r="B717">
        <v>42201151</v>
      </c>
      <c r="C717">
        <v>2759024152</v>
      </c>
      <c r="D717" t="s">
        <v>830</v>
      </c>
      <c r="E717" t="s">
        <v>439</v>
      </c>
      <c r="F717" t="s">
        <v>430</v>
      </c>
      <c r="G717" t="s">
        <v>230</v>
      </c>
      <c r="H717" t="s">
        <v>234</v>
      </c>
      <c r="J717" t="s">
        <v>52</v>
      </c>
      <c r="K717" s="15">
        <v>1000</v>
      </c>
      <c r="L717" s="15">
        <v>0</v>
      </c>
      <c r="M717" s="13">
        <v>45118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319754.70093457948</v>
      </c>
      <c r="Y717">
        <v>319754.70093457948</v>
      </c>
      <c r="Z717">
        <v>22382.829065420567</v>
      </c>
      <c r="AA717">
        <v>342137.53</v>
      </c>
      <c r="AB717" t="s">
        <v>242</v>
      </c>
      <c r="AC717">
        <v>5</v>
      </c>
      <c r="AD717">
        <v>8000</v>
      </c>
      <c r="AE717">
        <v>0</v>
      </c>
      <c r="AF717">
        <v>0</v>
      </c>
      <c r="AG717">
        <v>523.36448598130892</v>
      </c>
      <c r="AH717" t="s">
        <v>58</v>
      </c>
    </row>
    <row r="718" spans="1:34" x14ac:dyDescent="0.3">
      <c r="A718" t="s">
        <v>798</v>
      </c>
      <c r="B718">
        <v>52200619</v>
      </c>
      <c r="C718">
        <v>6102060118</v>
      </c>
      <c r="D718" t="s">
        <v>138</v>
      </c>
      <c r="E718" t="s">
        <v>437</v>
      </c>
      <c r="F718" t="s">
        <v>431</v>
      </c>
      <c r="G718" t="s">
        <v>82</v>
      </c>
      <c r="H718" t="s">
        <v>83</v>
      </c>
      <c r="J718" t="s">
        <v>52</v>
      </c>
      <c r="K718" s="15">
        <v>500</v>
      </c>
      <c r="L718" s="15">
        <v>0</v>
      </c>
      <c r="M718" s="13">
        <v>45118</v>
      </c>
      <c r="O718">
        <v>0</v>
      </c>
      <c r="P718">
        <v>0</v>
      </c>
      <c r="Q718">
        <v>0</v>
      </c>
      <c r="R718">
        <v>0</v>
      </c>
      <c r="S718">
        <v>3762.3177570093458</v>
      </c>
      <c r="T718">
        <v>0</v>
      </c>
      <c r="U718">
        <v>0</v>
      </c>
      <c r="V718">
        <v>10196.728971962617</v>
      </c>
      <c r="W718">
        <v>0</v>
      </c>
      <c r="X718">
        <v>0</v>
      </c>
      <c r="Y718">
        <v>13959.046728971964</v>
      </c>
      <c r="Z718">
        <v>977.1332710280376</v>
      </c>
      <c r="AA718">
        <v>14936.18</v>
      </c>
      <c r="AB718" t="s">
        <v>242</v>
      </c>
      <c r="AC718">
        <v>6</v>
      </c>
      <c r="AD718">
        <v>3000</v>
      </c>
      <c r="AE718">
        <v>0</v>
      </c>
      <c r="AF718">
        <v>0</v>
      </c>
      <c r="AG718">
        <v>196.26168224299067</v>
      </c>
      <c r="AH718" t="s">
        <v>58</v>
      </c>
    </row>
    <row r="719" spans="1:34" x14ac:dyDescent="0.3">
      <c r="A719" t="s">
        <v>798</v>
      </c>
      <c r="B719">
        <v>52200733</v>
      </c>
      <c r="C719">
        <v>29713647</v>
      </c>
      <c r="D719" t="s">
        <v>140</v>
      </c>
      <c r="E719" t="s">
        <v>438</v>
      </c>
      <c r="F719" t="s">
        <v>431</v>
      </c>
      <c r="G719" t="s">
        <v>82</v>
      </c>
      <c r="H719" t="s">
        <v>83</v>
      </c>
      <c r="J719" t="s">
        <v>52</v>
      </c>
      <c r="K719" s="15">
        <v>2900</v>
      </c>
      <c r="L719" s="15">
        <v>0</v>
      </c>
      <c r="M719" s="13">
        <v>45118</v>
      </c>
      <c r="O719">
        <v>0</v>
      </c>
      <c r="P719">
        <v>0</v>
      </c>
      <c r="Q719">
        <v>0</v>
      </c>
      <c r="R719">
        <v>961.75503555469436</v>
      </c>
      <c r="S719">
        <v>11222.658845275992</v>
      </c>
      <c r="T719">
        <v>0</v>
      </c>
      <c r="U719">
        <v>0</v>
      </c>
      <c r="V719">
        <v>58878.504672897187</v>
      </c>
      <c r="W719">
        <v>0</v>
      </c>
      <c r="X719">
        <v>0</v>
      </c>
      <c r="Y719">
        <v>71062.918553727868</v>
      </c>
      <c r="Z719">
        <v>4907.0814462721237</v>
      </c>
      <c r="AA719">
        <v>75969.999999999985</v>
      </c>
      <c r="AB719" t="s">
        <v>242</v>
      </c>
      <c r="AC719">
        <v>2</v>
      </c>
      <c r="AD719">
        <v>12900</v>
      </c>
      <c r="AE719">
        <v>0</v>
      </c>
      <c r="AF719">
        <v>0</v>
      </c>
      <c r="AG719">
        <v>832.39518924189542</v>
      </c>
      <c r="AH719" t="s">
        <v>58</v>
      </c>
    </row>
    <row r="720" spans="1:34" x14ac:dyDescent="0.3">
      <c r="A720" t="s">
        <v>798</v>
      </c>
      <c r="B720">
        <v>52201342</v>
      </c>
      <c r="C720">
        <v>26280203</v>
      </c>
      <c r="D720" t="s">
        <v>879</v>
      </c>
      <c r="E720" t="s">
        <v>438</v>
      </c>
      <c r="F720" t="s">
        <v>431</v>
      </c>
      <c r="G720" t="s">
        <v>82</v>
      </c>
      <c r="H720" t="s">
        <v>83</v>
      </c>
      <c r="J720" t="s">
        <v>52</v>
      </c>
      <c r="K720" s="15">
        <v>500</v>
      </c>
      <c r="L720" s="15">
        <v>0</v>
      </c>
      <c r="M720" s="13">
        <v>45118</v>
      </c>
      <c r="O720">
        <v>0</v>
      </c>
      <c r="P720">
        <v>0</v>
      </c>
      <c r="Q720">
        <v>0</v>
      </c>
      <c r="R720">
        <v>1129.5814040549951</v>
      </c>
      <c r="S720">
        <v>18852.520916698537</v>
      </c>
      <c r="T720">
        <v>0</v>
      </c>
      <c r="U720">
        <v>0</v>
      </c>
      <c r="V720">
        <v>47138.524897487107</v>
      </c>
      <c r="W720">
        <v>0</v>
      </c>
      <c r="X720">
        <v>0</v>
      </c>
      <c r="Y720">
        <v>67120.627218240639</v>
      </c>
      <c r="Z720">
        <v>4619.3732069929947</v>
      </c>
      <c r="AA720">
        <v>71740.000425233637</v>
      </c>
      <c r="AB720" t="s">
        <v>242</v>
      </c>
      <c r="AC720">
        <v>1</v>
      </c>
      <c r="AD720">
        <v>500</v>
      </c>
      <c r="AE720">
        <v>0</v>
      </c>
      <c r="AF720">
        <v>0</v>
      </c>
      <c r="AG720">
        <v>32.159531106401573</v>
      </c>
      <c r="AH720" t="s">
        <v>72</v>
      </c>
    </row>
    <row r="721" spans="1:34" x14ac:dyDescent="0.3">
      <c r="A721" t="s">
        <v>798</v>
      </c>
      <c r="B721">
        <v>4142300842</v>
      </c>
      <c r="C721">
        <v>10382588</v>
      </c>
      <c r="D721" t="s">
        <v>211</v>
      </c>
      <c r="E721" t="s">
        <v>445</v>
      </c>
      <c r="F721" t="s">
        <v>430</v>
      </c>
      <c r="G721" t="s">
        <v>230</v>
      </c>
      <c r="H721" t="s">
        <v>234</v>
      </c>
      <c r="J721" t="s">
        <v>52</v>
      </c>
      <c r="K721" s="15">
        <v>2000</v>
      </c>
      <c r="L721" s="15">
        <v>0</v>
      </c>
      <c r="M721" s="13">
        <v>45118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123862.75700934578</v>
      </c>
      <c r="Y721">
        <v>123862.75700934578</v>
      </c>
      <c r="Z721">
        <v>8670.3929906542053</v>
      </c>
      <c r="AA721">
        <v>132533.15</v>
      </c>
      <c r="AB721" t="s">
        <v>242</v>
      </c>
      <c r="AC721">
        <v>2</v>
      </c>
      <c r="AD721">
        <v>4000</v>
      </c>
      <c r="AE721">
        <v>0</v>
      </c>
      <c r="AF721">
        <v>0</v>
      </c>
      <c r="AG721">
        <v>261.68224299065423</v>
      </c>
      <c r="AH721" t="s">
        <v>58</v>
      </c>
    </row>
    <row r="722" spans="1:34" x14ac:dyDescent="0.3">
      <c r="A722" t="s">
        <v>798</v>
      </c>
      <c r="B722">
        <v>12200136</v>
      </c>
      <c r="C722">
        <v>6001560014</v>
      </c>
      <c r="D722" t="s">
        <v>811</v>
      </c>
      <c r="E722" t="s">
        <v>437</v>
      </c>
      <c r="F722" t="s">
        <v>427</v>
      </c>
      <c r="G722" t="s">
        <v>82</v>
      </c>
      <c r="H722" t="s">
        <v>82</v>
      </c>
      <c r="J722" t="s">
        <v>52</v>
      </c>
      <c r="K722" s="15">
        <v>1500</v>
      </c>
      <c r="L722" s="15">
        <v>0</v>
      </c>
      <c r="M722" s="13">
        <v>45119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2567.4399999999996</v>
      </c>
      <c r="W722">
        <v>0</v>
      </c>
      <c r="X722">
        <v>0</v>
      </c>
      <c r="Y722">
        <v>2567.4399999999996</v>
      </c>
      <c r="Z722">
        <v>0</v>
      </c>
      <c r="AA722">
        <v>2567.4399999999996</v>
      </c>
      <c r="AB722" t="s">
        <v>242</v>
      </c>
      <c r="AC722">
        <v>2</v>
      </c>
      <c r="AD722">
        <v>3000</v>
      </c>
      <c r="AE722">
        <v>0</v>
      </c>
      <c r="AF722">
        <v>0</v>
      </c>
      <c r="AG722">
        <v>0</v>
      </c>
      <c r="AH722" t="s">
        <v>58</v>
      </c>
    </row>
    <row r="723" spans="1:34" x14ac:dyDescent="0.3">
      <c r="A723" t="s">
        <v>798</v>
      </c>
      <c r="B723">
        <v>22200050</v>
      </c>
      <c r="C723">
        <v>20757954</v>
      </c>
      <c r="D723" t="s">
        <v>120</v>
      </c>
      <c r="E723" t="s">
        <v>435</v>
      </c>
      <c r="F723" t="s">
        <v>428</v>
      </c>
      <c r="G723" t="s">
        <v>82</v>
      </c>
      <c r="H723" t="s">
        <v>82</v>
      </c>
      <c r="J723" t="s">
        <v>52</v>
      </c>
      <c r="K723" s="15">
        <v>1000</v>
      </c>
      <c r="L723" s="15">
        <v>0</v>
      </c>
      <c r="M723" s="13">
        <v>45119</v>
      </c>
      <c r="O723">
        <v>0</v>
      </c>
      <c r="P723">
        <v>0</v>
      </c>
      <c r="Q723">
        <v>0</v>
      </c>
      <c r="R723">
        <v>0</v>
      </c>
      <c r="S723">
        <v>1932.2079698630132</v>
      </c>
      <c r="T723">
        <v>0</v>
      </c>
      <c r="U723">
        <v>0</v>
      </c>
      <c r="V723">
        <v>14084.08</v>
      </c>
      <c r="W723">
        <v>0</v>
      </c>
      <c r="X723">
        <v>0</v>
      </c>
      <c r="Y723">
        <v>16016.287969863013</v>
      </c>
      <c r="Z723">
        <v>0</v>
      </c>
      <c r="AA723">
        <v>16016.287969863013</v>
      </c>
      <c r="AB723" t="s">
        <v>242</v>
      </c>
      <c r="AC723">
        <v>6</v>
      </c>
      <c r="AD723">
        <v>4000</v>
      </c>
      <c r="AE723">
        <v>0</v>
      </c>
      <c r="AF723">
        <v>0</v>
      </c>
      <c r="AG723">
        <v>0</v>
      </c>
      <c r="AH723" t="s">
        <v>58</v>
      </c>
    </row>
    <row r="724" spans="1:34" x14ac:dyDescent="0.3">
      <c r="A724" t="s">
        <v>798</v>
      </c>
      <c r="B724">
        <v>52200764</v>
      </c>
      <c r="C724">
        <v>29315611</v>
      </c>
      <c r="D724" t="s">
        <v>142</v>
      </c>
      <c r="E724" t="s">
        <v>438</v>
      </c>
      <c r="F724" t="s">
        <v>431</v>
      </c>
      <c r="G724" t="s">
        <v>82</v>
      </c>
      <c r="H724" t="s">
        <v>83</v>
      </c>
      <c r="J724" t="s">
        <v>52</v>
      </c>
      <c r="K724" s="15">
        <v>2256</v>
      </c>
      <c r="L724" s="15">
        <v>0</v>
      </c>
      <c r="M724" s="13">
        <v>45119</v>
      </c>
      <c r="O724">
        <v>0</v>
      </c>
      <c r="P724">
        <v>0</v>
      </c>
      <c r="Q724">
        <v>0</v>
      </c>
      <c r="R724">
        <v>910.80053321355376</v>
      </c>
      <c r="S724">
        <v>19240.533146529393</v>
      </c>
      <c r="T724">
        <v>0</v>
      </c>
      <c r="U724">
        <v>0</v>
      </c>
      <c r="V724">
        <v>50364.328598130844</v>
      </c>
      <c r="W724">
        <v>0</v>
      </c>
      <c r="X724">
        <v>0</v>
      </c>
      <c r="Y724">
        <v>70515.662277873795</v>
      </c>
      <c r="Z724">
        <v>4872.3403221262179</v>
      </c>
      <c r="AA724">
        <v>75388.002600000007</v>
      </c>
      <c r="AB724" t="s">
        <v>242</v>
      </c>
      <c r="AC724">
        <v>1</v>
      </c>
      <c r="AD724">
        <v>2256</v>
      </c>
      <c r="AE724">
        <v>0</v>
      </c>
      <c r="AF724">
        <v>0</v>
      </c>
      <c r="AG724">
        <v>145.67853955602686</v>
      </c>
      <c r="AH724" t="s">
        <v>72</v>
      </c>
    </row>
    <row r="725" spans="1:34" x14ac:dyDescent="0.3">
      <c r="A725" t="s">
        <v>798</v>
      </c>
      <c r="B725">
        <v>52201192</v>
      </c>
      <c r="C725">
        <v>30434010</v>
      </c>
      <c r="D725" t="s">
        <v>874</v>
      </c>
      <c r="E725" t="s">
        <v>438</v>
      </c>
      <c r="F725" t="s">
        <v>431</v>
      </c>
      <c r="G725" t="s">
        <v>82</v>
      </c>
      <c r="H725" t="s">
        <v>83</v>
      </c>
      <c r="J725" t="s">
        <v>52</v>
      </c>
      <c r="K725" s="15">
        <v>2000</v>
      </c>
      <c r="L725" s="15">
        <v>0</v>
      </c>
      <c r="M725" s="13">
        <v>45120</v>
      </c>
      <c r="O725">
        <v>0</v>
      </c>
      <c r="P725">
        <v>0</v>
      </c>
      <c r="Q725">
        <v>0</v>
      </c>
      <c r="R725">
        <v>853.00659864293823</v>
      </c>
      <c r="S725">
        <v>33582.386051622394</v>
      </c>
      <c r="T725">
        <v>0</v>
      </c>
      <c r="U725">
        <v>0</v>
      </c>
      <c r="V725">
        <v>55563.40229011231</v>
      </c>
      <c r="W725">
        <v>0</v>
      </c>
      <c r="X725">
        <v>0</v>
      </c>
      <c r="Y725">
        <v>89998.794940377644</v>
      </c>
      <c r="Z725">
        <v>6240.20518392143</v>
      </c>
      <c r="AA725">
        <v>96239.000124299069</v>
      </c>
      <c r="AB725" t="s">
        <v>242</v>
      </c>
      <c r="AC725">
        <v>2</v>
      </c>
      <c r="AD725">
        <v>4000</v>
      </c>
      <c r="AE725">
        <v>0</v>
      </c>
      <c r="AF725">
        <v>0</v>
      </c>
      <c r="AG725">
        <v>259.19669336916422</v>
      </c>
      <c r="AH725" t="s">
        <v>58</v>
      </c>
    </row>
    <row r="726" spans="1:34" x14ac:dyDescent="0.3">
      <c r="A726" t="s">
        <v>798</v>
      </c>
      <c r="B726">
        <v>4142300284</v>
      </c>
      <c r="C726">
        <v>10132634</v>
      </c>
      <c r="D726" t="s">
        <v>263</v>
      </c>
      <c r="E726" t="s">
        <v>445</v>
      </c>
      <c r="F726" t="s">
        <v>430</v>
      </c>
      <c r="G726" t="s">
        <v>237</v>
      </c>
      <c r="H726" t="s">
        <v>234</v>
      </c>
      <c r="J726" t="s">
        <v>425</v>
      </c>
      <c r="K726" s="15">
        <v>60000</v>
      </c>
      <c r="L726" s="15">
        <v>96</v>
      </c>
      <c r="M726" s="13">
        <v>45121</v>
      </c>
      <c r="O726">
        <v>96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258363.8472161055</v>
      </c>
      <c r="Y726">
        <v>258459.8472161055</v>
      </c>
      <c r="Z726">
        <v>18085.469305127386</v>
      </c>
      <c r="AA726">
        <v>276545.31652123289</v>
      </c>
      <c r="AB726" t="s">
        <v>242</v>
      </c>
      <c r="AC726">
        <v>0</v>
      </c>
      <c r="AD726">
        <v>0</v>
      </c>
      <c r="AE726">
        <v>0</v>
      </c>
      <c r="AF726">
        <v>64200</v>
      </c>
      <c r="AG726">
        <v>4200</v>
      </c>
      <c r="AH726" t="s">
        <v>72</v>
      </c>
    </row>
    <row r="727" spans="1:34" x14ac:dyDescent="0.3">
      <c r="A727" t="s">
        <v>798</v>
      </c>
      <c r="B727">
        <v>52200750</v>
      </c>
      <c r="C727">
        <v>26151957</v>
      </c>
      <c r="D727" t="s">
        <v>141</v>
      </c>
      <c r="E727" t="s">
        <v>438</v>
      </c>
      <c r="F727" t="s">
        <v>431</v>
      </c>
      <c r="G727" t="s">
        <v>82</v>
      </c>
      <c r="H727" t="s">
        <v>83</v>
      </c>
      <c r="J727" t="s">
        <v>52</v>
      </c>
      <c r="K727" s="15">
        <v>1000</v>
      </c>
      <c r="L727" s="15">
        <v>0</v>
      </c>
      <c r="M727" s="13">
        <v>45121</v>
      </c>
      <c r="O727">
        <v>0</v>
      </c>
      <c r="P727">
        <v>0</v>
      </c>
      <c r="Q727">
        <v>0</v>
      </c>
      <c r="R727">
        <v>893.49065109586149</v>
      </c>
      <c r="S727">
        <v>25703.215237717257</v>
      </c>
      <c r="T727">
        <v>0</v>
      </c>
      <c r="U727">
        <v>0</v>
      </c>
      <c r="V727">
        <v>47756.1392450563</v>
      </c>
      <c r="W727">
        <v>0</v>
      </c>
      <c r="X727">
        <v>0</v>
      </c>
      <c r="Y727">
        <v>74352.845133869414</v>
      </c>
      <c r="Z727">
        <v>5142.15481379415</v>
      </c>
      <c r="AA727">
        <v>79494.999947663571</v>
      </c>
      <c r="AB727" t="s">
        <v>242</v>
      </c>
      <c r="AC727">
        <v>7</v>
      </c>
      <c r="AD727">
        <v>8000</v>
      </c>
      <c r="AE727">
        <v>0</v>
      </c>
      <c r="AF727">
        <v>0</v>
      </c>
      <c r="AG727">
        <v>517.05079025860789</v>
      </c>
      <c r="AH727" t="s">
        <v>58</v>
      </c>
    </row>
    <row r="728" spans="1:34" x14ac:dyDescent="0.3">
      <c r="A728" t="s">
        <v>798</v>
      </c>
      <c r="B728">
        <v>52201065</v>
      </c>
      <c r="C728">
        <v>26216751</v>
      </c>
      <c r="D728" t="s">
        <v>148</v>
      </c>
      <c r="E728" t="s">
        <v>438</v>
      </c>
      <c r="F728" t="s">
        <v>431</v>
      </c>
      <c r="G728" t="s">
        <v>82</v>
      </c>
      <c r="H728" t="s">
        <v>83</v>
      </c>
      <c r="J728" t="s">
        <v>52</v>
      </c>
      <c r="K728" s="15">
        <v>3500</v>
      </c>
      <c r="L728" s="15">
        <v>0</v>
      </c>
      <c r="M728" s="13">
        <v>45121</v>
      </c>
      <c r="O728">
        <v>0</v>
      </c>
      <c r="P728">
        <v>0</v>
      </c>
      <c r="Q728">
        <v>0</v>
      </c>
      <c r="R728">
        <v>986.68873094903597</v>
      </c>
      <c r="S728">
        <v>21634.07973672236</v>
      </c>
      <c r="T728">
        <v>0</v>
      </c>
      <c r="U728">
        <v>0</v>
      </c>
      <c r="V728">
        <v>43621.351324133189</v>
      </c>
      <c r="W728">
        <v>0</v>
      </c>
      <c r="X728">
        <v>0</v>
      </c>
      <c r="Y728">
        <v>66242.11979180458</v>
      </c>
      <c r="Z728">
        <v>4567.8801742598889</v>
      </c>
      <c r="AA728">
        <v>70809.999966064468</v>
      </c>
      <c r="AB728" t="s">
        <v>242</v>
      </c>
      <c r="AC728">
        <v>1</v>
      </c>
      <c r="AD728">
        <v>3500</v>
      </c>
      <c r="AE728">
        <v>0</v>
      </c>
      <c r="AF728">
        <v>0</v>
      </c>
      <c r="AG728">
        <v>225.54973006208638</v>
      </c>
      <c r="AH728" t="s">
        <v>72</v>
      </c>
    </row>
    <row r="729" spans="1:34" x14ac:dyDescent="0.3">
      <c r="A729" t="s">
        <v>798</v>
      </c>
      <c r="B729">
        <v>52201323</v>
      </c>
      <c r="C729">
        <v>26835889</v>
      </c>
      <c r="D729" t="s">
        <v>877</v>
      </c>
      <c r="E729" t="s">
        <v>438</v>
      </c>
      <c r="F729" t="s">
        <v>431</v>
      </c>
      <c r="G729" t="s">
        <v>82</v>
      </c>
      <c r="H729" t="s">
        <v>83</v>
      </c>
      <c r="J729" t="s">
        <v>52</v>
      </c>
      <c r="K729" s="15">
        <v>500</v>
      </c>
      <c r="L729" s="15">
        <v>0</v>
      </c>
      <c r="M729" s="13">
        <v>45121</v>
      </c>
      <c r="O729">
        <v>0</v>
      </c>
      <c r="P729">
        <v>0</v>
      </c>
      <c r="Q729">
        <v>0</v>
      </c>
      <c r="R729">
        <v>933.04124625737143</v>
      </c>
      <c r="S729">
        <v>16636.668924258258</v>
      </c>
      <c r="T729">
        <v>0</v>
      </c>
      <c r="U729">
        <v>0</v>
      </c>
      <c r="V729">
        <v>48109.079118336827</v>
      </c>
      <c r="W729">
        <v>0</v>
      </c>
      <c r="X729">
        <v>0</v>
      </c>
      <c r="Y729">
        <v>65678.789288852451</v>
      </c>
      <c r="Z729">
        <v>4532.2023629816567</v>
      </c>
      <c r="AA729">
        <v>70210.991651834105</v>
      </c>
      <c r="AB729" t="s">
        <v>242</v>
      </c>
      <c r="AC729">
        <v>5</v>
      </c>
      <c r="AD729">
        <v>4000</v>
      </c>
      <c r="AE729">
        <v>0</v>
      </c>
      <c r="AF729">
        <v>0</v>
      </c>
      <c r="AG729">
        <v>257.95596938132337</v>
      </c>
      <c r="AH729" t="s">
        <v>58</v>
      </c>
    </row>
    <row r="730" spans="1:34" x14ac:dyDescent="0.3">
      <c r="A730" t="s">
        <v>798</v>
      </c>
      <c r="B730">
        <v>4142300645</v>
      </c>
      <c r="C730">
        <v>10280082</v>
      </c>
      <c r="D730" t="s">
        <v>922</v>
      </c>
      <c r="E730" t="s">
        <v>445</v>
      </c>
      <c r="F730" t="s">
        <v>430</v>
      </c>
      <c r="G730" t="s">
        <v>230</v>
      </c>
      <c r="H730" t="s">
        <v>234</v>
      </c>
      <c r="J730" t="s">
        <v>52</v>
      </c>
      <c r="K730" s="15">
        <v>3000</v>
      </c>
      <c r="L730" s="15">
        <v>0</v>
      </c>
      <c r="M730" s="13">
        <v>45121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388864.30674689543</v>
      </c>
      <c r="Y730">
        <v>388864.30674689543</v>
      </c>
      <c r="Z730">
        <v>27220.501472282682</v>
      </c>
      <c r="AA730">
        <v>416084.80821917811</v>
      </c>
      <c r="AB730" t="s">
        <v>242</v>
      </c>
      <c r="AC730">
        <v>1</v>
      </c>
      <c r="AD730">
        <v>3000</v>
      </c>
      <c r="AE730">
        <v>0</v>
      </c>
      <c r="AF730">
        <v>0</v>
      </c>
      <c r="AG730">
        <v>196.2616822429909</v>
      </c>
      <c r="AH730" t="s">
        <v>72</v>
      </c>
    </row>
    <row r="731" spans="1:34" x14ac:dyDescent="0.3">
      <c r="A731" t="s">
        <v>798</v>
      </c>
      <c r="B731">
        <v>12200179</v>
      </c>
      <c r="C731" t="s">
        <v>252</v>
      </c>
      <c r="D731" t="s">
        <v>323</v>
      </c>
      <c r="E731" t="s">
        <v>438</v>
      </c>
      <c r="F731" t="s">
        <v>427</v>
      </c>
      <c r="G731" t="s">
        <v>328</v>
      </c>
      <c r="H731" t="s">
        <v>82</v>
      </c>
      <c r="J731" t="s">
        <v>52</v>
      </c>
      <c r="K731" s="15">
        <v>90000</v>
      </c>
      <c r="L731" s="15">
        <v>0</v>
      </c>
      <c r="M731" s="13">
        <v>45121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">
        <v>242</v>
      </c>
      <c r="AC731">
        <v>2</v>
      </c>
      <c r="AD731">
        <v>180000</v>
      </c>
      <c r="AE731">
        <v>0</v>
      </c>
      <c r="AF731">
        <v>0</v>
      </c>
      <c r="AG731">
        <v>0</v>
      </c>
      <c r="AH731" t="s">
        <v>58</v>
      </c>
    </row>
    <row r="732" spans="1:34" x14ac:dyDescent="0.3">
      <c r="A732" t="s">
        <v>798</v>
      </c>
      <c r="B732">
        <v>22200146</v>
      </c>
      <c r="C732" t="s">
        <v>342</v>
      </c>
      <c r="D732" t="s">
        <v>323</v>
      </c>
      <c r="E732" t="s">
        <v>438</v>
      </c>
      <c r="F732" t="s">
        <v>428</v>
      </c>
      <c r="G732" t="s">
        <v>417</v>
      </c>
      <c r="H732" t="s">
        <v>82</v>
      </c>
      <c r="J732" t="s">
        <v>52</v>
      </c>
      <c r="K732" s="15">
        <v>5000</v>
      </c>
      <c r="L732" s="15">
        <v>0</v>
      </c>
      <c r="M732" s="13">
        <v>45121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">
        <v>242</v>
      </c>
      <c r="AC732">
        <v>1</v>
      </c>
      <c r="AD732">
        <v>5000</v>
      </c>
      <c r="AE732">
        <v>0</v>
      </c>
      <c r="AF732">
        <v>0</v>
      </c>
      <c r="AG732">
        <v>0</v>
      </c>
      <c r="AH732" t="s">
        <v>58</v>
      </c>
    </row>
    <row r="733" spans="1:34" x14ac:dyDescent="0.3">
      <c r="A733" t="s">
        <v>798</v>
      </c>
      <c r="B733">
        <v>32200117</v>
      </c>
      <c r="C733" t="s">
        <v>344</v>
      </c>
      <c r="D733" t="s">
        <v>323</v>
      </c>
      <c r="E733" t="s">
        <v>438</v>
      </c>
      <c r="F733" t="s">
        <v>429</v>
      </c>
      <c r="G733" t="s">
        <v>82</v>
      </c>
      <c r="H733" t="s">
        <v>82</v>
      </c>
      <c r="J733" t="s">
        <v>52</v>
      </c>
      <c r="K733" s="15">
        <v>2000</v>
      </c>
      <c r="L733" s="15">
        <v>0</v>
      </c>
      <c r="M733" s="13">
        <v>45121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2999.9999999999995</v>
      </c>
      <c r="W733">
        <v>0</v>
      </c>
      <c r="X733">
        <v>0</v>
      </c>
      <c r="Y733">
        <v>2999.9999999999995</v>
      </c>
      <c r="Z733">
        <v>0</v>
      </c>
      <c r="AA733">
        <v>2999.9999999999995</v>
      </c>
      <c r="AB733" t="s">
        <v>242</v>
      </c>
      <c r="AC733">
        <v>1</v>
      </c>
      <c r="AD733">
        <v>2000</v>
      </c>
      <c r="AE733">
        <v>0</v>
      </c>
      <c r="AF733">
        <v>0</v>
      </c>
      <c r="AG733">
        <v>0</v>
      </c>
      <c r="AH733" t="s">
        <v>58</v>
      </c>
    </row>
    <row r="734" spans="1:34" x14ac:dyDescent="0.3">
      <c r="A734" t="s">
        <v>798</v>
      </c>
      <c r="B734">
        <v>52201220</v>
      </c>
      <c r="C734">
        <v>25378599</v>
      </c>
      <c r="D734" t="s">
        <v>150</v>
      </c>
      <c r="E734" t="s">
        <v>438</v>
      </c>
      <c r="F734" t="s">
        <v>431</v>
      </c>
      <c r="G734" t="s">
        <v>82</v>
      </c>
      <c r="H734" t="s">
        <v>83</v>
      </c>
      <c r="J734" t="s">
        <v>52</v>
      </c>
      <c r="K734" s="15">
        <v>2000</v>
      </c>
      <c r="L734" s="15">
        <v>0</v>
      </c>
      <c r="M734" s="13">
        <v>45122</v>
      </c>
      <c r="O734">
        <v>0</v>
      </c>
      <c r="P734">
        <v>0</v>
      </c>
      <c r="Q734">
        <v>0</v>
      </c>
      <c r="R734">
        <v>710.94737074902332</v>
      </c>
      <c r="S734">
        <v>16475.125967514236</v>
      </c>
      <c r="T734">
        <v>0</v>
      </c>
      <c r="U734">
        <v>0</v>
      </c>
      <c r="V734">
        <v>79718.38097920474</v>
      </c>
      <c r="W734">
        <v>0</v>
      </c>
      <c r="X734">
        <v>0</v>
      </c>
      <c r="Y734">
        <v>96904.454317468</v>
      </c>
      <c r="Z734">
        <v>6733.5454862703291</v>
      </c>
      <c r="AA734">
        <v>103637.99980373833</v>
      </c>
      <c r="AB734" t="s">
        <v>242</v>
      </c>
      <c r="AC734">
        <v>5</v>
      </c>
      <c r="AD734">
        <v>11000</v>
      </c>
      <c r="AE734">
        <v>0</v>
      </c>
      <c r="AF734">
        <v>0</v>
      </c>
      <c r="AG734">
        <v>714.32365976862775</v>
      </c>
      <c r="AH734" t="s">
        <v>58</v>
      </c>
    </row>
    <row r="735" spans="1:34" x14ac:dyDescent="0.3">
      <c r="A735" t="s">
        <v>798</v>
      </c>
      <c r="B735">
        <v>12200035</v>
      </c>
      <c r="C735" t="s">
        <v>632</v>
      </c>
      <c r="D735" t="s">
        <v>631</v>
      </c>
      <c r="E735" t="s">
        <v>435</v>
      </c>
      <c r="F735" t="s">
        <v>427</v>
      </c>
      <c r="G735" t="s">
        <v>230</v>
      </c>
      <c r="H735" t="s">
        <v>230</v>
      </c>
      <c r="J735" t="s">
        <v>52</v>
      </c>
      <c r="K735" s="15">
        <v>1500</v>
      </c>
      <c r="M735" s="13">
        <v>45123</v>
      </c>
      <c r="O735">
        <v>0</v>
      </c>
      <c r="P735">
        <v>0</v>
      </c>
      <c r="Q735">
        <v>0</v>
      </c>
      <c r="R735">
        <v>0</v>
      </c>
      <c r="S735">
        <v>70599.029999999984</v>
      </c>
      <c r="T735">
        <v>0</v>
      </c>
      <c r="U735">
        <v>0</v>
      </c>
      <c r="V735">
        <v>79907.710000000006</v>
      </c>
      <c r="W735">
        <v>0</v>
      </c>
      <c r="X735">
        <v>0</v>
      </c>
      <c r="Y735">
        <v>150506.74</v>
      </c>
      <c r="Z735">
        <v>0</v>
      </c>
      <c r="AA735">
        <v>150506.74</v>
      </c>
      <c r="AB735" t="s">
        <v>242</v>
      </c>
      <c r="AC735">
        <v>5</v>
      </c>
      <c r="AD735">
        <v>7500</v>
      </c>
      <c r="AE735">
        <v>0</v>
      </c>
      <c r="AF735">
        <v>0</v>
      </c>
      <c r="AG735">
        <v>0</v>
      </c>
      <c r="AH735" t="s">
        <v>58</v>
      </c>
    </row>
    <row r="736" spans="1:34" x14ac:dyDescent="0.3">
      <c r="A736" t="s">
        <v>798</v>
      </c>
      <c r="B736">
        <v>52200151</v>
      </c>
      <c r="C736" t="s">
        <v>605</v>
      </c>
      <c r="D736" t="s">
        <v>604</v>
      </c>
      <c r="E736" t="s">
        <v>436</v>
      </c>
      <c r="F736" t="s">
        <v>431</v>
      </c>
      <c r="G736" t="s">
        <v>82</v>
      </c>
      <c r="H736" t="s">
        <v>83</v>
      </c>
      <c r="J736" t="s">
        <v>52</v>
      </c>
      <c r="K736" s="15">
        <v>3000</v>
      </c>
      <c r="M736" s="13">
        <v>45123</v>
      </c>
      <c r="O736">
        <v>0</v>
      </c>
      <c r="P736">
        <v>0</v>
      </c>
      <c r="Q736">
        <v>0</v>
      </c>
      <c r="R736">
        <v>627.49755485857395</v>
      </c>
      <c r="S736">
        <v>19390.467105687243</v>
      </c>
      <c r="T736">
        <v>0</v>
      </c>
      <c r="U736">
        <v>0</v>
      </c>
      <c r="V736">
        <v>85797.853792470967</v>
      </c>
      <c r="W736">
        <v>0</v>
      </c>
      <c r="X736">
        <v>0</v>
      </c>
      <c r="Y736">
        <v>105815.81845301678</v>
      </c>
      <c r="Z736">
        <v>7363.1824628710756</v>
      </c>
      <c r="AA736">
        <v>113179.00091588785</v>
      </c>
      <c r="AB736" t="s">
        <v>242</v>
      </c>
      <c r="AC736">
        <v>4</v>
      </c>
      <c r="AD736">
        <v>11000</v>
      </c>
      <c r="AE736">
        <v>0</v>
      </c>
      <c r="AF736">
        <v>0</v>
      </c>
      <c r="AG736">
        <v>715.34096153280416</v>
      </c>
      <c r="AH736" t="s">
        <v>58</v>
      </c>
    </row>
    <row r="737" spans="1:34" x14ac:dyDescent="0.3">
      <c r="A737" t="s">
        <v>798</v>
      </c>
      <c r="B737">
        <v>52201828</v>
      </c>
      <c r="C737">
        <v>25536725</v>
      </c>
      <c r="D737" t="s">
        <v>166</v>
      </c>
      <c r="E737" t="s">
        <v>438</v>
      </c>
      <c r="F737" t="s">
        <v>431</v>
      </c>
      <c r="G737" t="s">
        <v>82</v>
      </c>
      <c r="H737" t="s">
        <v>83</v>
      </c>
      <c r="J737" t="s">
        <v>52</v>
      </c>
      <c r="K737" s="15">
        <v>1500</v>
      </c>
      <c r="L737" s="15">
        <v>0</v>
      </c>
      <c r="M737" s="13">
        <v>45124</v>
      </c>
      <c r="O737">
        <v>0</v>
      </c>
      <c r="P737">
        <v>0</v>
      </c>
      <c r="Q737">
        <v>0</v>
      </c>
      <c r="R737">
        <v>902.79361419122074</v>
      </c>
      <c r="S737">
        <v>19468.288398783832</v>
      </c>
      <c r="T737">
        <v>0</v>
      </c>
      <c r="U737">
        <v>0</v>
      </c>
      <c r="V737">
        <v>46273.024665951423</v>
      </c>
      <c r="W737">
        <v>0</v>
      </c>
      <c r="X737">
        <v>0</v>
      </c>
      <c r="Y737">
        <v>66644.106678926473</v>
      </c>
      <c r="Z737">
        <v>4601.8919145314685</v>
      </c>
      <c r="AA737">
        <v>71245.998593457945</v>
      </c>
      <c r="AB737" t="s">
        <v>242</v>
      </c>
      <c r="AC737">
        <v>6</v>
      </c>
      <c r="AD737">
        <v>10000</v>
      </c>
      <c r="AE737">
        <v>0</v>
      </c>
      <c r="AF737">
        <v>0</v>
      </c>
      <c r="AG737">
        <v>645.29490933961256</v>
      </c>
      <c r="AH737" t="s">
        <v>58</v>
      </c>
    </row>
    <row r="738" spans="1:34" x14ac:dyDescent="0.3">
      <c r="A738" t="s">
        <v>798</v>
      </c>
      <c r="B738">
        <v>62200129</v>
      </c>
      <c r="C738" t="s">
        <v>803</v>
      </c>
      <c r="D738" t="s">
        <v>897</v>
      </c>
      <c r="E738" t="s">
        <v>437</v>
      </c>
      <c r="F738" t="s">
        <v>432</v>
      </c>
      <c r="G738" t="s">
        <v>235</v>
      </c>
      <c r="H738" t="s">
        <v>235</v>
      </c>
      <c r="J738" t="s">
        <v>52</v>
      </c>
      <c r="K738" s="15">
        <v>2000</v>
      </c>
      <c r="L738" s="15">
        <v>0</v>
      </c>
      <c r="M738" s="13">
        <v>45124</v>
      </c>
      <c r="O738">
        <v>0</v>
      </c>
      <c r="P738">
        <v>0</v>
      </c>
      <c r="Q738">
        <v>0</v>
      </c>
      <c r="R738">
        <v>0</v>
      </c>
      <c r="S738">
        <v>5538.3985863013695</v>
      </c>
      <c r="T738">
        <v>0</v>
      </c>
      <c r="U738">
        <v>0</v>
      </c>
      <c r="V738">
        <v>17834.86</v>
      </c>
      <c r="W738">
        <v>0</v>
      </c>
      <c r="X738">
        <v>0</v>
      </c>
      <c r="Y738">
        <v>23373.25858630137</v>
      </c>
      <c r="Z738">
        <v>0</v>
      </c>
      <c r="AA738">
        <v>23373.25858630137</v>
      </c>
      <c r="AB738" t="s">
        <v>242</v>
      </c>
      <c r="AC738">
        <v>3</v>
      </c>
      <c r="AD738">
        <v>6000</v>
      </c>
      <c r="AE738">
        <v>0</v>
      </c>
      <c r="AF738">
        <v>0</v>
      </c>
      <c r="AG738">
        <v>0</v>
      </c>
      <c r="AH738" t="s">
        <v>58</v>
      </c>
    </row>
    <row r="739" spans="1:34" x14ac:dyDescent="0.3">
      <c r="A739" t="s">
        <v>798</v>
      </c>
      <c r="B739">
        <v>4142300939</v>
      </c>
      <c r="C739">
        <v>10449473</v>
      </c>
      <c r="D739" t="s">
        <v>214</v>
      </c>
      <c r="E739" t="s">
        <v>445</v>
      </c>
      <c r="F739" t="s">
        <v>430</v>
      </c>
      <c r="G739" t="s">
        <v>230</v>
      </c>
      <c r="H739" t="s">
        <v>234</v>
      </c>
      <c r="J739" t="s">
        <v>52</v>
      </c>
      <c r="K739" s="15">
        <v>500</v>
      </c>
      <c r="L739" s="15">
        <v>0</v>
      </c>
      <c r="M739" s="13">
        <v>45124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335890.66355140187</v>
      </c>
      <c r="Y739">
        <v>335890.66355140187</v>
      </c>
      <c r="Z739">
        <v>23512.346448598135</v>
      </c>
      <c r="AA739">
        <v>359403.01</v>
      </c>
      <c r="AB739" t="s">
        <v>242</v>
      </c>
      <c r="AC739">
        <v>1</v>
      </c>
      <c r="AD739">
        <v>500</v>
      </c>
      <c r="AE739">
        <v>0</v>
      </c>
      <c r="AF739">
        <v>0</v>
      </c>
      <c r="AG739">
        <v>32.710280373831779</v>
      </c>
      <c r="AH739" t="s">
        <v>72</v>
      </c>
    </row>
    <row r="740" spans="1:34" x14ac:dyDescent="0.3">
      <c r="A740" t="s">
        <v>798</v>
      </c>
      <c r="B740">
        <v>4142300600</v>
      </c>
      <c r="C740">
        <v>10261717</v>
      </c>
      <c r="D740" t="s">
        <v>202</v>
      </c>
      <c r="E740" t="s">
        <v>445</v>
      </c>
      <c r="F740" t="s">
        <v>430</v>
      </c>
      <c r="G740" t="s">
        <v>230</v>
      </c>
      <c r="H740" t="s">
        <v>234</v>
      </c>
      <c r="J740" t="s">
        <v>52</v>
      </c>
      <c r="K740" s="15">
        <v>100000</v>
      </c>
      <c r="L740" s="15">
        <v>0</v>
      </c>
      <c r="M740" s="13">
        <v>45125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245452.05607476635</v>
      </c>
      <c r="Y740">
        <v>245452.05607476635</v>
      </c>
      <c r="Z740">
        <v>17181.643925233646</v>
      </c>
      <c r="AA740">
        <v>262633.7</v>
      </c>
      <c r="AB740" t="s">
        <v>242</v>
      </c>
      <c r="AC740">
        <v>1</v>
      </c>
      <c r="AD740">
        <v>100000</v>
      </c>
      <c r="AE740">
        <v>0</v>
      </c>
      <c r="AF740">
        <v>0</v>
      </c>
      <c r="AG740">
        <v>6542.0560747663549</v>
      </c>
      <c r="AH740" t="s">
        <v>72</v>
      </c>
    </row>
    <row r="741" spans="1:34" x14ac:dyDescent="0.3">
      <c r="A741" t="s">
        <v>798</v>
      </c>
      <c r="B741">
        <v>4142300518</v>
      </c>
      <c r="C741" t="s">
        <v>493</v>
      </c>
      <c r="D741" t="s">
        <v>565</v>
      </c>
      <c r="E741" t="s">
        <v>445</v>
      </c>
      <c r="F741" t="s">
        <v>430</v>
      </c>
      <c r="G741" t="s">
        <v>230</v>
      </c>
      <c r="H741" t="s">
        <v>234</v>
      </c>
      <c r="J741" t="s">
        <v>416</v>
      </c>
      <c r="K741" s="15">
        <v>0.16602215652539909</v>
      </c>
      <c r="L741" s="15">
        <v>0</v>
      </c>
      <c r="M741" s="13">
        <v>45125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495327.10280373832</v>
      </c>
      <c r="Y741">
        <v>495327.10280373832</v>
      </c>
      <c r="Z741">
        <v>34672.897196261685</v>
      </c>
      <c r="AA741">
        <v>530000</v>
      </c>
      <c r="AB741" t="s">
        <v>242</v>
      </c>
      <c r="AC741">
        <v>0</v>
      </c>
      <c r="AD741">
        <v>0</v>
      </c>
      <c r="AE741">
        <v>0</v>
      </c>
      <c r="AF741">
        <v>0</v>
      </c>
      <c r="AG741">
        <v>0</v>
      </c>
      <c r="AH741" t="s">
        <v>72</v>
      </c>
    </row>
    <row r="742" spans="1:34" x14ac:dyDescent="0.3">
      <c r="A742" t="s">
        <v>798</v>
      </c>
      <c r="B742">
        <v>52200012</v>
      </c>
      <c r="C742" t="s">
        <v>638</v>
      </c>
      <c r="D742" t="s">
        <v>637</v>
      </c>
      <c r="E742" t="s">
        <v>435</v>
      </c>
      <c r="F742" t="s">
        <v>431</v>
      </c>
      <c r="G742" t="s">
        <v>230</v>
      </c>
      <c r="H742" t="s">
        <v>231</v>
      </c>
      <c r="J742" t="s">
        <v>52</v>
      </c>
      <c r="K742" s="15">
        <v>2500</v>
      </c>
      <c r="M742" s="13">
        <v>45125</v>
      </c>
      <c r="O742">
        <v>4926.9265206201626</v>
      </c>
      <c r="P742">
        <v>0</v>
      </c>
      <c r="Q742">
        <v>0</v>
      </c>
      <c r="R742">
        <v>0</v>
      </c>
      <c r="S742">
        <v>0</v>
      </c>
      <c r="T742">
        <v>25900.068672317597</v>
      </c>
      <c r="U742">
        <v>0</v>
      </c>
      <c r="V742">
        <v>0</v>
      </c>
      <c r="W742">
        <v>42990.654205607476</v>
      </c>
      <c r="X742">
        <v>0</v>
      </c>
      <c r="Y742">
        <v>73817.64939854524</v>
      </c>
      <c r="Z742">
        <v>4822.3506014547556</v>
      </c>
      <c r="AA742">
        <v>78640</v>
      </c>
      <c r="AB742" t="s">
        <v>242</v>
      </c>
      <c r="AC742">
        <v>5</v>
      </c>
      <c r="AD742">
        <v>13000</v>
      </c>
      <c r="AE742">
        <v>0</v>
      </c>
      <c r="AF742">
        <v>0</v>
      </c>
      <c r="AG742">
        <v>793.3503331246834</v>
      </c>
      <c r="AH742" t="s">
        <v>58</v>
      </c>
    </row>
    <row r="743" spans="1:34" x14ac:dyDescent="0.3">
      <c r="A743" t="s">
        <v>798</v>
      </c>
      <c r="B743">
        <v>4142301068</v>
      </c>
      <c r="C743">
        <v>10573514</v>
      </c>
      <c r="D743" t="s">
        <v>264</v>
      </c>
      <c r="E743" t="s">
        <v>445</v>
      </c>
      <c r="F743" t="s">
        <v>430</v>
      </c>
      <c r="G743" t="s">
        <v>237</v>
      </c>
      <c r="H743" t="s">
        <v>234</v>
      </c>
      <c r="J743" t="s">
        <v>425</v>
      </c>
      <c r="K743" s="15">
        <v>110000</v>
      </c>
      <c r="L743" s="15">
        <v>73</v>
      </c>
      <c r="M743" s="13">
        <v>45126</v>
      </c>
      <c r="O743">
        <v>73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226043.53271028039</v>
      </c>
      <c r="Y743">
        <v>226116.53271028039</v>
      </c>
      <c r="Z743">
        <v>15823.047289719629</v>
      </c>
      <c r="AA743">
        <v>241939.58000000002</v>
      </c>
      <c r="AB743" t="s">
        <v>242</v>
      </c>
      <c r="AC743">
        <v>0</v>
      </c>
      <c r="AD743">
        <v>0</v>
      </c>
      <c r="AE743">
        <v>0</v>
      </c>
      <c r="AF743">
        <v>117700</v>
      </c>
      <c r="AG743">
        <v>7700</v>
      </c>
      <c r="AH743" t="s">
        <v>72</v>
      </c>
    </row>
    <row r="744" spans="1:34" x14ac:dyDescent="0.3">
      <c r="A744" t="s">
        <v>798</v>
      </c>
      <c r="B744">
        <v>4142300117</v>
      </c>
      <c r="C744" t="s">
        <v>477</v>
      </c>
      <c r="D744" t="s">
        <v>550</v>
      </c>
      <c r="E744" t="s">
        <v>445</v>
      </c>
      <c r="F744" t="s">
        <v>430</v>
      </c>
      <c r="G744" t="s">
        <v>230</v>
      </c>
      <c r="H744" t="s">
        <v>234</v>
      </c>
      <c r="J744" t="s">
        <v>416</v>
      </c>
      <c r="K744" s="15">
        <v>0.28012167252604003</v>
      </c>
      <c r="L744" s="15">
        <v>0</v>
      </c>
      <c r="M744" s="13">
        <v>45126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82242.990654205612</v>
      </c>
      <c r="Y744">
        <v>82242.990654205612</v>
      </c>
      <c r="Z744">
        <v>5757.0093457943931</v>
      </c>
      <c r="AA744">
        <v>88000</v>
      </c>
      <c r="AB744" t="s">
        <v>242</v>
      </c>
      <c r="AC744">
        <v>0</v>
      </c>
      <c r="AD744">
        <v>0</v>
      </c>
      <c r="AE744">
        <v>0</v>
      </c>
      <c r="AF744">
        <v>0</v>
      </c>
      <c r="AG744">
        <v>0</v>
      </c>
      <c r="AH744" t="s">
        <v>72</v>
      </c>
    </row>
    <row r="745" spans="1:34" x14ac:dyDescent="0.3">
      <c r="A745" t="s">
        <v>798</v>
      </c>
      <c r="B745">
        <v>42201270</v>
      </c>
      <c r="C745">
        <v>2756004762</v>
      </c>
      <c r="D745" s="38" t="s">
        <v>265</v>
      </c>
      <c r="E745" t="s">
        <v>439</v>
      </c>
      <c r="F745" t="s">
        <v>430</v>
      </c>
      <c r="G745" t="s">
        <v>237</v>
      </c>
      <c r="H745" t="s">
        <v>234</v>
      </c>
      <c r="J745" s="37" t="s">
        <v>425</v>
      </c>
      <c r="K745">
        <v>40000</v>
      </c>
      <c r="L745" s="15">
        <v>90</v>
      </c>
      <c r="M745" s="13">
        <v>45127</v>
      </c>
      <c r="O745">
        <v>90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468613.08411214955</v>
      </c>
      <c r="Y745">
        <v>468703.08411214955</v>
      </c>
      <c r="Z745">
        <v>32802.915887850475</v>
      </c>
      <c r="AA745">
        <v>501506</v>
      </c>
      <c r="AB745" t="s">
        <v>242</v>
      </c>
      <c r="AC745">
        <v>0</v>
      </c>
      <c r="AD745">
        <v>0</v>
      </c>
      <c r="AE745">
        <v>0</v>
      </c>
      <c r="AF745">
        <v>42800</v>
      </c>
      <c r="AG745">
        <v>2800</v>
      </c>
      <c r="AH745" t="s">
        <v>72</v>
      </c>
    </row>
    <row r="746" spans="1:34" x14ac:dyDescent="0.3">
      <c r="A746" t="s">
        <v>798</v>
      </c>
      <c r="B746">
        <v>4142300129</v>
      </c>
      <c r="C746">
        <v>10018900</v>
      </c>
      <c r="D746" s="38" t="s">
        <v>266</v>
      </c>
      <c r="E746" t="s">
        <v>445</v>
      </c>
      <c r="F746" t="s">
        <v>430</v>
      </c>
      <c r="G746" t="s">
        <v>230</v>
      </c>
      <c r="H746" t="s">
        <v>234</v>
      </c>
      <c r="J746" s="37" t="s">
        <v>52</v>
      </c>
      <c r="K746">
        <v>3000</v>
      </c>
      <c r="L746" s="15">
        <v>0</v>
      </c>
      <c r="M746" s="13">
        <v>45127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47647.663551401871</v>
      </c>
      <c r="Y746">
        <v>47647.663551401871</v>
      </c>
      <c r="Z746">
        <v>3335.3364485981315</v>
      </c>
      <c r="AA746">
        <v>50983</v>
      </c>
      <c r="AB746" t="s">
        <v>242</v>
      </c>
      <c r="AC746">
        <v>1</v>
      </c>
      <c r="AD746">
        <v>3000</v>
      </c>
      <c r="AE746">
        <v>0</v>
      </c>
      <c r="AF746">
        <v>0</v>
      </c>
      <c r="AG746">
        <v>196.2616822429909</v>
      </c>
      <c r="AH746" t="s">
        <v>72</v>
      </c>
    </row>
    <row r="747" spans="1:34" x14ac:dyDescent="0.3">
      <c r="A747" t="s">
        <v>798</v>
      </c>
      <c r="B747">
        <v>42201151</v>
      </c>
      <c r="C747">
        <v>2759024152</v>
      </c>
      <c r="D747" t="s">
        <v>830</v>
      </c>
      <c r="E747" t="s">
        <v>439</v>
      </c>
      <c r="F747" t="s">
        <v>430</v>
      </c>
      <c r="G747" t="s">
        <v>230</v>
      </c>
      <c r="H747" t="s">
        <v>234</v>
      </c>
      <c r="J747" t="s">
        <v>52</v>
      </c>
      <c r="K747" s="15">
        <v>500</v>
      </c>
      <c r="L747" s="15">
        <v>0</v>
      </c>
      <c r="M747" s="13">
        <v>45127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319287.41121495329</v>
      </c>
      <c r="Y747">
        <v>319287.41121495329</v>
      </c>
      <c r="Z747">
        <v>22350.118785046732</v>
      </c>
      <c r="AA747">
        <v>341637.53</v>
      </c>
      <c r="AB747" t="s">
        <v>242</v>
      </c>
      <c r="AC747">
        <v>6</v>
      </c>
      <c r="AD747">
        <v>8500</v>
      </c>
      <c r="AE747">
        <v>0</v>
      </c>
      <c r="AF747">
        <v>0</v>
      </c>
      <c r="AG747">
        <v>556.0747663551407</v>
      </c>
      <c r="AH747" t="s">
        <v>58</v>
      </c>
    </row>
    <row r="748" spans="1:34" x14ac:dyDescent="0.3">
      <c r="A748" t="s">
        <v>798</v>
      </c>
      <c r="B748">
        <v>52201063</v>
      </c>
      <c r="C748">
        <v>23710909</v>
      </c>
      <c r="D748" t="s">
        <v>147</v>
      </c>
      <c r="E748" t="s">
        <v>438</v>
      </c>
      <c r="F748" t="s">
        <v>431</v>
      </c>
      <c r="G748" t="s">
        <v>82</v>
      </c>
      <c r="H748" t="s">
        <v>83</v>
      </c>
      <c r="J748" t="s">
        <v>52</v>
      </c>
      <c r="K748" s="15">
        <v>1000</v>
      </c>
      <c r="L748" s="15">
        <v>0</v>
      </c>
      <c r="M748" s="13">
        <v>45127</v>
      </c>
      <c r="O748">
        <v>0</v>
      </c>
      <c r="P748">
        <v>0</v>
      </c>
      <c r="Q748">
        <v>0</v>
      </c>
      <c r="R748">
        <v>868.70974162668824</v>
      </c>
      <c r="S748">
        <v>27206.430175402187</v>
      </c>
      <c r="T748">
        <v>0</v>
      </c>
      <c r="U748">
        <v>0</v>
      </c>
      <c r="V748">
        <v>49966.73843998649</v>
      </c>
      <c r="W748">
        <v>0</v>
      </c>
      <c r="X748">
        <v>0</v>
      </c>
      <c r="Y748">
        <v>78041.878357015361</v>
      </c>
      <c r="Z748">
        <v>5402.1218030772088</v>
      </c>
      <c r="AA748">
        <v>83444.000160092575</v>
      </c>
      <c r="AB748" t="s">
        <v>242</v>
      </c>
      <c r="AC748">
        <v>2</v>
      </c>
      <c r="AD748">
        <v>2000</v>
      </c>
      <c r="AE748">
        <v>0</v>
      </c>
      <c r="AF748">
        <v>0</v>
      </c>
      <c r="AG748">
        <v>129.38288029333478</v>
      </c>
      <c r="AH748" t="s">
        <v>58</v>
      </c>
    </row>
    <row r="749" spans="1:34" x14ac:dyDescent="0.3">
      <c r="A749" t="s">
        <v>798</v>
      </c>
      <c r="B749">
        <v>4132300901</v>
      </c>
      <c r="C749" t="s">
        <v>371</v>
      </c>
      <c r="D749" t="s">
        <v>410</v>
      </c>
      <c r="E749" t="s">
        <v>441</v>
      </c>
      <c r="F749" t="s">
        <v>430</v>
      </c>
      <c r="G749" t="s">
        <v>237</v>
      </c>
      <c r="H749" t="s">
        <v>231</v>
      </c>
      <c r="J749" t="s">
        <v>416</v>
      </c>
      <c r="K749" s="15">
        <v>0.19838856526831061</v>
      </c>
      <c r="L749" s="15">
        <v>0</v>
      </c>
      <c r="M749" s="13">
        <v>45127</v>
      </c>
      <c r="O749">
        <v>0</v>
      </c>
      <c r="P749">
        <v>10313.532719257915</v>
      </c>
      <c r="Q749">
        <v>0</v>
      </c>
      <c r="R749">
        <v>0</v>
      </c>
      <c r="S749">
        <v>4978.5011537189002</v>
      </c>
      <c r="T749">
        <v>23224.256520263898</v>
      </c>
      <c r="U749">
        <v>26970.104346112916</v>
      </c>
      <c r="V749">
        <v>0</v>
      </c>
      <c r="W749">
        <v>0</v>
      </c>
      <c r="X749">
        <v>0</v>
      </c>
      <c r="Y749">
        <v>65486.394739353629</v>
      </c>
      <c r="Z749">
        <v>3513.6052606463772</v>
      </c>
      <c r="AA749">
        <v>69000</v>
      </c>
      <c r="AB749" t="s">
        <v>242</v>
      </c>
      <c r="AC749">
        <v>0</v>
      </c>
      <c r="AD749">
        <v>0</v>
      </c>
      <c r="AE749">
        <v>0</v>
      </c>
      <c r="AF749">
        <v>0</v>
      </c>
      <c r="AG749">
        <v>0</v>
      </c>
      <c r="AH749" t="s">
        <v>72</v>
      </c>
    </row>
    <row r="750" spans="1:34" x14ac:dyDescent="0.3">
      <c r="A750" t="s">
        <v>798</v>
      </c>
      <c r="B750">
        <v>4132300901</v>
      </c>
      <c r="C750" t="s">
        <v>371</v>
      </c>
      <c r="D750" t="s">
        <v>410</v>
      </c>
      <c r="E750" t="s">
        <v>441</v>
      </c>
      <c r="F750" t="s">
        <v>430</v>
      </c>
      <c r="G750" t="s">
        <v>422</v>
      </c>
      <c r="H750" t="s">
        <v>231</v>
      </c>
      <c r="J750" t="s">
        <v>52</v>
      </c>
      <c r="K750" s="15">
        <v>69000</v>
      </c>
      <c r="L750" s="15">
        <v>0</v>
      </c>
      <c r="M750" s="13">
        <v>45127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">
        <v>242</v>
      </c>
      <c r="AC750">
        <v>1</v>
      </c>
      <c r="AD750">
        <v>69000</v>
      </c>
      <c r="AE750">
        <v>0</v>
      </c>
      <c r="AF750">
        <v>0</v>
      </c>
      <c r="AG750">
        <v>3513.6052606463782</v>
      </c>
      <c r="AH750" t="s">
        <v>58</v>
      </c>
    </row>
    <row r="751" spans="1:34" x14ac:dyDescent="0.3">
      <c r="A751" t="s">
        <v>798</v>
      </c>
      <c r="B751">
        <v>4142300117</v>
      </c>
      <c r="C751" t="s">
        <v>477</v>
      </c>
      <c r="D751" t="s">
        <v>550</v>
      </c>
      <c r="E751" t="s">
        <v>445</v>
      </c>
      <c r="F751" t="s">
        <v>430</v>
      </c>
      <c r="G751" t="s">
        <v>230</v>
      </c>
      <c r="H751" t="s">
        <v>234</v>
      </c>
      <c r="J751" t="s">
        <v>52</v>
      </c>
      <c r="K751" s="15">
        <v>50000</v>
      </c>
      <c r="L751" s="15">
        <v>0</v>
      </c>
      <c r="M751" s="13">
        <v>45127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35514.01869158879</v>
      </c>
      <c r="Y751">
        <v>35514.01869158879</v>
      </c>
      <c r="Z751">
        <v>2485.9813084112157</v>
      </c>
      <c r="AA751">
        <v>38000.000000000007</v>
      </c>
      <c r="AB751" t="s">
        <v>242</v>
      </c>
      <c r="AC751">
        <v>1</v>
      </c>
      <c r="AD751">
        <v>50000</v>
      </c>
      <c r="AE751">
        <v>0</v>
      </c>
      <c r="AF751">
        <v>0</v>
      </c>
      <c r="AG751">
        <v>3271.0280373831774</v>
      </c>
      <c r="AH751" t="s">
        <v>58</v>
      </c>
    </row>
    <row r="752" spans="1:34" x14ac:dyDescent="0.3">
      <c r="A752" t="s">
        <v>798</v>
      </c>
      <c r="B752">
        <v>52201188</v>
      </c>
      <c r="C752" t="s">
        <v>463</v>
      </c>
      <c r="D752" t="s">
        <v>531</v>
      </c>
      <c r="E752" t="s">
        <v>438</v>
      </c>
      <c r="F752" t="s">
        <v>431</v>
      </c>
      <c r="G752" t="s">
        <v>82</v>
      </c>
      <c r="H752" t="s">
        <v>83</v>
      </c>
      <c r="J752" t="s">
        <v>52</v>
      </c>
      <c r="K752" s="15">
        <v>1692</v>
      </c>
      <c r="L752" s="15">
        <v>0</v>
      </c>
      <c r="M752" s="13">
        <v>45128</v>
      </c>
      <c r="O752">
        <v>0</v>
      </c>
      <c r="P752">
        <v>0</v>
      </c>
      <c r="Q752">
        <v>0</v>
      </c>
      <c r="R752">
        <v>715.97849206922729</v>
      </c>
      <c r="S752">
        <v>27473.258745765237</v>
      </c>
      <c r="T752">
        <v>0</v>
      </c>
      <c r="U752">
        <v>0</v>
      </c>
      <c r="V752">
        <v>51829.564677665592</v>
      </c>
      <c r="W752">
        <v>0</v>
      </c>
      <c r="X752">
        <v>0</v>
      </c>
      <c r="Y752">
        <v>80018.801915500051</v>
      </c>
      <c r="Z752">
        <v>5551.1976396401587</v>
      </c>
      <c r="AA752">
        <v>85569.99955514021</v>
      </c>
      <c r="AB752" t="s">
        <v>242</v>
      </c>
      <c r="AC752">
        <v>4</v>
      </c>
      <c r="AD752">
        <v>8460</v>
      </c>
      <c r="AE752">
        <v>0</v>
      </c>
      <c r="AF752">
        <v>0</v>
      </c>
      <c r="AG752">
        <v>548.48457424751973</v>
      </c>
      <c r="AH752" t="s">
        <v>58</v>
      </c>
    </row>
    <row r="753" spans="1:34" x14ac:dyDescent="0.3">
      <c r="A753" t="s">
        <v>798</v>
      </c>
      <c r="B753">
        <v>12200153</v>
      </c>
      <c r="C753">
        <v>19444639</v>
      </c>
      <c r="D753" t="s">
        <v>114</v>
      </c>
      <c r="E753" t="s">
        <v>438</v>
      </c>
      <c r="F753" t="s">
        <v>427</v>
      </c>
      <c r="G753" t="s">
        <v>82</v>
      </c>
      <c r="H753" t="s">
        <v>82</v>
      </c>
      <c r="J753" t="s">
        <v>52</v>
      </c>
      <c r="K753" s="15">
        <v>5000</v>
      </c>
      <c r="L753" s="15">
        <v>0</v>
      </c>
      <c r="M753" s="13">
        <v>45129</v>
      </c>
      <c r="O753">
        <v>0</v>
      </c>
      <c r="P753">
        <v>0</v>
      </c>
      <c r="Q753">
        <v>0</v>
      </c>
      <c r="R753">
        <v>0</v>
      </c>
      <c r="S753">
        <v>41206.334853957611</v>
      </c>
      <c r="T753">
        <v>0</v>
      </c>
      <c r="U753">
        <v>0</v>
      </c>
      <c r="V753">
        <v>128346.39254936486</v>
      </c>
      <c r="W753">
        <v>0</v>
      </c>
      <c r="X753">
        <v>0</v>
      </c>
      <c r="Y753">
        <v>169552.72740332247</v>
      </c>
      <c r="Z753">
        <v>0</v>
      </c>
      <c r="AA753">
        <v>169552.72740332247</v>
      </c>
      <c r="AB753" t="s">
        <v>242</v>
      </c>
      <c r="AC753">
        <v>1</v>
      </c>
      <c r="AD753">
        <v>5000</v>
      </c>
      <c r="AE753">
        <v>0</v>
      </c>
      <c r="AF753">
        <v>0</v>
      </c>
      <c r="AG753">
        <v>0</v>
      </c>
      <c r="AH753" t="s">
        <v>72</v>
      </c>
    </row>
    <row r="754" spans="1:34" x14ac:dyDescent="0.3">
      <c r="A754" t="s">
        <v>798</v>
      </c>
      <c r="B754">
        <v>52200647</v>
      </c>
      <c r="C754">
        <v>29594859</v>
      </c>
      <c r="D754" t="s">
        <v>139</v>
      </c>
      <c r="E754" t="s">
        <v>438</v>
      </c>
      <c r="F754" t="s">
        <v>431</v>
      </c>
      <c r="G754" t="s">
        <v>82</v>
      </c>
      <c r="H754" t="s">
        <v>83</v>
      </c>
      <c r="J754" t="s">
        <v>52</v>
      </c>
      <c r="K754" s="15">
        <v>500</v>
      </c>
      <c r="L754" s="15">
        <v>0</v>
      </c>
      <c r="M754" s="13">
        <v>45129</v>
      </c>
      <c r="O754">
        <v>0</v>
      </c>
      <c r="P754">
        <v>0</v>
      </c>
      <c r="Q754">
        <v>0</v>
      </c>
      <c r="R754">
        <v>974.5824123767452</v>
      </c>
      <c r="S754">
        <v>39161.34438095631</v>
      </c>
      <c r="T754">
        <v>0</v>
      </c>
      <c r="U754">
        <v>0</v>
      </c>
      <c r="V754">
        <v>58470.824672897194</v>
      </c>
      <c r="W754">
        <v>0</v>
      </c>
      <c r="X754">
        <v>0</v>
      </c>
      <c r="Y754">
        <v>98606.751466230256</v>
      </c>
      <c r="Z754">
        <v>6834.2518337697456</v>
      </c>
      <c r="AA754">
        <v>105441.0033</v>
      </c>
      <c r="AB754" t="s">
        <v>242</v>
      </c>
      <c r="AC754">
        <v>4</v>
      </c>
      <c r="AD754">
        <v>6500</v>
      </c>
      <c r="AE754">
        <v>0</v>
      </c>
      <c r="AF754">
        <v>0</v>
      </c>
      <c r="AG754">
        <v>421.019410155488</v>
      </c>
      <c r="AH754" t="s">
        <v>58</v>
      </c>
    </row>
    <row r="755" spans="1:34" x14ac:dyDescent="0.3">
      <c r="A755" t="s">
        <v>798</v>
      </c>
      <c r="B755">
        <v>52200671</v>
      </c>
      <c r="C755">
        <v>27488939</v>
      </c>
      <c r="D755" t="s">
        <v>857</v>
      </c>
      <c r="E755" t="s">
        <v>438</v>
      </c>
      <c r="F755" t="s">
        <v>431</v>
      </c>
      <c r="G755" t="s">
        <v>82</v>
      </c>
      <c r="H755" t="s">
        <v>83</v>
      </c>
      <c r="J755" t="s">
        <v>52</v>
      </c>
      <c r="K755" s="15">
        <v>1500</v>
      </c>
      <c r="L755" s="15">
        <v>0</v>
      </c>
      <c r="M755" s="13">
        <v>45129</v>
      </c>
      <c r="O755">
        <v>0</v>
      </c>
      <c r="P755">
        <v>0</v>
      </c>
      <c r="Q755">
        <v>0</v>
      </c>
      <c r="R755">
        <v>906.04316812979437</v>
      </c>
      <c r="S755">
        <v>26851.533372750466</v>
      </c>
      <c r="T755">
        <v>0</v>
      </c>
      <c r="U755">
        <v>0</v>
      </c>
      <c r="V755">
        <v>53483.939690487481</v>
      </c>
      <c r="W755">
        <v>0</v>
      </c>
      <c r="X755">
        <v>0</v>
      </c>
      <c r="Y755">
        <v>81241.516231367743</v>
      </c>
      <c r="Z755">
        <v>5623.4831144266573</v>
      </c>
      <c r="AA755">
        <v>86864.999345794407</v>
      </c>
      <c r="AB755" t="s">
        <v>242</v>
      </c>
      <c r="AC755">
        <v>4</v>
      </c>
      <c r="AD755">
        <v>7500</v>
      </c>
      <c r="AE755">
        <v>0</v>
      </c>
      <c r="AF755">
        <v>0</v>
      </c>
      <c r="AG755">
        <v>485.1617025879309</v>
      </c>
      <c r="AH755" t="s">
        <v>58</v>
      </c>
    </row>
    <row r="756" spans="1:34" x14ac:dyDescent="0.3">
      <c r="A756" t="s">
        <v>798</v>
      </c>
      <c r="B756">
        <v>4142300314</v>
      </c>
      <c r="C756">
        <v>10138978</v>
      </c>
      <c r="D756" t="s">
        <v>916</v>
      </c>
      <c r="E756" t="s">
        <v>445</v>
      </c>
      <c r="F756" t="s">
        <v>430</v>
      </c>
      <c r="G756" t="s">
        <v>230</v>
      </c>
      <c r="H756" t="s">
        <v>234</v>
      </c>
      <c r="J756" t="s">
        <v>52</v>
      </c>
      <c r="K756" s="15">
        <v>50000</v>
      </c>
      <c r="L756" s="15">
        <v>0</v>
      </c>
      <c r="M756" s="13">
        <v>45129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156444.75739341951</v>
      </c>
      <c r="Y756">
        <v>156444.75739341951</v>
      </c>
      <c r="Z756">
        <v>10951.133017539367</v>
      </c>
      <c r="AA756">
        <v>167395.89041095888</v>
      </c>
      <c r="AB756" t="s">
        <v>242</v>
      </c>
      <c r="AC756">
        <v>1</v>
      </c>
      <c r="AD756">
        <v>50000</v>
      </c>
      <c r="AE756">
        <v>0</v>
      </c>
      <c r="AF756">
        <v>0</v>
      </c>
      <c r="AG756">
        <v>3271.0280373831774</v>
      </c>
      <c r="AH756" t="s">
        <v>72</v>
      </c>
    </row>
    <row r="757" spans="1:34" x14ac:dyDescent="0.3">
      <c r="A757" t="s">
        <v>798</v>
      </c>
      <c r="B757">
        <v>52200938</v>
      </c>
      <c r="C757">
        <v>26269572</v>
      </c>
      <c r="D757" t="s">
        <v>144</v>
      </c>
      <c r="E757" t="s">
        <v>438</v>
      </c>
      <c r="F757" t="s">
        <v>431</v>
      </c>
      <c r="G757" t="s">
        <v>82</v>
      </c>
      <c r="H757" t="s">
        <v>83</v>
      </c>
      <c r="J757" t="s">
        <v>52</v>
      </c>
      <c r="K757" s="15">
        <v>3000</v>
      </c>
      <c r="L757" s="15">
        <v>0</v>
      </c>
      <c r="M757" s="13">
        <v>45131</v>
      </c>
      <c r="O757">
        <v>0</v>
      </c>
      <c r="P757">
        <v>0</v>
      </c>
      <c r="Q757">
        <v>0</v>
      </c>
      <c r="R757">
        <v>1049.2162971877515</v>
      </c>
      <c r="S757">
        <v>22166.48774923581</v>
      </c>
      <c r="T757">
        <v>0</v>
      </c>
      <c r="U757">
        <v>0</v>
      </c>
      <c r="V757">
        <v>47963.216707056527</v>
      </c>
      <c r="W757">
        <v>0</v>
      </c>
      <c r="X757">
        <v>0</v>
      </c>
      <c r="Y757">
        <v>71178.920753480081</v>
      </c>
      <c r="Z757">
        <v>4909.0793119404643</v>
      </c>
      <c r="AA757">
        <v>76088.000065420551</v>
      </c>
      <c r="AB757" t="s">
        <v>242</v>
      </c>
      <c r="AC757">
        <v>3</v>
      </c>
      <c r="AD757">
        <v>6000</v>
      </c>
      <c r="AE757">
        <v>0</v>
      </c>
      <c r="AF757">
        <v>0</v>
      </c>
      <c r="AG757">
        <v>386.71508486275019</v>
      </c>
      <c r="AH757" t="s">
        <v>58</v>
      </c>
    </row>
    <row r="758" spans="1:34" x14ac:dyDescent="0.3">
      <c r="A758" t="s">
        <v>798</v>
      </c>
      <c r="B758">
        <v>4132300037</v>
      </c>
      <c r="C758">
        <v>1011233607</v>
      </c>
      <c r="D758" t="s">
        <v>171</v>
      </c>
      <c r="E758" t="s">
        <v>441</v>
      </c>
      <c r="F758" t="s">
        <v>430</v>
      </c>
      <c r="G758" t="s">
        <v>230</v>
      </c>
      <c r="H758" t="s">
        <v>231</v>
      </c>
      <c r="J758" t="s">
        <v>52</v>
      </c>
      <c r="K758" s="15">
        <v>2000</v>
      </c>
      <c r="L758" s="15">
        <v>0</v>
      </c>
      <c r="M758" s="13">
        <v>45131</v>
      </c>
      <c r="O758">
        <v>0</v>
      </c>
      <c r="P758">
        <v>4043.3851474734961</v>
      </c>
      <c r="Q758">
        <v>0</v>
      </c>
      <c r="R758">
        <v>0</v>
      </c>
      <c r="S758">
        <v>0</v>
      </c>
      <c r="T758">
        <v>36118.331637875242</v>
      </c>
      <c r="U758">
        <v>0</v>
      </c>
      <c r="V758">
        <v>0</v>
      </c>
      <c r="W758">
        <v>102803.73831775702</v>
      </c>
      <c r="X758">
        <v>0</v>
      </c>
      <c r="Y758">
        <v>142965.45510310575</v>
      </c>
      <c r="Z758">
        <v>9724.5448968942601</v>
      </c>
      <c r="AA758">
        <v>152690</v>
      </c>
      <c r="AB758" t="s">
        <v>242</v>
      </c>
      <c r="AC758">
        <v>1</v>
      </c>
      <c r="AD758">
        <v>2000</v>
      </c>
      <c r="AE758">
        <v>0</v>
      </c>
      <c r="AF758">
        <v>0</v>
      </c>
      <c r="AG758">
        <v>127.13734609639687</v>
      </c>
      <c r="AH758" t="s">
        <v>72</v>
      </c>
    </row>
    <row r="759" spans="1:34" x14ac:dyDescent="0.3">
      <c r="A759" t="s">
        <v>798</v>
      </c>
      <c r="B759">
        <v>4142300104</v>
      </c>
      <c r="C759" t="s">
        <v>473</v>
      </c>
      <c r="D759" t="s">
        <v>546</v>
      </c>
      <c r="E759" t="s">
        <v>444</v>
      </c>
      <c r="F759" t="s">
        <v>430</v>
      </c>
      <c r="G759" t="s">
        <v>230</v>
      </c>
      <c r="H759" t="s">
        <v>231</v>
      </c>
      <c r="J759" t="s">
        <v>416</v>
      </c>
      <c r="K759" s="15">
        <v>0.18522027475130265</v>
      </c>
      <c r="L759" s="15">
        <v>0</v>
      </c>
      <c r="M759" s="13">
        <v>45131</v>
      </c>
      <c r="O759">
        <v>0</v>
      </c>
      <c r="P759">
        <v>4267.6640978656205</v>
      </c>
      <c r="Q759">
        <v>0</v>
      </c>
      <c r="R759">
        <v>0</v>
      </c>
      <c r="S759">
        <v>0</v>
      </c>
      <c r="T759">
        <v>13563.559410389584</v>
      </c>
      <c r="U759">
        <v>9137.7165448452051</v>
      </c>
      <c r="V759">
        <v>0</v>
      </c>
      <c r="W759">
        <v>53684.084700965577</v>
      </c>
      <c r="X759">
        <v>0</v>
      </c>
      <c r="Y759">
        <v>80653.024754065991</v>
      </c>
      <c r="Z759">
        <v>5346.9752459340261</v>
      </c>
      <c r="AA759">
        <v>86000.000000000015</v>
      </c>
      <c r="AB759" t="s">
        <v>242</v>
      </c>
      <c r="AC759">
        <v>1</v>
      </c>
      <c r="AD759">
        <v>4000</v>
      </c>
      <c r="AE759">
        <v>0</v>
      </c>
      <c r="AF759">
        <v>0</v>
      </c>
      <c r="AG759">
        <v>247.80087140926025</v>
      </c>
      <c r="AH759" t="s">
        <v>58</v>
      </c>
    </row>
    <row r="760" spans="1:34" x14ac:dyDescent="0.3">
      <c r="A760" t="s">
        <v>798</v>
      </c>
      <c r="B760">
        <v>4142300115</v>
      </c>
      <c r="C760" t="s">
        <v>476</v>
      </c>
      <c r="D760" t="s">
        <v>549</v>
      </c>
      <c r="E760" t="s">
        <v>444</v>
      </c>
      <c r="F760" t="s">
        <v>430</v>
      </c>
      <c r="G760" t="s">
        <v>230</v>
      </c>
      <c r="H760" t="s">
        <v>231</v>
      </c>
      <c r="J760" t="s">
        <v>416</v>
      </c>
      <c r="K760" s="15">
        <v>0.30304971953371773</v>
      </c>
      <c r="L760" s="15">
        <v>0</v>
      </c>
      <c r="M760" s="13">
        <v>45131</v>
      </c>
      <c r="O760">
        <v>0</v>
      </c>
      <c r="P760">
        <v>2090.8508413988466</v>
      </c>
      <c r="Q760">
        <v>0</v>
      </c>
      <c r="R760">
        <v>0</v>
      </c>
      <c r="S760">
        <v>0</v>
      </c>
      <c r="T760">
        <v>11724.397241488861</v>
      </c>
      <c r="U760">
        <v>27943.146758881783</v>
      </c>
      <c r="V760">
        <v>0</v>
      </c>
      <c r="W760">
        <v>248098.01596093888</v>
      </c>
      <c r="X760">
        <v>0</v>
      </c>
      <c r="Y760">
        <v>289856.41080270836</v>
      </c>
      <c r="Z760">
        <v>20143.589197291669</v>
      </c>
      <c r="AA760">
        <v>310000</v>
      </c>
      <c r="AB760" t="s">
        <v>242</v>
      </c>
      <c r="AC760">
        <v>0</v>
      </c>
      <c r="AD760">
        <v>0</v>
      </c>
      <c r="AE760">
        <v>0</v>
      </c>
      <c r="AF760">
        <v>0</v>
      </c>
      <c r="AG760">
        <v>0</v>
      </c>
      <c r="AH760" t="s">
        <v>72</v>
      </c>
    </row>
    <row r="761" spans="1:34" x14ac:dyDescent="0.3">
      <c r="A761" t="s">
        <v>798</v>
      </c>
      <c r="B761">
        <v>12200153</v>
      </c>
      <c r="C761">
        <v>19444639</v>
      </c>
      <c r="D761" t="s">
        <v>114</v>
      </c>
      <c r="E761" t="s">
        <v>438</v>
      </c>
      <c r="F761" t="s">
        <v>427</v>
      </c>
      <c r="G761" t="s">
        <v>82</v>
      </c>
      <c r="H761" t="s">
        <v>82</v>
      </c>
      <c r="J761" t="s">
        <v>52</v>
      </c>
      <c r="K761" s="15">
        <v>15000</v>
      </c>
      <c r="L761" s="15">
        <v>0</v>
      </c>
      <c r="M761" s="13">
        <v>45132</v>
      </c>
      <c r="O761">
        <v>0</v>
      </c>
      <c r="P761">
        <v>0</v>
      </c>
      <c r="Q761">
        <v>0</v>
      </c>
      <c r="R761">
        <v>0</v>
      </c>
      <c r="S761">
        <v>26206.334853957611</v>
      </c>
      <c r="T761">
        <v>0</v>
      </c>
      <c r="U761">
        <v>0</v>
      </c>
      <c r="V761">
        <v>128346.39254936486</v>
      </c>
      <c r="W761">
        <v>0</v>
      </c>
      <c r="X761">
        <v>0</v>
      </c>
      <c r="Y761">
        <v>154552.72740332247</v>
      </c>
      <c r="Z761">
        <v>0</v>
      </c>
      <c r="AA761">
        <v>154552.72740332247</v>
      </c>
      <c r="AB761" t="s">
        <v>242</v>
      </c>
      <c r="AC761">
        <v>2</v>
      </c>
      <c r="AD761">
        <v>20000</v>
      </c>
      <c r="AE761">
        <v>0</v>
      </c>
      <c r="AF761">
        <v>0</v>
      </c>
      <c r="AG761">
        <v>0</v>
      </c>
      <c r="AH761" t="s">
        <v>58</v>
      </c>
    </row>
    <row r="762" spans="1:34" x14ac:dyDescent="0.3">
      <c r="A762" t="s">
        <v>798</v>
      </c>
      <c r="B762">
        <v>42201151</v>
      </c>
      <c r="C762">
        <v>2759024152</v>
      </c>
      <c r="D762" t="s">
        <v>830</v>
      </c>
      <c r="E762" t="s">
        <v>439</v>
      </c>
      <c r="F762" t="s">
        <v>430</v>
      </c>
      <c r="G762" t="s">
        <v>230</v>
      </c>
      <c r="H762" t="s">
        <v>234</v>
      </c>
      <c r="J762" t="s">
        <v>52</v>
      </c>
      <c r="K762" s="15">
        <v>500</v>
      </c>
      <c r="L762" s="15">
        <v>0</v>
      </c>
      <c r="M762" s="13">
        <v>45132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318820.1214953271</v>
      </c>
      <c r="Y762">
        <v>318820.1214953271</v>
      </c>
      <c r="Z762">
        <v>22317.408504672898</v>
      </c>
      <c r="AA762">
        <v>341137.52999999997</v>
      </c>
      <c r="AB762" t="s">
        <v>242</v>
      </c>
      <c r="AC762">
        <v>7</v>
      </c>
      <c r="AD762">
        <v>9000</v>
      </c>
      <c r="AE762">
        <v>0</v>
      </c>
      <c r="AF762">
        <v>0</v>
      </c>
      <c r="AG762">
        <v>588.78504672897247</v>
      </c>
      <c r="AH762" t="s">
        <v>58</v>
      </c>
    </row>
    <row r="763" spans="1:34" x14ac:dyDescent="0.3">
      <c r="A763" t="s">
        <v>798</v>
      </c>
      <c r="B763">
        <v>4132300862</v>
      </c>
      <c r="C763" t="s">
        <v>351</v>
      </c>
      <c r="D763" t="s">
        <v>390</v>
      </c>
      <c r="E763" t="s">
        <v>441</v>
      </c>
      <c r="F763" t="s">
        <v>430</v>
      </c>
      <c r="G763" t="s">
        <v>238</v>
      </c>
      <c r="H763" t="s">
        <v>236</v>
      </c>
      <c r="J763" t="s">
        <v>52</v>
      </c>
      <c r="K763" s="15">
        <v>3000</v>
      </c>
      <c r="L763" s="15">
        <v>0</v>
      </c>
      <c r="M763" s="13">
        <v>45132</v>
      </c>
      <c r="O763">
        <v>0</v>
      </c>
      <c r="P763">
        <v>0</v>
      </c>
      <c r="Q763">
        <v>0</v>
      </c>
      <c r="R763">
        <v>0</v>
      </c>
      <c r="S763">
        <v>15230.607030880954</v>
      </c>
      <c r="T763">
        <v>0</v>
      </c>
      <c r="U763">
        <v>0</v>
      </c>
      <c r="V763">
        <v>42332.488628161445</v>
      </c>
      <c r="W763">
        <v>0</v>
      </c>
      <c r="X763">
        <v>0</v>
      </c>
      <c r="Y763">
        <v>57563.095659042403</v>
      </c>
      <c r="Z763">
        <v>2963.2742039713016</v>
      </c>
      <c r="AA763">
        <v>60526.369863013708</v>
      </c>
      <c r="AB763" t="s">
        <v>242</v>
      </c>
      <c r="AC763">
        <v>1</v>
      </c>
      <c r="AD763">
        <v>3000</v>
      </c>
      <c r="AE763">
        <v>0</v>
      </c>
      <c r="AF763">
        <v>0</v>
      </c>
      <c r="AG763">
        <v>144.20243154271748</v>
      </c>
      <c r="AH763" t="s">
        <v>72</v>
      </c>
    </row>
    <row r="764" spans="1:34" x14ac:dyDescent="0.3">
      <c r="A764" t="s">
        <v>798</v>
      </c>
      <c r="B764">
        <v>2200001</v>
      </c>
      <c r="C764" t="s">
        <v>630</v>
      </c>
      <c r="D764" t="s">
        <v>407</v>
      </c>
      <c r="E764" t="s">
        <v>435</v>
      </c>
      <c r="F764" t="s">
        <v>675</v>
      </c>
      <c r="G764" t="s">
        <v>235</v>
      </c>
      <c r="H764" t="s">
        <v>235</v>
      </c>
      <c r="J764" t="s">
        <v>52</v>
      </c>
      <c r="K764" s="15">
        <v>3000</v>
      </c>
      <c r="M764" s="13">
        <v>45132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51246.990000000005</v>
      </c>
      <c r="W764">
        <v>0</v>
      </c>
      <c r="X764">
        <v>0</v>
      </c>
      <c r="Y764">
        <v>51246.990000000005</v>
      </c>
      <c r="Z764">
        <v>0</v>
      </c>
      <c r="AA764">
        <v>51246.990000000005</v>
      </c>
      <c r="AB764" t="s">
        <v>242</v>
      </c>
      <c r="AC764">
        <v>6</v>
      </c>
      <c r="AD764">
        <v>18000</v>
      </c>
      <c r="AE764">
        <v>0</v>
      </c>
      <c r="AF764">
        <v>0</v>
      </c>
      <c r="AG764">
        <v>0</v>
      </c>
      <c r="AH764" t="s">
        <v>58</v>
      </c>
    </row>
    <row r="765" spans="1:34" x14ac:dyDescent="0.3">
      <c r="A765" t="s">
        <v>798</v>
      </c>
      <c r="B765">
        <v>52200217</v>
      </c>
      <c r="C765">
        <v>27002024</v>
      </c>
      <c r="D765" t="s">
        <v>134</v>
      </c>
      <c r="E765" t="s">
        <v>436</v>
      </c>
      <c r="F765" t="s">
        <v>431</v>
      </c>
      <c r="G765" t="s">
        <v>82</v>
      </c>
      <c r="H765" t="s">
        <v>83</v>
      </c>
      <c r="J765" t="s">
        <v>52</v>
      </c>
      <c r="K765" s="15">
        <v>2000</v>
      </c>
      <c r="L765" s="15">
        <v>0</v>
      </c>
      <c r="M765" s="13">
        <v>45133</v>
      </c>
      <c r="O765">
        <v>0</v>
      </c>
      <c r="P765">
        <v>0</v>
      </c>
      <c r="Q765">
        <v>0</v>
      </c>
      <c r="R765">
        <v>853.90552453492489</v>
      </c>
      <c r="S765">
        <v>9359.9013789393211</v>
      </c>
      <c r="T765">
        <v>0</v>
      </c>
      <c r="U765">
        <v>0</v>
      </c>
      <c r="V765">
        <v>45794.392523364484</v>
      </c>
      <c r="W765">
        <v>0</v>
      </c>
      <c r="X765">
        <v>0</v>
      </c>
      <c r="Y765">
        <v>56008.199426838728</v>
      </c>
      <c r="Z765">
        <v>3860.8005731612666</v>
      </c>
      <c r="AA765">
        <v>59868.999999999993</v>
      </c>
      <c r="AB765" t="s">
        <v>242</v>
      </c>
      <c r="AC765">
        <v>2</v>
      </c>
      <c r="AD765">
        <v>12000</v>
      </c>
      <c r="AE765">
        <v>0</v>
      </c>
      <c r="AF765">
        <v>0</v>
      </c>
      <c r="AG765">
        <v>772.93774459574274</v>
      </c>
      <c r="AH765" t="s">
        <v>58</v>
      </c>
    </row>
    <row r="766" spans="1:34" x14ac:dyDescent="0.3">
      <c r="A766" t="s">
        <v>798</v>
      </c>
      <c r="B766">
        <v>52201323</v>
      </c>
      <c r="C766">
        <v>26835889</v>
      </c>
      <c r="D766" t="s">
        <v>877</v>
      </c>
      <c r="E766" t="s">
        <v>438</v>
      </c>
      <c r="F766" t="s">
        <v>431</v>
      </c>
      <c r="G766" t="s">
        <v>82</v>
      </c>
      <c r="H766" t="s">
        <v>83</v>
      </c>
      <c r="J766" t="s">
        <v>52</v>
      </c>
      <c r="K766" s="15">
        <v>500</v>
      </c>
      <c r="L766" s="15">
        <v>0</v>
      </c>
      <c r="M766" s="13">
        <v>45133</v>
      </c>
      <c r="O766">
        <v>0</v>
      </c>
      <c r="P766">
        <v>0</v>
      </c>
      <c r="Q766">
        <v>0</v>
      </c>
      <c r="R766">
        <v>925.93818257151474</v>
      </c>
      <c r="S766">
        <v>16176.017581908591</v>
      </c>
      <c r="T766">
        <v>0</v>
      </c>
      <c r="U766">
        <v>0</v>
      </c>
      <c r="V766">
        <v>48109.079118336827</v>
      </c>
      <c r="W766">
        <v>0</v>
      </c>
      <c r="X766">
        <v>0</v>
      </c>
      <c r="Y766">
        <v>65211.034882816937</v>
      </c>
      <c r="Z766">
        <v>4499.9567690171798</v>
      </c>
      <c r="AA766">
        <v>69710.99165183412</v>
      </c>
      <c r="AB766" t="s">
        <v>242</v>
      </c>
      <c r="AC766">
        <v>6</v>
      </c>
      <c r="AD766">
        <v>4500</v>
      </c>
      <c r="AE766">
        <v>0</v>
      </c>
      <c r="AF766">
        <v>0</v>
      </c>
      <c r="AG766">
        <v>290.20156334580003</v>
      </c>
      <c r="AH766" t="s">
        <v>58</v>
      </c>
    </row>
    <row r="767" spans="1:34" x14ac:dyDescent="0.3">
      <c r="A767" t="s">
        <v>798</v>
      </c>
      <c r="B767">
        <v>4132300713</v>
      </c>
      <c r="C767" t="s">
        <v>247</v>
      </c>
      <c r="D767" t="s">
        <v>318</v>
      </c>
      <c r="E767" t="s">
        <v>441</v>
      </c>
      <c r="F767" t="s">
        <v>430</v>
      </c>
      <c r="G767" t="s">
        <v>233</v>
      </c>
      <c r="H767" t="s">
        <v>231</v>
      </c>
      <c r="J767" t="s">
        <v>52</v>
      </c>
      <c r="K767" s="15">
        <v>2000</v>
      </c>
      <c r="L767" s="15">
        <v>0</v>
      </c>
      <c r="M767" s="13">
        <v>45133</v>
      </c>
      <c r="O767">
        <v>0</v>
      </c>
      <c r="P767">
        <v>100</v>
      </c>
      <c r="Q767">
        <v>0</v>
      </c>
      <c r="R767">
        <v>0</v>
      </c>
      <c r="S767">
        <v>7353.5616438356165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7453.5616438356165</v>
      </c>
      <c r="Z767">
        <v>0</v>
      </c>
      <c r="AA767">
        <v>7453.5616438356165</v>
      </c>
      <c r="AB767" t="s">
        <v>242</v>
      </c>
      <c r="AC767">
        <v>2</v>
      </c>
      <c r="AD767">
        <v>4000</v>
      </c>
      <c r="AE767">
        <v>0</v>
      </c>
      <c r="AF767">
        <v>0</v>
      </c>
      <c r="AG767">
        <v>0</v>
      </c>
      <c r="AH767" t="s">
        <v>58</v>
      </c>
    </row>
    <row r="768" spans="1:34" x14ac:dyDescent="0.3">
      <c r="A768" t="s">
        <v>798</v>
      </c>
      <c r="B768">
        <v>4142300737</v>
      </c>
      <c r="C768" t="s">
        <v>358</v>
      </c>
      <c r="D768" t="s">
        <v>397</v>
      </c>
      <c r="E768" t="s">
        <v>445</v>
      </c>
      <c r="F768" t="s">
        <v>430</v>
      </c>
      <c r="G768" t="s">
        <v>237</v>
      </c>
      <c r="H768" t="s">
        <v>234</v>
      </c>
      <c r="J768" t="s">
        <v>416</v>
      </c>
      <c r="K768" s="15">
        <v>0.31768358504965133</v>
      </c>
      <c r="L768" s="15">
        <v>0</v>
      </c>
      <c r="M768" s="13">
        <v>45133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67289.719626168226</v>
      </c>
      <c r="Y768">
        <v>67289.719626168226</v>
      </c>
      <c r="Z768">
        <v>4710.2803738317762</v>
      </c>
      <c r="AA768">
        <v>72000</v>
      </c>
      <c r="AB768" t="s">
        <v>242</v>
      </c>
      <c r="AC768">
        <v>0</v>
      </c>
      <c r="AD768">
        <v>0</v>
      </c>
      <c r="AE768">
        <v>0</v>
      </c>
      <c r="AF768">
        <v>0</v>
      </c>
      <c r="AG768">
        <v>0</v>
      </c>
      <c r="AH768" t="s">
        <v>72</v>
      </c>
    </row>
    <row r="769" spans="1:34" x14ac:dyDescent="0.3">
      <c r="A769" t="s">
        <v>798</v>
      </c>
      <c r="B769">
        <v>2200009</v>
      </c>
      <c r="C769">
        <v>19887094</v>
      </c>
      <c r="D769" t="s">
        <v>77</v>
      </c>
      <c r="E769" t="s">
        <v>435</v>
      </c>
      <c r="F769" t="s">
        <v>426</v>
      </c>
      <c r="G769" t="s">
        <v>82</v>
      </c>
      <c r="H769" t="s">
        <v>82</v>
      </c>
      <c r="J769" t="s">
        <v>52</v>
      </c>
      <c r="K769" s="15">
        <v>900</v>
      </c>
      <c r="L769" s="15">
        <v>0</v>
      </c>
      <c r="M769" s="13">
        <v>45134</v>
      </c>
      <c r="O769">
        <v>0</v>
      </c>
      <c r="P769">
        <v>0</v>
      </c>
      <c r="Q769">
        <v>0</v>
      </c>
      <c r="R769">
        <v>0</v>
      </c>
      <c r="S769">
        <v>16101.616180538298</v>
      </c>
      <c r="T769">
        <v>0</v>
      </c>
      <c r="U769">
        <v>0</v>
      </c>
      <c r="V769">
        <v>107102.9400910782</v>
      </c>
      <c r="W769">
        <v>0</v>
      </c>
      <c r="X769">
        <v>0</v>
      </c>
      <c r="Y769">
        <v>123204.5562716165</v>
      </c>
      <c r="Z769">
        <v>0</v>
      </c>
      <c r="AA769">
        <v>123204.5562716165</v>
      </c>
      <c r="AB769" t="s">
        <v>242</v>
      </c>
      <c r="AC769">
        <v>12</v>
      </c>
      <c r="AD769">
        <v>10800</v>
      </c>
      <c r="AE769">
        <v>0</v>
      </c>
      <c r="AF769">
        <v>0</v>
      </c>
      <c r="AG769">
        <v>0</v>
      </c>
      <c r="AH769" t="s">
        <v>58</v>
      </c>
    </row>
    <row r="770" spans="1:34" x14ac:dyDescent="0.3">
      <c r="A770" t="s">
        <v>798</v>
      </c>
      <c r="B770">
        <v>2200015</v>
      </c>
      <c r="C770">
        <v>20972229</v>
      </c>
      <c r="D770" t="s">
        <v>76</v>
      </c>
      <c r="E770" t="s">
        <v>435</v>
      </c>
      <c r="F770" t="s">
        <v>426</v>
      </c>
      <c r="G770" t="s">
        <v>82</v>
      </c>
      <c r="H770" t="s">
        <v>82</v>
      </c>
      <c r="J770" t="s">
        <v>52</v>
      </c>
      <c r="K770" s="15">
        <v>1000</v>
      </c>
      <c r="L770" s="15">
        <v>0</v>
      </c>
      <c r="M770" s="13">
        <v>45134</v>
      </c>
      <c r="O770">
        <v>0</v>
      </c>
      <c r="P770">
        <v>0</v>
      </c>
      <c r="Q770">
        <v>0</v>
      </c>
      <c r="R770">
        <v>0</v>
      </c>
      <c r="S770">
        <v>7809.5975322232734</v>
      </c>
      <c r="T770">
        <v>0</v>
      </c>
      <c r="U770">
        <v>0</v>
      </c>
      <c r="V770">
        <v>122323.98354815517</v>
      </c>
      <c r="W770">
        <v>0</v>
      </c>
      <c r="X770">
        <v>0</v>
      </c>
      <c r="Y770">
        <v>130133.58108037844</v>
      </c>
      <c r="Z770">
        <v>0</v>
      </c>
      <c r="AA770">
        <v>130133.58108037844</v>
      </c>
      <c r="AB770" t="s">
        <v>242</v>
      </c>
      <c r="AC770">
        <v>12</v>
      </c>
      <c r="AD770">
        <v>12000</v>
      </c>
      <c r="AE770">
        <v>0</v>
      </c>
      <c r="AF770">
        <v>0</v>
      </c>
      <c r="AG770">
        <v>0</v>
      </c>
      <c r="AH770" t="s">
        <v>58</v>
      </c>
    </row>
    <row r="771" spans="1:34" x14ac:dyDescent="0.3">
      <c r="A771" t="s">
        <v>798</v>
      </c>
      <c r="B771">
        <v>62200005</v>
      </c>
      <c r="C771">
        <v>19887124</v>
      </c>
      <c r="D771" t="s">
        <v>77</v>
      </c>
      <c r="E771" t="s">
        <v>435</v>
      </c>
      <c r="F771" t="s">
        <v>432</v>
      </c>
      <c r="G771" t="s">
        <v>82</v>
      </c>
      <c r="H771" t="s">
        <v>82</v>
      </c>
      <c r="J771" t="s">
        <v>52</v>
      </c>
      <c r="K771" s="15">
        <v>1800</v>
      </c>
      <c r="L771" s="15">
        <v>0</v>
      </c>
      <c r="M771" s="13">
        <v>45134</v>
      </c>
      <c r="O771">
        <v>0</v>
      </c>
      <c r="P771">
        <v>0</v>
      </c>
      <c r="Q771">
        <v>0</v>
      </c>
      <c r="R771">
        <v>0</v>
      </c>
      <c r="S771">
        <v>4825.6010580922848</v>
      </c>
      <c r="T771">
        <v>0</v>
      </c>
      <c r="U771">
        <v>0</v>
      </c>
      <c r="V771">
        <v>59598.02512483739</v>
      </c>
      <c r="W771">
        <v>0</v>
      </c>
      <c r="X771">
        <v>0</v>
      </c>
      <c r="Y771">
        <v>64423.626182929671</v>
      </c>
      <c r="Z771">
        <v>0</v>
      </c>
      <c r="AA771">
        <v>64423.626182929671</v>
      </c>
      <c r="AB771" t="s">
        <v>242</v>
      </c>
      <c r="AC771">
        <v>12</v>
      </c>
      <c r="AD771">
        <v>21600</v>
      </c>
      <c r="AE771">
        <v>0</v>
      </c>
      <c r="AF771">
        <v>0</v>
      </c>
      <c r="AG771">
        <v>0</v>
      </c>
      <c r="AH771" t="s">
        <v>58</v>
      </c>
    </row>
    <row r="772" spans="1:34" x14ac:dyDescent="0.3">
      <c r="A772" t="s">
        <v>798</v>
      </c>
      <c r="B772">
        <v>62200006</v>
      </c>
      <c r="C772">
        <v>19887213</v>
      </c>
      <c r="D772" t="s">
        <v>77</v>
      </c>
      <c r="E772" t="s">
        <v>435</v>
      </c>
      <c r="F772" t="s">
        <v>432</v>
      </c>
      <c r="G772" t="s">
        <v>82</v>
      </c>
      <c r="H772" t="s">
        <v>82</v>
      </c>
      <c r="J772" t="s">
        <v>52</v>
      </c>
      <c r="K772" s="15">
        <v>1800</v>
      </c>
      <c r="L772" s="15">
        <v>0</v>
      </c>
      <c r="M772" s="13">
        <v>45134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24495.406380183904</v>
      </c>
      <c r="W772">
        <v>0</v>
      </c>
      <c r="X772">
        <v>0</v>
      </c>
      <c r="Y772">
        <v>24495.406380183904</v>
      </c>
      <c r="Z772">
        <v>0</v>
      </c>
      <c r="AA772">
        <v>24495.406380183904</v>
      </c>
      <c r="AB772" t="s">
        <v>242</v>
      </c>
      <c r="AC772">
        <v>12</v>
      </c>
      <c r="AD772">
        <v>21600</v>
      </c>
      <c r="AE772">
        <v>0</v>
      </c>
      <c r="AF772">
        <v>0</v>
      </c>
      <c r="AG772">
        <v>0</v>
      </c>
      <c r="AH772" t="s">
        <v>58</v>
      </c>
    </row>
    <row r="773" spans="1:34" x14ac:dyDescent="0.3">
      <c r="A773" t="s">
        <v>798</v>
      </c>
      <c r="B773">
        <v>62200013</v>
      </c>
      <c r="C773">
        <v>20972385</v>
      </c>
      <c r="D773" t="s">
        <v>76</v>
      </c>
      <c r="E773" t="s">
        <v>435</v>
      </c>
      <c r="F773" t="s">
        <v>432</v>
      </c>
      <c r="G773" t="s">
        <v>82</v>
      </c>
      <c r="H773" t="s">
        <v>82</v>
      </c>
      <c r="J773" t="s">
        <v>52</v>
      </c>
      <c r="K773" s="15">
        <v>4000</v>
      </c>
      <c r="L773" s="15">
        <v>0</v>
      </c>
      <c r="M773" s="13">
        <v>45134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39665.191359418066</v>
      </c>
      <c r="W773">
        <v>0</v>
      </c>
      <c r="X773">
        <v>0</v>
      </c>
      <c r="Y773">
        <v>39665.191359418066</v>
      </c>
      <c r="Z773">
        <v>0</v>
      </c>
      <c r="AA773">
        <v>39665.191359418066</v>
      </c>
      <c r="AB773" t="s">
        <v>242</v>
      </c>
      <c r="AC773">
        <v>12</v>
      </c>
      <c r="AD773">
        <v>48000</v>
      </c>
      <c r="AE773">
        <v>0</v>
      </c>
      <c r="AF773">
        <v>0</v>
      </c>
      <c r="AG773">
        <v>0</v>
      </c>
      <c r="AH773" t="s">
        <v>58</v>
      </c>
    </row>
    <row r="774" spans="1:34" x14ac:dyDescent="0.3">
      <c r="A774" t="s">
        <v>798</v>
      </c>
      <c r="B774">
        <v>4142300008</v>
      </c>
      <c r="C774">
        <v>132635</v>
      </c>
      <c r="D774" t="s">
        <v>185</v>
      </c>
      <c r="E774" t="s">
        <v>444</v>
      </c>
      <c r="F774" t="s">
        <v>430</v>
      </c>
      <c r="G774" t="s">
        <v>237</v>
      </c>
      <c r="H774" t="s">
        <v>231</v>
      </c>
      <c r="J774" t="s">
        <v>52</v>
      </c>
      <c r="K774" s="15">
        <v>8000</v>
      </c>
      <c r="L774" s="15">
        <v>0</v>
      </c>
      <c r="M774" s="13">
        <v>45134</v>
      </c>
      <c r="O774">
        <v>0</v>
      </c>
      <c r="P774">
        <v>57493.305496086847</v>
      </c>
      <c r="Q774">
        <v>0</v>
      </c>
      <c r="R774">
        <v>0</v>
      </c>
      <c r="S774">
        <v>0</v>
      </c>
      <c r="T774">
        <v>37628.686452255286</v>
      </c>
      <c r="U774">
        <v>39953.271028037387</v>
      </c>
      <c r="V774">
        <v>0</v>
      </c>
      <c r="W774">
        <v>0</v>
      </c>
      <c r="X774">
        <v>0</v>
      </c>
      <c r="Y774">
        <v>135075.26297637951</v>
      </c>
      <c r="Z774">
        <v>5430.7370236204879</v>
      </c>
      <c r="AA774">
        <v>140506</v>
      </c>
      <c r="AB774" t="s">
        <v>242</v>
      </c>
      <c r="AC774">
        <v>1</v>
      </c>
      <c r="AD774">
        <v>8000</v>
      </c>
      <c r="AE774">
        <v>0</v>
      </c>
      <c r="AF774">
        <v>0</v>
      </c>
      <c r="AG774">
        <v>300.10409787484059</v>
      </c>
      <c r="AH774" t="s">
        <v>72</v>
      </c>
    </row>
    <row r="775" spans="1:34" x14ac:dyDescent="0.3">
      <c r="A775" t="s">
        <v>798</v>
      </c>
      <c r="B775">
        <v>4142300104</v>
      </c>
      <c r="C775" t="s">
        <v>473</v>
      </c>
      <c r="D775" t="s">
        <v>546</v>
      </c>
      <c r="E775" t="s">
        <v>444</v>
      </c>
      <c r="F775" t="s">
        <v>430</v>
      </c>
      <c r="G775" t="s">
        <v>421</v>
      </c>
      <c r="H775" t="s">
        <v>231</v>
      </c>
      <c r="J775" t="s">
        <v>52</v>
      </c>
      <c r="K775" s="15">
        <v>86000</v>
      </c>
      <c r="L775" s="15">
        <v>0</v>
      </c>
      <c r="M775" s="13">
        <v>45134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">
        <v>242</v>
      </c>
      <c r="AC775">
        <v>2</v>
      </c>
      <c r="AD775">
        <v>90000</v>
      </c>
      <c r="AE775">
        <v>0</v>
      </c>
      <c r="AF775">
        <v>0</v>
      </c>
      <c r="AG775">
        <v>5594.7761173432837</v>
      </c>
      <c r="AH775" t="s">
        <v>58</v>
      </c>
    </row>
    <row r="776" spans="1:34" x14ac:dyDescent="0.3">
      <c r="A776" t="s">
        <v>798</v>
      </c>
      <c r="B776">
        <v>4142300115</v>
      </c>
      <c r="C776" t="s">
        <v>476</v>
      </c>
      <c r="D776" t="s">
        <v>549</v>
      </c>
      <c r="E776" t="s">
        <v>444</v>
      </c>
      <c r="F776" t="s">
        <v>430</v>
      </c>
      <c r="G776" t="s">
        <v>421</v>
      </c>
      <c r="H776" t="s">
        <v>231</v>
      </c>
      <c r="J776" t="s">
        <v>52</v>
      </c>
      <c r="K776" s="15">
        <v>310000</v>
      </c>
      <c r="L776" s="15">
        <v>0</v>
      </c>
      <c r="M776" s="13">
        <v>45134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">
        <v>242</v>
      </c>
      <c r="AC776">
        <v>1</v>
      </c>
      <c r="AD776">
        <v>310000</v>
      </c>
      <c r="AE776">
        <v>0</v>
      </c>
      <c r="AF776">
        <v>0</v>
      </c>
      <c r="AG776">
        <v>20143.589197291643</v>
      </c>
      <c r="AH776" t="s">
        <v>58</v>
      </c>
    </row>
    <row r="777" spans="1:34" x14ac:dyDescent="0.3">
      <c r="A777" t="s">
        <v>798</v>
      </c>
      <c r="B777">
        <v>52201061</v>
      </c>
      <c r="C777">
        <v>28773198</v>
      </c>
      <c r="D777" t="s">
        <v>871</v>
      </c>
      <c r="E777" t="s">
        <v>438</v>
      </c>
      <c r="F777" t="s">
        <v>431</v>
      </c>
      <c r="G777" t="s">
        <v>82</v>
      </c>
      <c r="H777" t="s">
        <v>83</v>
      </c>
      <c r="J777" t="s">
        <v>52</v>
      </c>
      <c r="K777" s="15">
        <v>1000</v>
      </c>
      <c r="L777" s="15">
        <v>0</v>
      </c>
      <c r="M777" s="13">
        <v>45135</v>
      </c>
      <c r="O777">
        <v>0</v>
      </c>
      <c r="P777">
        <v>0</v>
      </c>
      <c r="Q777">
        <v>0</v>
      </c>
      <c r="R777">
        <v>849.22805502955373</v>
      </c>
      <c r="S777">
        <v>27696.026725387132</v>
      </c>
      <c r="T777">
        <v>0</v>
      </c>
      <c r="U777">
        <v>0</v>
      </c>
      <c r="V777">
        <v>42760.769466523408</v>
      </c>
      <c r="W777">
        <v>0</v>
      </c>
      <c r="X777">
        <v>0</v>
      </c>
      <c r="Y777">
        <v>71306.024246940098</v>
      </c>
      <c r="Z777">
        <v>4931.9757334337382</v>
      </c>
      <c r="AA777">
        <v>76237.999980373832</v>
      </c>
      <c r="AB777" t="s">
        <v>242</v>
      </c>
      <c r="AC777">
        <v>3</v>
      </c>
      <c r="AD777">
        <v>3500</v>
      </c>
      <c r="AE777">
        <v>0</v>
      </c>
      <c r="AF777">
        <v>0</v>
      </c>
      <c r="AG777">
        <v>226.23921855333538</v>
      </c>
      <c r="AH777" t="s">
        <v>58</v>
      </c>
    </row>
    <row r="778" spans="1:34" x14ac:dyDescent="0.3">
      <c r="A778" t="s">
        <v>798</v>
      </c>
      <c r="B778">
        <v>52201809</v>
      </c>
      <c r="C778">
        <v>28380987</v>
      </c>
      <c r="D778" t="s">
        <v>164</v>
      </c>
      <c r="E778" t="s">
        <v>438</v>
      </c>
      <c r="F778" t="s">
        <v>431</v>
      </c>
      <c r="G778" t="s">
        <v>82</v>
      </c>
      <c r="H778" t="s">
        <v>83</v>
      </c>
      <c r="J778" t="s">
        <v>52</v>
      </c>
      <c r="K778" s="15">
        <v>1000</v>
      </c>
      <c r="L778" s="15">
        <v>0</v>
      </c>
      <c r="M778" s="13">
        <v>45135</v>
      </c>
      <c r="O778">
        <v>0</v>
      </c>
      <c r="P778">
        <v>0</v>
      </c>
      <c r="Q778">
        <v>0</v>
      </c>
      <c r="R778">
        <v>976.50447975997383</v>
      </c>
      <c r="S778">
        <v>31730.993100420794</v>
      </c>
      <c r="T778">
        <v>0</v>
      </c>
      <c r="U778">
        <v>0</v>
      </c>
      <c r="V778">
        <v>51867.600635850336</v>
      </c>
      <c r="W778">
        <v>0</v>
      </c>
      <c r="X778">
        <v>0</v>
      </c>
      <c r="Y778">
        <v>84575.098216031096</v>
      </c>
      <c r="Z778">
        <v>5851.901561538979</v>
      </c>
      <c r="AA778">
        <v>90426.999777570076</v>
      </c>
      <c r="AB778" t="s">
        <v>242</v>
      </c>
      <c r="AC778">
        <v>8</v>
      </c>
      <c r="AD778">
        <v>5400</v>
      </c>
      <c r="AE778">
        <v>0</v>
      </c>
      <c r="AF778">
        <v>0</v>
      </c>
      <c r="AG778">
        <v>349.18253605906375</v>
      </c>
      <c r="AH778" t="s">
        <v>58</v>
      </c>
    </row>
    <row r="779" spans="1:34" x14ac:dyDescent="0.3">
      <c r="A779" t="s">
        <v>798</v>
      </c>
      <c r="B779">
        <v>52201958</v>
      </c>
      <c r="C779">
        <v>31404770</v>
      </c>
      <c r="D779" t="s">
        <v>889</v>
      </c>
      <c r="E779" t="s">
        <v>438</v>
      </c>
      <c r="F779" t="s">
        <v>431</v>
      </c>
      <c r="G779" t="s">
        <v>82</v>
      </c>
      <c r="H779" t="s">
        <v>83</v>
      </c>
      <c r="J779" t="s">
        <v>52</v>
      </c>
      <c r="K779" s="15">
        <v>500</v>
      </c>
      <c r="L779" s="15">
        <v>0</v>
      </c>
      <c r="M779" s="13">
        <v>45135</v>
      </c>
      <c r="O779">
        <v>0</v>
      </c>
      <c r="P779">
        <v>0</v>
      </c>
      <c r="Q779">
        <v>0</v>
      </c>
      <c r="R779">
        <v>836.58627061227367</v>
      </c>
      <c r="S779">
        <v>37891.975448025914</v>
      </c>
      <c r="T779">
        <v>0</v>
      </c>
      <c r="U779">
        <v>0</v>
      </c>
      <c r="V779">
        <v>56074.766355140193</v>
      </c>
      <c r="W779">
        <v>0</v>
      </c>
      <c r="X779">
        <v>0</v>
      </c>
      <c r="Y779">
        <v>94803.328073778379</v>
      </c>
      <c r="Z779">
        <v>6577.6719262216284</v>
      </c>
      <c r="AA779">
        <v>101381</v>
      </c>
      <c r="AB779" t="s">
        <v>242</v>
      </c>
      <c r="AC779">
        <v>1</v>
      </c>
      <c r="AD779">
        <v>500</v>
      </c>
      <c r="AE779">
        <v>0</v>
      </c>
      <c r="AF779">
        <v>0</v>
      </c>
      <c r="AG779">
        <v>32.421531722298255</v>
      </c>
      <c r="AH779" t="s">
        <v>72</v>
      </c>
    </row>
    <row r="780" spans="1:34" x14ac:dyDescent="0.3">
      <c r="A780" t="s">
        <v>798</v>
      </c>
      <c r="B780">
        <v>62200025</v>
      </c>
      <c r="C780">
        <v>9001302</v>
      </c>
      <c r="D780" t="s">
        <v>79</v>
      </c>
      <c r="E780" t="s">
        <v>435</v>
      </c>
      <c r="F780" t="s">
        <v>432</v>
      </c>
      <c r="G780" t="s">
        <v>82</v>
      </c>
      <c r="H780" t="s">
        <v>82</v>
      </c>
      <c r="J780" t="s">
        <v>52</v>
      </c>
      <c r="K780" s="15">
        <v>1000</v>
      </c>
      <c r="L780" s="15">
        <v>0</v>
      </c>
      <c r="M780" s="13">
        <v>45135</v>
      </c>
      <c r="O780">
        <v>0</v>
      </c>
      <c r="P780">
        <v>0</v>
      </c>
      <c r="Q780">
        <v>0</v>
      </c>
      <c r="R780">
        <v>0</v>
      </c>
      <c r="S780">
        <v>2185.2332638356165</v>
      </c>
      <c r="T780">
        <v>0</v>
      </c>
      <c r="U780">
        <v>0</v>
      </c>
      <c r="V780">
        <v>16839.61</v>
      </c>
      <c r="W780">
        <v>0</v>
      </c>
      <c r="X780">
        <v>0</v>
      </c>
      <c r="Y780">
        <v>19024.843263835617</v>
      </c>
      <c r="Z780">
        <v>0</v>
      </c>
      <c r="AA780">
        <v>19024.843263835617</v>
      </c>
      <c r="AB780" t="s">
        <v>242</v>
      </c>
      <c r="AC780">
        <v>11</v>
      </c>
      <c r="AD780">
        <v>11170</v>
      </c>
      <c r="AE780">
        <v>0</v>
      </c>
      <c r="AF780">
        <v>0</v>
      </c>
      <c r="AG780">
        <v>0</v>
      </c>
      <c r="AH780" t="s">
        <v>58</v>
      </c>
    </row>
    <row r="781" spans="1:34" x14ac:dyDescent="0.3">
      <c r="A781" t="s">
        <v>798</v>
      </c>
      <c r="B781">
        <v>62200104</v>
      </c>
      <c r="C781" t="s">
        <v>245</v>
      </c>
      <c r="D781" t="s">
        <v>316</v>
      </c>
      <c r="E781" t="s">
        <v>435</v>
      </c>
      <c r="F781" t="s">
        <v>432</v>
      </c>
      <c r="G781" t="s">
        <v>82</v>
      </c>
      <c r="H781" t="s">
        <v>82</v>
      </c>
      <c r="J781" t="s">
        <v>52</v>
      </c>
      <c r="K781" s="15">
        <v>3000</v>
      </c>
      <c r="L781" s="15">
        <v>0</v>
      </c>
      <c r="M781" s="13">
        <v>45135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11594.886678808063</v>
      </c>
      <c r="W781">
        <v>0</v>
      </c>
      <c r="X781">
        <v>0</v>
      </c>
      <c r="Y781">
        <v>11594.886678808063</v>
      </c>
      <c r="Z781">
        <v>0</v>
      </c>
      <c r="AA781">
        <v>11594.886678808063</v>
      </c>
      <c r="AB781" t="s">
        <v>242</v>
      </c>
      <c r="AC781">
        <v>12</v>
      </c>
      <c r="AD781">
        <v>26000</v>
      </c>
      <c r="AE781">
        <v>0</v>
      </c>
      <c r="AF781">
        <v>0</v>
      </c>
      <c r="AG781">
        <v>0</v>
      </c>
      <c r="AH781" t="s">
        <v>58</v>
      </c>
    </row>
    <row r="782" spans="1:34" x14ac:dyDescent="0.3">
      <c r="A782" t="s">
        <v>798</v>
      </c>
      <c r="B782">
        <v>52201112</v>
      </c>
      <c r="C782">
        <v>24922982</v>
      </c>
      <c r="D782" t="s">
        <v>872</v>
      </c>
      <c r="E782" t="s">
        <v>438</v>
      </c>
      <c r="F782" t="s">
        <v>431</v>
      </c>
      <c r="G782" t="s">
        <v>82</v>
      </c>
      <c r="H782" t="s">
        <v>83</v>
      </c>
      <c r="J782" t="s">
        <v>52</v>
      </c>
      <c r="K782" s="15">
        <v>1700</v>
      </c>
      <c r="L782" s="15">
        <v>0</v>
      </c>
      <c r="M782" s="13">
        <v>45136</v>
      </c>
      <c r="O782">
        <v>0</v>
      </c>
      <c r="P782">
        <v>0</v>
      </c>
      <c r="Q782">
        <v>0</v>
      </c>
      <c r="R782">
        <v>1110.4256854990317</v>
      </c>
      <c r="S782">
        <v>19543.335760813941</v>
      </c>
      <c r="T782">
        <v>0</v>
      </c>
      <c r="U782">
        <v>0</v>
      </c>
      <c r="V782">
        <v>47915.145292130452</v>
      </c>
      <c r="W782">
        <v>0</v>
      </c>
      <c r="X782">
        <v>0</v>
      </c>
      <c r="Y782">
        <v>68568.906738443417</v>
      </c>
      <c r="Z782">
        <v>4722.0936737061083</v>
      </c>
      <c r="AA782">
        <v>73291.000412149529</v>
      </c>
      <c r="AB782" t="s">
        <v>242</v>
      </c>
      <c r="AC782">
        <v>1</v>
      </c>
      <c r="AD782">
        <v>1700</v>
      </c>
      <c r="AE782">
        <v>0</v>
      </c>
      <c r="AF782">
        <v>0</v>
      </c>
      <c r="AG782">
        <v>109.41102615414229</v>
      </c>
      <c r="AH782" t="s">
        <v>72</v>
      </c>
    </row>
    <row r="783" spans="1:34" x14ac:dyDescent="0.3">
      <c r="A783" t="s">
        <v>798</v>
      </c>
      <c r="B783">
        <v>4142300116</v>
      </c>
      <c r="C783">
        <v>10205921</v>
      </c>
      <c r="D783" t="s">
        <v>189</v>
      </c>
      <c r="E783" t="s">
        <v>445</v>
      </c>
      <c r="F783" t="s">
        <v>430</v>
      </c>
      <c r="G783" t="s">
        <v>233</v>
      </c>
      <c r="H783" t="s">
        <v>234</v>
      </c>
      <c r="J783" t="s">
        <v>52</v>
      </c>
      <c r="K783" s="15">
        <v>50844.160000000003</v>
      </c>
      <c r="L783" s="15">
        <v>0</v>
      </c>
      <c r="M783" s="13">
        <v>45136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380143.26168224291</v>
      </c>
      <c r="Y783">
        <v>380143.26168224291</v>
      </c>
      <c r="Z783">
        <v>26610.028317757005</v>
      </c>
      <c r="AA783">
        <v>406753.28999999992</v>
      </c>
      <c r="AB783" t="s">
        <v>242</v>
      </c>
      <c r="AC783">
        <v>2</v>
      </c>
      <c r="AD783">
        <v>150844.16</v>
      </c>
      <c r="AE783">
        <v>0</v>
      </c>
      <c r="AF783">
        <v>0</v>
      </c>
      <c r="AG783">
        <v>9868.3095327102783</v>
      </c>
      <c r="AH783" t="s">
        <v>58</v>
      </c>
    </row>
    <row r="784" spans="1:34" x14ac:dyDescent="0.3">
      <c r="A784" t="s">
        <v>798</v>
      </c>
      <c r="B784">
        <v>42201150</v>
      </c>
      <c r="C784">
        <v>2758020463</v>
      </c>
      <c r="D784" t="s">
        <v>129</v>
      </c>
      <c r="E784" t="s">
        <v>439</v>
      </c>
      <c r="F784" t="s">
        <v>430</v>
      </c>
      <c r="G784" t="s">
        <v>230</v>
      </c>
      <c r="H784" t="s">
        <v>234</v>
      </c>
      <c r="J784" t="s">
        <v>52</v>
      </c>
      <c r="K784" s="15">
        <v>10000</v>
      </c>
      <c r="L784" s="15">
        <v>0</v>
      </c>
      <c r="M784" s="13">
        <v>45137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359664.83177570096</v>
      </c>
      <c r="Y784">
        <v>359664.83177570096</v>
      </c>
      <c r="Z784">
        <v>25176.538224299071</v>
      </c>
      <c r="AA784">
        <v>384841.37000000005</v>
      </c>
      <c r="AB784" t="s">
        <v>242</v>
      </c>
      <c r="AC784">
        <v>3</v>
      </c>
      <c r="AD784">
        <v>30000</v>
      </c>
      <c r="AE784">
        <v>0</v>
      </c>
      <c r="AF784">
        <v>0</v>
      </c>
      <c r="AG784">
        <v>1962.6168224299054</v>
      </c>
      <c r="AH784" t="s">
        <v>58</v>
      </c>
    </row>
    <row r="785" spans="1:34" x14ac:dyDescent="0.3">
      <c r="A785" t="s">
        <v>798</v>
      </c>
      <c r="B785">
        <v>52200759</v>
      </c>
      <c r="C785">
        <v>28121445</v>
      </c>
      <c r="D785" t="s">
        <v>861</v>
      </c>
      <c r="E785" t="s">
        <v>438</v>
      </c>
      <c r="F785" t="s">
        <v>431</v>
      </c>
      <c r="G785" t="s">
        <v>82</v>
      </c>
      <c r="H785" t="s">
        <v>83</v>
      </c>
      <c r="J785" t="s">
        <v>52</v>
      </c>
      <c r="K785" s="15">
        <v>1000</v>
      </c>
      <c r="L785" s="15">
        <v>0</v>
      </c>
      <c r="M785" s="13">
        <v>45137</v>
      </c>
      <c r="O785">
        <v>0</v>
      </c>
      <c r="P785">
        <v>0</v>
      </c>
      <c r="Q785">
        <v>0</v>
      </c>
      <c r="R785">
        <v>797.39095789207931</v>
      </c>
      <c r="S785">
        <v>8136.7011050214824</v>
      </c>
      <c r="T785">
        <v>0</v>
      </c>
      <c r="U785">
        <v>0</v>
      </c>
      <c r="V785">
        <v>39834.895745406931</v>
      </c>
      <c r="W785">
        <v>0</v>
      </c>
      <c r="X785">
        <v>0</v>
      </c>
      <c r="Y785">
        <v>48768.987808320497</v>
      </c>
      <c r="Z785">
        <v>3358.0117795299889</v>
      </c>
      <c r="AA785">
        <v>52126.999587850485</v>
      </c>
      <c r="AB785" t="s">
        <v>242</v>
      </c>
      <c r="AC785">
        <v>5</v>
      </c>
      <c r="AD785">
        <v>5700</v>
      </c>
      <c r="AE785">
        <v>0</v>
      </c>
      <c r="AF785">
        <v>0</v>
      </c>
      <c r="AG785">
        <v>366.77324023593053</v>
      </c>
      <c r="AH785" t="s">
        <v>58</v>
      </c>
    </row>
    <row r="786" spans="1:34" x14ac:dyDescent="0.3">
      <c r="A786" t="s">
        <v>798</v>
      </c>
      <c r="B786">
        <v>52201479</v>
      </c>
      <c r="C786">
        <v>26373941</v>
      </c>
      <c r="D786" t="s">
        <v>159</v>
      </c>
      <c r="E786" t="s">
        <v>438</v>
      </c>
      <c r="F786" t="s">
        <v>431</v>
      </c>
      <c r="G786" t="s">
        <v>82</v>
      </c>
      <c r="H786" t="s">
        <v>83</v>
      </c>
      <c r="J786" t="s">
        <v>52</v>
      </c>
      <c r="K786" s="15">
        <v>4700</v>
      </c>
      <c r="L786" s="15">
        <v>0</v>
      </c>
      <c r="M786" s="13">
        <v>45137</v>
      </c>
      <c r="O786">
        <v>0</v>
      </c>
      <c r="P786">
        <v>0</v>
      </c>
      <c r="Q786">
        <v>0</v>
      </c>
      <c r="R786">
        <v>622.7992439622501</v>
      </c>
      <c r="S786">
        <v>4.6172366307409902</v>
      </c>
      <c r="T786">
        <v>0</v>
      </c>
      <c r="U786">
        <v>0</v>
      </c>
      <c r="V786">
        <v>48696.505044756617</v>
      </c>
      <c r="W786">
        <v>0</v>
      </c>
      <c r="X786">
        <v>0</v>
      </c>
      <c r="Y786">
        <v>49323.921525349608</v>
      </c>
      <c r="Z786">
        <v>3409.0785596971155</v>
      </c>
      <c r="AA786">
        <v>52733.000085046726</v>
      </c>
      <c r="AB786" t="s">
        <v>242</v>
      </c>
      <c r="AC786">
        <v>5</v>
      </c>
      <c r="AD786">
        <v>20900</v>
      </c>
      <c r="AE786">
        <v>0</v>
      </c>
      <c r="AF786">
        <v>0</v>
      </c>
      <c r="AG786">
        <v>1349.7438757732311</v>
      </c>
      <c r="AH786" t="s">
        <v>58</v>
      </c>
    </row>
    <row r="787" spans="1:34" x14ac:dyDescent="0.3">
      <c r="A787" t="s">
        <v>798</v>
      </c>
      <c r="B787">
        <v>52201823</v>
      </c>
      <c r="C787">
        <v>26207055</v>
      </c>
      <c r="D787" t="s">
        <v>165</v>
      </c>
      <c r="E787" t="s">
        <v>438</v>
      </c>
      <c r="F787" t="s">
        <v>431</v>
      </c>
      <c r="G787" t="s">
        <v>82</v>
      </c>
      <c r="H787" t="s">
        <v>83</v>
      </c>
      <c r="J787" t="s">
        <v>52</v>
      </c>
      <c r="K787" s="15">
        <v>1000</v>
      </c>
      <c r="L787" s="15">
        <v>0</v>
      </c>
      <c r="M787" s="13">
        <v>45137</v>
      </c>
      <c r="O787">
        <v>0</v>
      </c>
      <c r="P787">
        <v>0</v>
      </c>
      <c r="Q787">
        <v>0</v>
      </c>
      <c r="R787">
        <v>883.57947139466455</v>
      </c>
      <c r="S787">
        <v>35649.254334166828</v>
      </c>
      <c r="T787">
        <v>0</v>
      </c>
      <c r="U787">
        <v>0</v>
      </c>
      <c r="V787">
        <v>82604.409809083882</v>
      </c>
      <c r="W787">
        <v>0</v>
      </c>
      <c r="X787">
        <v>0</v>
      </c>
      <c r="Y787">
        <v>119137.24361464538</v>
      </c>
      <c r="Z787">
        <v>8277.7564900275502</v>
      </c>
      <c r="AA787">
        <v>127415.00010467293</v>
      </c>
      <c r="AB787" t="s">
        <v>242</v>
      </c>
      <c r="AC787">
        <v>1</v>
      </c>
      <c r="AD787">
        <v>1000</v>
      </c>
      <c r="AE787">
        <v>0</v>
      </c>
      <c r="AF787">
        <v>0</v>
      </c>
      <c r="AG787">
        <v>64.9351056052584</v>
      </c>
      <c r="AH787" t="s">
        <v>72</v>
      </c>
    </row>
    <row r="788" spans="1:34" x14ac:dyDescent="0.3">
      <c r="A788" t="s">
        <v>798</v>
      </c>
      <c r="B788">
        <v>4302300030</v>
      </c>
      <c r="C788">
        <v>901014009060</v>
      </c>
      <c r="D788" t="s">
        <v>226</v>
      </c>
      <c r="E788" t="s">
        <v>447</v>
      </c>
      <c r="F788" t="s">
        <v>433</v>
      </c>
      <c r="G788" t="s">
        <v>82</v>
      </c>
      <c r="H788" t="s">
        <v>83</v>
      </c>
      <c r="J788" t="s">
        <v>52</v>
      </c>
      <c r="K788" s="15">
        <v>20000</v>
      </c>
      <c r="L788" s="15">
        <v>0</v>
      </c>
      <c r="M788" s="13">
        <v>45137</v>
      </c>
      <c r="O788">
        <v>0</v>
      </c>
      <c r="P788">
        <v>0</v>
      </c>
      <c r="Q788">
        <v>38697.114147031083</v>
      </c>
      <c r="R788">
        <v>24628.69</v>
      </c>
      <c r="S788">
        <v>91975.735376606433</v>
      </c>
      <c r="T788">
        <v>0</v>
      </c>
      <c r="U788">
        <v>0</v>
      </c>
      <c r="V788">
        <v>587264.66</v>
      </c>
      <c r="W788">
        <v>0</v>
      </c>
      <c r="X788">
        <v>0</v>
      </c>
      <c r="Y788">
        <v>742566.19952363754</v>
      </c>
      <c r="Z788">
        <v>47546.82767636246</v>
      </c>
      <c r="AA788">
        <v>790113.02720000001</v>
      </c>
      <c r="AB788" t="s">
        <v>242</v>
      </c>
      <c r="AC788">
        <v>3</v>
      </c>
      <c r="AD788">
        <v>47000</v>
      </c>
      <c r="AE788">
        <v>0</v>
      </c>
      <c r="AF788">
        <v>0</v>
      </c>
      <c r="AG788">
        <v>2811.869523637547</v>
      </c>
      <c r="AH788" t="s">
        <v>58</v>
      </c>
    </row>
    <row r="789" spans="1:34" x14ac:dyDescent="0.3">
      <c r="A789" t="s">
        <v>798</v>
      </c>
      <c r="B789">
        <v>4302300036</v>
      </c>
      <c r="C789">
        <v>901015004180</v>
      </c>
      <c r="D789" t="s">
        <v>226</v>
      </c>
      <c r="E789" t="s">
        <v>447</v>
      </c>
      <c r="F789" t="s">
        <v>433</v>
      </c>
      <c r="G789" t="s">
        <v>82</v>
      </c>
      <c r="H789" t="s">
        <v>83</v>
      </c>
      <c r="J789" t="s">
        <v>52</v>
      </c>
      <c r="K789" s="15">
        <v>20000</v>
      </c>
      <c r="L789" s="15">
        <v>0</v>
      </c>
      <c r="M789" s="13">
        <v>45137</v>
      </c>
      <c r="O789">
        <v>0</v>
      </c>
      <c r="P789">
        <v>0</v>
      </c>
      <c r="Q789">
        <v>72270.398907649811</v>
      </c>
      <c r="R789">
        <v>32364.02</v>
      </c>
      <c r="S789">
        <v>167558.37485266372</v>
      </c>
      <c r="T789">
        <v>0</v>
      </c>
      <c r="U789">
        <v>0</v>
      </c>
      <c r="V789">
        <v>1054424.3799999999</v>
      </c>
      <c r="W789">
        <v>0</v>
      </c>
      <c r="X789">
        <v>0</v>
      </c>
      <c r="Y789">
        <v>1326617.1737603135</v>
      </c>
      <c r="Z789">
        <v>85538.792839686474</v>
      </c>
      <c r="AA789">
        <v>1412155.9665999999</v>
      </c>
      <c r="AB789" t="s">
        <v>242</v>
      </c>
      <c r="AC789">
        <v>3</v>
      </c>
      <c r="AD789">
        <v>53000</v>
      </c>
      <c r="AE789">
        <v>0</v>
      </c>
      <c r="AF789">
        <v>0</v>
      </c>
      <c r="AG789">
        <v>3193.3737603135378</v>
      </c>
      <c r="AH789" t="s">
        <v>58</v>
      </c>
    </row>
    <row r="790" spans="1:34" x14ac:dyDescent="0.3">
      <c r="A790" t="s">
        <v>798</v>
      </c>
      <c r="B790">
        <v>4142300444</v>
      </c>
      <c r="C790" t="s">
        <v>491</v>
      </c>
      <c r="D790" t="s">
        <v>563</v>
      </c>
      <c r="E790" t="s">
        <v>445</v>
      </c>
      <c r="F790" t="s">
        <v>430</v>
      </c>
      <c r="G790" t="s">
        <v>230</v>
      </c>
      <c r="H790" t="s">
        <v>234</v>
      </c>
      <c r="J790" t="s">
        <v>52</v>
      </c>
      <c r="K790" s="15">
        <v>2000</v>
      </c>
      <c r="L790" s="15">
        <v>0</v>
      </c>
      <c r="M790" s="13">
        <v>45137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463265.42056074768</v>
      </c>
      <c r="Y790">
        <v>463265.42056074768</v>
      </c>
      <c r="Z790">
        <v>32428.579439252342</v>
      </c>
      <c r="AA790">
        <v>495694</v>
      </c>
      <c r="AB790" t="s">
        <v>242</v>
      </c>
      <c r="AC790">
        <v>1</v>
      </c>
      <c r="AD790">
        <v>2000</v>
      </c>
      <c r="AE790">
        <v>0</v>
      </c>
      <c r="AF790">
        <v>0</v>
      </c>
      <c r="AG790">
        <v>130.84112149532712</v>
      </c>
      <c r="AH790" t="s">
        <v>72</v>
      </c>
    </row>
    <row r="791" spans="1:34" x14ac:dyDescent="0.3">
      <c r="A791" t="s">
        <v>798</v>
      </c>
      <c r="B791">
        <v>12200042</v>
      </c>
      <c r="C791" t="s">
        <v>625</v>
      </c>
      <c r="D791" t="s">
        <v>624</v>
      </c>
      <c r="E791" t="s">
        <v>435</v>
      </c>
      <c r="F791" t="s">
        <v>427</v>
      </c>
      <c r="G791" t="s">
        <v>230</v>
      </c>
      <c r="H791" t="s">
        <v>230</v>
      </c>
      <c r="J791" t="s">
        <v>52</v>
      </c>
      <c r="K791" s="15">
        <v>2000</v>
      </c>
      <c r="M791" s="13">
        <v>45137</v>
      </c>
      <c r="O791">
        <v>0</v>
      </c>
      <c r="P791">
        <v>0</v>
      </c>
      <c r="Q791">
        <v>0</v>
      </c>
      <c r="R791">
        <v>0</v>
      </c>
      <c r="S791">
        <v>27173.699999999997</v>
      </c>
      <c r="T791">
        <v>0</v>
      </c>
      <c r="U791">
        <v>0</v>
      </c>
      <c r="V791">
        <v>80000</v>
      </c>
      <c r="W791">
        <v>0</v>
      </c>
      <c r="X791">
        <v>0</v>
      </c>
      <c r="Y791">
        <v>107173.7</v>
      </c>
      <c r="Z791">
        <v>0</v>
      </c>
      <c r="AA791">
        <v>107173.7</v>
      </c>
      <c r="AB791" t="s">
        <v>242</v>
      </c>
      <c r="AC791">
        <v>7</v>
      </c>
      <c r="AD791">
        <v>13600</v>
      </c>
      <c r="AE791">
        <v>0</v>
      </c>
      <c r="AF791">
        <v>0</v>
      </c>
      <c r="AG791">
        <v>0</v>
      </c>
      <c r="AH791" t="s">
        <v>58</v>
      </c>
    </row>
    <row r="792" spans="1:34" x14ac:dyDescent="0.3">
      <c r="A792" t="s">
        <v>798</v>
      </c>
      <c r="B792">
        <v>12200074</v>
      </c>
      <c r="C792">
        <v>24614224</v>
      </c>
      <c r="D792" t="s">
        <v>112</v>
      </c>
      <c r="E792" t="s">
        <v>436</v>
      </c>
      <c r="F792" t="s">
        <v>427</v>
      </c>
      <c r="G792" t="s">
        <v>82</v>
      </c>
      <c r="H792" t="s">
        <v>82</v>
      </c>
      <c r="J792" t="s">
        <v>52</v>
      </c>
      <c r="K792" s="15">
        <v>2000</v>
      </c>
      <c r="L792" s="15">
        <v>0</v>
      </c>
      <c r="M792" s="13">
        <v>45138</v>
      </c>
      <c r="O792">
        <v>0</v>
      </c>
      <c r="P792">
        <v>0</v>
      </c>
      <c r="Q792">
        <v>0</v>
      </c>
      <c r="R792">
        <v>0</v>
      </c>
      <c r="S792">
        <v>16580.236883253237</v>
      </c>
      <c r="T792">
        <v>0</v>
      </c>
      <c r="U792">
        <v>0</v>
      </c>
      <c r="V792">
        <v>97971.528938102099</v>
      </c>
      <c r="W792">
        <v>0</v>
      </c>
      <c r="X792">
        <v>0</v>
      </c>
      <c r="Y792">
        <v>114551.76582135534</v>
      </c>
      <c r="Z792">
        <v>0</v>
      </c>
      <c r="AA792">
        <v>114551.76582135534</v>
      </c>
      <c r="AB792" t="s">
        <v>242</v>
      </c>
      <c r="AC792">
        <v>2</v>
      </c>
      <c r="AD792">
        <v>4000</v>
      </c>
      <c r="AE792">
        <v>0</v>
      </c>
      <c r="AF792">
        <v>0</v>
      </c>
      <c r="AG792">
        <v>0</v>
      </c>
      <c r="AH792" t="s">
        <v>58</v>
      </c>
    </row>
    <row r="793" spans="1:34" x14ac:dyDescent="0.3">
      <c r="A793" t="s">
        <v>798</v>
      </c>
      <c r="B793">
        <v>22200068</v>
      </c>
      <c r="C793">
        <v>20579132</v>
      </c>
      <c r="D793" t="s">
        <v>80</v>
      </c>
      <c r="E793" t="s">
        <v>435</v>
      </c>
      <c r="F793" t="s">
        <v>428</v>
      </c>
      <c r="G793" t="s">
        <v>82</v>
      </c>
      <c r="H793" t="s">
        <v>82</v>
      </c>
      <c r="J793" t="s">
        <v>52</v>
      </c>
      <c r="K793" s="15">
        <v>500</v>
      </c>
      <c r="L793" s="15">
        <v>0</v>
      </c>
      <c r="M793" s="13">
        <v>45138</v>
      </c>
      <c r="O793">
        <v>0</v>
      </c>
      <c r="P793">
        <v>0</v>
      </c>
      <c r="Q793">
        <v>0</v>
      </c>
      <c r="R793">
        <v>0</v>
      </c>
      <c r="S793">
        <v>2557.3615921232877</v>
      </c>
      <c r="T793">
        <v>0</v>
      </c>
      <c r="U793">
        <v>0</v>
      </c>
      <c r="V793">
        <v>21133.91</v>
      </c>
      <c r="W793">
        <v>0</v>
      </c>
      <c r="X793">
        <v>0</v>
      </c>
      <c r="Y793">
        <v>23691.271592123288</v>
      </c>
      <c r="Z793">
        <v>0</v>
      </c>
      <c r="AA793">
        <v>23691.271592123288</v>
      </c>
      <c r="AB793" t="s">
        <v>242</v>
      </c>
      <c r="AC793">
        <v>9</v>
      </c>
      <c r="AD793">
        <v>6000</v>
      </c>
      <c r="AE793">
        <v>0</v>
      </c>
      <c r="AF793">
        <v>0</v>
      </c>
      <c r="AG793">
        <v>0</v>
      </c>
      <c r="AH793" t="s">
        <v>58</v>
      </c>
    </row>
    <row r="794" spans="1:34" x14ac:dyDescent="0.3">
      <c r="A794" t="s">
        <v>798</v>
      </c>
      <c r="B794">
        <v>42200856</v>
      </c>
      <c r="C794">
        <v>2757002330</v>
      </c>
      <c r="D794" t="s">
        <v>127</v>
      </c>
      <c r="E794" t="s">
        <v>439</v>
      </c>
      <c r="F794" t="s">
        <v>430</v>
      </c>
      <c r="G794" t="s">
        <v>233</v>
      </c>
      <c r="H794" t="s">
        <v>234</v>
      </c>
      <c r="J794" t="s">
        <v>52</v>
      </c>
      <c r="K794" s="15">
        <v>500</v>
      </c>
      <c r="L794" s="15">
        <v>0</v>
      </c>
      <c r="M794" s="13">
        <v>45138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36302.308411214952</v>
      </c>
      <c r="Y794">
        <v>36302.308411214952</v>
      </c>
      <c r="Z794">
        <v>2541.1615887850467</v>
      </c>
      <c r="AA794">
        <v>38843.47</v>
      </c>
      <c r="AB794" t="s">
        <v>242</v>
      </c>
      <c r="AC794">
        <v>3</v>
      </c>
      <c r="AD794">
        <v>1500</v>
      </c>
      <c r="AE794">
        <v>0</v>
      </c>
      <c r="AF794">
        <v>0</v>
      </c>
      <c r="AG794">
        <v>98.130841121495337</v>
      </c>
      <c r="AH794" t="s">
        <v>58</v>
      </c>
    </row>
    <row r="795" spans="1:34" x14ac:dyDescent="0.3">
      <c r="A795" t="s">
        <v>798</v>
      </c>
      <c r="B795">
        <v>42201112</v>
      </c>
      <c r="C795">
        <v>2756020075</v>
      </c>
      <c r="D795" t="s">
        <v>128</v>
      </c>
      <c r="E795" t="s">
        <v>439</v>
      </c>
      <c r="F795" t="s">
        <v>430</v>
      </c>
      <c r="G795" t="s">
        <v>233</v>
      </c>
      <c r="H795" t="s">
        <v>234</v>
      </c>
      <c r="J795" t="s">
        <v>52</v>
      </c>
      <c r="K795" s="15">
        <v>10000</v>
      </c>
      <c r="L795" s="15">
        <v>0</v>
      </c>
      <c r="M795" s="13">
        <v>45138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107514.40186915887</v>
      </c>
      <c r="Y795">
        <v>107514.40186915887</v>
      </c>
      <c r="Z795">
        <v>7526.0081308411218</v>
      </c>
      <c r="AA795">
        <v>115040.40999999999</v>
      </c>
      <c r="AB795" t="s">
        <v>242</v>
      </c>
      <c r="AC795">
        <v>2</v>
      </c>
      <c r="AD795">
        <v>12000</v>
      </c>
      <c r="AE795">
        <v>0</v>
      </c>
      <c r="AF795">
        <v>0</v>
      </c>
      <c r="AG795">
        <v>785.04672897196224</v>
      </c>
      <c r="AH795" t="s">
        <v>58</v>
      </c>
    </row>
    <row r="796" spans="1:34" x14ac:dyDescent="0.3">
      <c r="A796" t="s">
        <v>798</v>
      </c>
      <c r="B796">
        <v>42201436</v>
      </c>
      <c r="C796">
        <v>2759052776</v>
      </c>
      <c r="D796" t="s">
        <v>131</v>
      </c>
      <c r="E796" t="s">
        <v>439</v>
      </c>
      <c r="F796" t="s">
        <v>430</v>
      </c>
      <c r="G796" t="s">
        <v>230</v>
      </c>
      <c r="H796" t="s">
        <v>234</v>
      </c>
      <c r="J796" t="s">
        <v>52</v>
      </c>
      <c r="K796" s="15">
        <v>1300</v>
      </c>
      <c r="L796" s="15">
        <v>0</v>
      </c>
      <c r="M796" s="13">
        <v>45138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517151.44859813084</v>
      </c>
      <c r="Y796">
        <v>517151.44859813084</v>
      </c>
      <c r="Z796">
        <v>36200.601401869164</v>
      </c>
      <c r="AA796">
        <v>553352.05000000005</v>
      </c>
      <c r="AB796" t="s">
        <v>242</v>
      </c>
      <c r="AC796">
        <v>1</v>
      </c>
      <c r="AD796">
        <v>1300</v>
      </c>
      <c r="AE796">
        <v>0</v>
      </c>
      <c r="AF796">
        <v>0</v>
      </c>
      <c r="AG796">
        <v>85.046728971962693</v>
      </c>
      <c r="AH796" t="s">
        <v>72</v>
      </c>
    </row>
    <row r="797" spans="1:34" x14ac:dyDescent="0.3">
      <c r="A797" t="s">
        <v>798</v>
      </c>
      <c r="B797">
        <v>52200237</v>
      </c>
      <c r="C797">
        <v>24539384</v>
      </c>
      <c r="D797" t="s">
        <v>843</v>
      </c>
      <c r="E797" t="s">
        <v>436</v>
      </c>
      <c r="F797" t="s">
        <v>431</v>
      </c>
      <c r="G797" t="s">
        <v>82</v>
      </c>
      <c r="H797" t="s">
        <v>83</v>
      </c>
      <c r="J797" t="s">
        <v>52</v>
      </c>
      <c r="K797" s="15">
        <v>500</v>
      </c>
      <c r="L797" s="15">
        <v>0</v>
      </c>
      <c r="M797" s="13">
        <v>45138</v>
      </c>
      <c r="O797">
        <v>0</v>
      </c>
      <c r="P797">
        <v>0</v>
      </c>
      <c r="Q797">
        <v>0</v>
      </c>
      <c r="R797">
        <v>786.48722272886084</v>
      </c>
      <c r="S797">
        <v>20960.156333024825</v>
      </c>
      <c r="T797">
        <v>0</v>
      </c>
      <c r="U797">
        <v>0</v>
      </c>
      <c r="V797">
        <v>49618.82766267797</v>
      </c>
      <c r="W797">
        <v>0</v>
      </c>
      <c r="X797">
        <v>0</v>
      </c>
      <c r="Y797">
        <v>71365.47121843166</v>
      </c>
      <c r="Z797">
        <v>4940.5288796991954</v>
      </c>
      <c r="AA797">
        <v>76306.000098130855</v>
      </c>
      <c r="AB797" t="s">
        <v>242</v>
      </c>
      <c r="AC797">
        <v>1</v>
      </c>
      <c r="AD797">
        <v>500</v>
      </c>
      <c r="AE797">
        <v>0</v>
      </c>
      <c r="AF797">
        <v>0</v>
      </c>
      <c r="AG797">
        <v>32.349631393476898</v>
      </c>
      <c r="AH797" t="s">
        <v>72</v>
      </c>
    </row>
    <row r="798" spans="1:34" x14ac:dyDescent="0.3">
      <c r="A798" t="s">
        <v>798</v>
      </c>
      <c r="B798">
        <v>52200358</v>
      </c>
      <c r="C798">
        <v>26358634</v>
      </c>
      <c r="D798" t="s">
        <v>851</v>
      </c>
      <c r="E798" t="s">
        <v>436</v>
      </c>
      <c r="F798" t="s">
        <v>431</v>
      </c>
      <c r="G798" t="s">
        <v>82</v>
      </c>
      <c r="H798" t="s">
        <v>83</v>
      </c>
      <c r="J798" t="s">
        <v>52</v>
      </c>
      <c r="K798" s="15">
        <v>500</v>
      </c>
      <c r="L798" s="15">
        <v>0</v>
      </c>
      <c r="M798" s="13">
        <v>45138</v>
      </c>
      <c r="O798">
        <v>0</v>
      </c>
      <c r="P798">
        <v>0</v>
      </c>
      <c r="Q798">
        <v>0</v>
      </c>
      <c r="R798">
        <v>918.81296555355095</v>
      </c>
      <c r="S798">
        <v>21472.290457557603</v>
      </c>
      <c r="T798">
        <v>0</v>
      </c>
      <c r="U798">
        <v>0</v>
      </c>
      <c r="V798">
        <v>42723.211920691763</v>
      </c>
      <c r="W798">
        <v>0</v>
      </c>
      <c r="X798">
        <v>0</v>
      </c>
      <c r="Y798">
        <v>65114.315343802919</v>
      </c>
      <c r="Z798">
        <v>4493.6851664774558</v>
      </c>
      <c r="AA798">
        <v>69608.00051028037</v>
      </c>
      <c r="AB798" t="s">
        <v>242</v>
      </c>
      <c r="AC798">
        <v>3</v>
      </c>
      <c r="AD798">
        <v>1500</v>
      </c>
      <c r="AE798">
        <v>0</v>
      </c>
      <c r="AF798">
        <v>0</v>
      </c>
      <c r="AG798">
        <v>96.744773447428599</v>
      </c>
      <c r="AH798" t="s">
        <v>58</v>
      </c>
    </row>
    <row r="799" spans="1:34" x14ac:dyDescent="0.3">
      <c r="A799" t="s">
        <v>798</v>
      </c>
      <c r="B799">
        <v>52200376</v>
      </c>
      <c r="C799">
        <v>27488411</v>
      </c>
      <c r="D799" t="s">
        <v>852</v>
      </c>
      <c r="E799" t="s">
        <v>436</v>
      </c>
      <c r="F799" t="s">
        <v>431</v>
      </c>
      <c r="G799" t="s">
        <v>82</v>
      </c>
      <c r="H799" t="s">
        <v>83</v>
      </c>
      <c r="J799" t="s">
        <v>52</v>
      </c>
      <c r="K799" s="15">
        <v>1685</v>
      </c>
      <c r="L799" s="15">
        <v>0</v>
      </c>
      <c r="M799" s="13">
        <v>45138</v>
      </c>
      <c r="O799">
        <v>0</v>
      </c>
      <c r="P799">
        <v>0</v>
      </c>
      <c r="Q799">
        <v>0</v>
      </c>
      <c r="R799">
        <v>926.1717593957145</v>
      </c>
      <c r="S799">
        <v>31617.151638087675</v>
      </c>
      <c r="T799">
        <v>0</v>
      </c>
      <c r="U799">
        <v>0</v>
      </c>
      <c r="V799">
        <v>55487.360852476195</v>
      </c>
      <c r="W799">
        <v>0</v>
      </c>
      <c r="X799">
        <v>0</v>
      </c>
      <c r="Y799">
        <v>88030.68424995958</v>
      </c>
      <c r="Z799">
        <v>6097.3158743394715</v>
      </c>
      <c r="AA799">
        <v>94128.000124299055</v>
      </c>
      <c r="AB799" t="s">
        <v>242</v>
      </c>
      <c r="AC799">
        <v>4</v>
      </c>
      <c r="AD799">
        <v>6050</v>
      </c>
      <c r="AE799">
        <v>0</v>
      </c>
      <c r="AF799">
        <v>0</v>
      </c>
      <c r="AG799">
        <v>391.61871323149535</v>
      </c>
      <c r="AH799" t="s">
        <v>58</v>
      </c>
    </row>
    <row r="800" spans="1:34" x14ac:dyDescent="0.3">
      <c r="A800" t="s">
        <v>798</v>
      </c>
      <c r="B800">
        <v>52200412</v>
      </c>
      <c r="C800">
        <v>25145601</v>
      </c>
      <c r="D800" t="s">
        <v>86</v>
      </c>
      <c r="E800" t="s">
        <v>436</v>
      </c>
      <c r="F800" t="s">
        <v>431</v>
      </c>
      <c r="G800" t="s">
        <v>82</v>
      </c>
      <c r="H800" t="s">
        <v>83</v>
      </c>
      <c r="J800" t="s">
        <v>52</v>
      </c>
      <c r="K800" s="15">
        <v>1000</v>
      </c>
      <c r="L800" s="15">
        <v>0</v>
      </c>
      <c r="M800" s="13">
        <v>45138</v>
      </c>
      <c r="O800">
        <v>0</v>
      </c>
      <c r="P800">
        <v>0</v>
      </c>
      <c r="Q800">
        <v>0</v>
      </c>
      <c r="R800">
        <v>808.07739652588691</v>
      </c>
      <c r="S800">
        <v>25794.879369130318</v>
      </c>
      <c r="T800">
        <v>0</v>
      </c>
      <c r="U800">
        <v>0</v>
      </c>
      <c r="V800">
        <v>52616.263104201244</v>
      </c>
      <c r="W800">
        <v>0</v>
      </c>
      <c r="X800">
        <v>0</v>
      </c>
      <c r="Y800">
        <v>79219.21986985745</v>
      </c>
      <c r="Z800">
        <v>5488.7799731332098</v>
      </c>
      <c r="AA800">
        <v>84707.999842990655</v>
      </c>
      <c r="AB800" t="s">
        <v>242</v>
      </c>
      <c r="AC800">
        <v>9</v>
      </c>
      <c r="AD800">
        <v>8100</v>
      </c>
      <c r="AE800">
        <v>0</v>
      </c>
      <c r="AF800">
        <v>0</v>
      </c>
      <c r="AG800">
        <v>524.48169883814217</v>
      </c>
      <c r="AH800" t="s">
        <v>58</v>
      </c>
    </row>
    <row r="801" spans="1:34" x14ac:dyDescent="0.3">
      <c r="A801" t="s">
        <v>798</v>
      </c>
      <c r="B801">
        <v>52200548</v>
      </c>
      <c r="C801">
        <v>6001920035</v>
      </c>
      <c r="D801" t="s">
        <v>855</v>
      </c>
      <c r="E801" t="s">
        <v>437</v>
      </c>
      <c r="F801" t="s">
        <v>431</v>
      </c>
      <c r="G801" t="s">
        <v>82</v>
      </c>
      <c r="H801" t="s">
        <v>83</v>
      </c>
      <c r="J801" t="s">
        <v>52</v>
      </c>
      <c r="K801" s="15">
        <v>2000</v>
      </c>
      <c r="L801" s="15">
        <v>0</v>
      </c>
      <c r="M801" s="13">
        <v>45138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4439.065420560747</v>
      </c>
      <c r="W801">
        <v>0</v>
      </c>
      <c r="X801">
        <v>0</v>
      </c>
      <c r="Y801">
        <v>4439.065420560747</v>
      </c>
      <c r="Z801">
        <v>310.73457943925234</v>
      </c>
      <c r="AA801">
        <v>4749.7999999999993</v>
      </c>
      <c r="AB801" t="s">
        <v>242</v>
      </c>
      <c r="AC801">
        <v>3</v>
      </c>
      <c r="AD801">
        <v>4000</v>
      </c>
      <c r="AE801">
        <v>0</v>
      </c>
      <c r="AF801">
        <v>0</v>
      </c>
      <c r="AG801">
        <v>261.68224299065423</v>
      </c>
      <c r="AH801" t="s">
        <v>58</v>
      </c>
    </row>
    <row r="802" spans="1:34" x14ac:dyDescent="0.3">
      <c r="A802" t="s">
        <v>798</v>
      </c>
      <c r="B802">
        <v>52200733</v>
      </c>
      <c r="C802">
        <v>29713647</v>
      </c>
      <c r="D802" t="s">
        <v>140</v>
      </c>
      <c r="E802" t="s">
        <v>438</v>
      </c>
      <c r="F802" t="s">
        <v>431</v>
      </c>
      <c r="G802" t="s">
        <v>82</v>
      </c>
      <c r="H802" t="s">
        <v>83</v>
      </c>
      <c r="J802" t="s">
        <v>52</v>
      </c>
      <c r="K802" s="15">
        <v>1000</v>
      </c>
      <c r="L802" s="15">
        <v>0</v>
      </c>
      <c r="M802" s="13">
        <v>45138</v>
      </c>
      <c r="O802">
        <v>0</v>
      </c>
      <c r="P802">
        <v>0</v>
      </c>
      <c r="Q802">
        <v>0</v>
      </c>
      <c r="R802">
        <v>948.22118336949961</v>
      </c>
      <c r="S802">
        <v>10300.727866009818</v>
      </c>
      <c r="T802">
        <v>0</v>
      </c>
      <c r="U802">
        <v>0</v>
      </c>
      <c r="V802">
        <v>58878.504672897187</v>
      </c>
      <c r="W802">
        <v>0</v>
      </c>
      <c r="X802">
        <v>0</v>
      </c>
      <c r="Y802">
        <v>70127.453722276507</v>
      </c>
      <c r="Z802">
        <v>4842.5462777234907</v>
      </c>
      <c r="AA802">
        <v>74970</v>
      </c>
      <c r="AB802" t="s">
        <v>242</v>
      </c>
      <c r="AC802">
        <v>3</v>
      </c>
      <c r="AD802">
        <v>13900</v>
      </c>
      <c r="AE802">
        <v>0</v>
      </c>
      <c r="AF802">
        <v>0</v>
      </c>
      <c r="AG802">
        <v>896.93035779052752</v>
      </c>
      <c r="AH802" t="s">
        <v>58</v>
      </c>
    </row>
    <row r="803" spans="1:34" x14ac:dyDescent="0.3">
      <c r="A803" t="s">
        <v>798</v>
      </c>
      <c r="B803">
        <v>52200986</v>
      </c>
      <c r="C803">
        <v>16907372</v>
      </c>
      <c r="D803" t="s">
        <v>867</v>
      </c>
      <c r="E803" t="s">
        <v>438</v>
      </c>
      <c r="F803" t="s">
        <v>431</v>
      </c>
      <c r="G803" t="s">
        <v>82</v>
      </c>
      <c r="H803" t="s">
        <v>83</v>
      </c>
      <c r="J803" t="s">
        <v>52</v>
      </c>
      <c r="K803" s="15">
        <v>1000</v>
      </c>
      <c r="L803" s="15">
        <v>0</v>
      </c>
      <c r="M803" s="13">
        <v>45138</v>
      </c>
      <c r="O803">
        <v>0</v>
      </c>
      <c r="P803">
        <v>0</v>
      </c>
      <c r="Q803">
        <v>0</v>
      </c>
      <c r="R803">
        <v>829.95996059497725</v>
      </c>
      <c r="S803">
        <v>12701.98421812469</v>
      </c>
      <c r="T803">
        <v>0</v>
      </c>
      <c r="U803">
        <v>0</v>
      </c>
      <c r="V803">
        <v>36346.652188691092</v>
      </c>
      <c r="W803">
        <v>0</v>
      </c>
      <c r="X803">
        <v>0</v>
      </c>
      <c r="Y803">
        <v>49878.596367410762</v>
      </c>
      <c r="Z803">
        <v>3433.4045484771054</v>
      </c>
      <c r="AA803">
        <v>53312.000915887867</v>
      </c>
      <c r="AB803" t="s">
        <v>242</v>
      </c>
      <c r="AC803">
        <v>5</v>
      </c>
      <c r="AD803">
        <v>3658</v>
      </c>
      <c r="AE803">
        <v>0</v>
      </c>
      <c r="AF803">
        <v>0</v>
      </c>
      <c r="AG803">
        <v>235.31513760901731</v>
      </c>
      <c r="AH803" t="s">
        <v>58</v>
      </c>
    </row>
    <row r="804" spans="1:34" x14ac:dyDescent="0.3">
      <c r="A804" t="s">
        <v>798</v>
      </c>
      <c r="B804">
        <v>52201340</v>
      </c>
      <c r="C804">
        <v>28518241</v>
      </c>
      <c r="D804" t="s">
        <v>154</v>
      </c>
      <c r="E804" t="s">
        <v>438</v>
      </c>
      <c r="F804" t="s">
        <v>431</v>
      </c>
      <c r="G804" t="s">
        <v>82</v>
      </c>
      <c r="H804" t="s">
        <v>83</v>
      </c>
      <c r="J804" t="s">
        <v>52</v>
      </c>
      <c r="K804" s="15">
        <v>500</v>
      </c>
      <c r="L804" s="15">
        <v>0</v>
      </c>
      <c r="M804" s="13">
        <v>45138</v>
      </c>
      <c r="O804">
        <v>0</v>
      </c>
      <c r="P804">
        <v>0</v>
      </c>
      <c r="Q804">
        <v>0</v>
      </c>
      <c r="R804">
        <v>958.28599259101838</v>
      </c>
      <c r="S804">
        <v>18563.544524791705</v>
      </c>
      <c r="T804">
        <v>0</v>
      </c>
      <c r="U804">
        <v>0</v>
      </c>
      <c r="V804">
        <v>46100.673645528383</v>
      </c>
      <c r="W804">
        <v>0</v>
      </c>
      <c r="X804">
        <v>0</v>
      </c>
      <c r="Y804">
        <v>65622.504162911107</v>
      </c>
      <c r="Z804">
        <v>4526.4952719224066</v>
      </c>
      <c r="AA804">
        <v>70148.999434833517</v>
      </c>
      <c r="AB804" t="s">
        <v>242</v>
      </c>
      <c r="AC804">
        <v>2</v>
      </c>
      <c r="AD804">
        <v>5500</v>
      </c>
      <c r="AE804">
        <v>0</v>
      </c>
      <c r="AF804">
        <v>0</v>
      </c>
      <c r="AG804">
        <v>354.532728487263</v>
      </c>
      <c r="AH804" t="s">
        <v>58</v>
      </c>
    </row>
    <row r="805" spans="1:34" x14ac:dyDescent="0.3">
      <c r="A805" t="s">
        <v>798</v>
      </c>
      <c r="B805">
        <v>52201645</v>
      </c>
      <c r="C805">
        <v>26580827</v>
      </c>
      <c r="D805" t="s">
        <v>163</v>
      </c>
      <c r="E805" t="s">
        <v>438</v>
      </c>
      <c r="F805" t="s">
        <v>431</v>
      </c>
      <c r="G805" t="s">
        <v>82</v>
      </c>
      <c r="H805" t="s">
        <v>83</v>
      </c>
      <c r="J805" t="s">
        <v>52</v>
      </c>
      <c r="K805" s="15">
        <v>1000</v>
      </c>
      <c r="L805" s="15">
        <v>0</v>
      </c>
      <c r="M805" s="13">
        <v>45138</v>
      </c>
      <c r="O805">
        <v>0</v>
      </c>
      <c r="P805">
        <v>0</v>
      </c>
      <c r="Q805">
        <v>0</v>
      </c>
      <c r="R805">
        <v>770.83866396890767</v>
      </c>
      <c r="S805">
        <v>46601.391047132405</v>
      </c>
      <c r="T805">
        <v>0</v>
      </c>
      <c r="U805">
        <v>0</v>
      </c>
      <c r="V805">
        <v>88638.947347097012</v>
      </c>
      <c r="W805">
        <v>0</v>
      </c>
      <c r="X805">
        <v>0</v>
      </c>
      <c r="Y805">
        <v>136011.17705819831</v>
      </c>
      <c r="Z805">
        <v>9466.8236875960592</v>
      </c>
      <c r="AA805">
        <v>145478.00074579439</v>
      </c>
      <c r="AB805" t="s">
        <v>242</v>
      </c>
      <c r="AC805">
        <v>2</v>
      </c>
      <c r="AD805">
        <v>21000</v>
      </c>
      <c r="AE805">
        <v>0</v>
      </c>
      <c r="AF805">
        <v>0</v>
      </c>
      <c r="AG805">
        <v>1365.9707537175932</v>
      </c>
      <c r="AH805" t="s">
        <v>58</v>
      </c>
    </row>
    <row r="806" spans="1:34" x14ac:dyDescent="0.3">
      <c r="A806" t="s">
        <v>798</v>
      </c>
      <c r="B806">
        <v>52201809</v>
      </c>
      <c r="C806">
        <v>28380987</v>
      </c>
      <c r="D806" t="s">
        <v>164</v>
      </c>
      <c r="E806" t="s">
        <v>438</v>
      </c>
      <c r="F806" t="s">
        <v>431</v>
      </c>
      <c r="G806" t="s">
        <v>82</v>
      </c>
      <c r="H806" t="s">
        <v>83</v>
      </c>
      <c r="J806" t="s">
        <v>52</v>
      </c>
      <c r="K806" s="15">
        <v>400</v>
      </c>
      <c r="L806" s="15">
        <v>0</v>
      </c>
      <c r="M806" s="13">
        <v>45138</v>
      </c>
      <c r="O806">
        <v>0</v>
      </c>
      <c r="P806">
        <v>0</v>
      </c>
      <c r="Q806">
        <v>0</v>
      </c>
      <c r="R806">
        <v>971.88607788822821</v>
      </c>
      <c r="S806">
        <v>31361.477588151396</v>
      </c>
      <c r="T806">
        <v>0</v>
      </c>
      <c r="U806">
        <v>0</v>
      </c>
      <c r="V806">
        <v>51867.600635850336</v>
      </c>
      <c r="W806">
        <v>0</v>
      </c>
      <c r="X806">
        <v>0</v>
      </c>
      <c r="Y806">
        <v>84200.964301889966</v>
      </c>
      <c r="Z806">
        <v>5826.0354756801216</v>
      </c>
      <c r="AA806">
        <v>90026.99977757009</v>
      </c>
      <c r="AB806" t="s">
        <v>242</v>
      </c>
      <c r="AC806">
        <v>9</v>
      </c>
      <c r="AD806">
        <v>5800</v>
      </c>
      <c r="AE806">
        <v>0</v>
      </c>
      <c r="AF806">
        <v>0</v>
      </c>
      <c r="AG806">
        <v>375.04862191792154</v>
      </c>
      <c r="AH806" t="s">
        <v>58</v>
      </c>
    </row>
    <row r="807" spans="1:34" x14ac:dyDescent="0.3">
      <c r="A807" t="s">
        <v>798</v>
      </c>
      <c r="B807">
        <v>52201830</v>
      </c>
      <c r="C807" t="s">
        <v>94</v>
      </c>
      <c r="D807" t="s">
        <v>167</v>
      </c>
      <c r="E807" t="s">
        <v>438</v>
      </c>
      <c r="F807" t="s">
        <v>431</v>
      </c>
      <c r="G807" t="s">
        <v>82</v>
      </c>
      <c r="H807" t="s">
        <v>83</v>
      </c>
      <c r="J807" t="s">
        <v>52</v>
      </c>
      <c r="K807" s="15">
        <v>1750</v>
      </c>
      <c r="L807" s="15">
        <v>0</v>
      </c>
      <c r="M807" s="13">
        <v>45138</v>
      </c>
      <c r="O807">
        <v>0</v>
      </c>
      <c r="P807">
        <v>0</v>
      </c>
      <c r="Q807">
        <v>0</v>
      </c>
      <c r="R807">
        <v>897.39453021684153</v>
      </c>
      <c r="S807">
        <v>28336.779412182041</v>
      </c>
      <c r="T807">
        <v>0</v>
      </c>
      <c r="U807">
        <v>0</v>
      </c>
      <c r="V807">
        <v>53474.06748157987</v>
      </c>
      <c r="W807">
        <v>0</v>
      </c>
      <c r="X807">
        <v>0</v>
      </c>
      <c r="Y807">
        <v>82708.241423978761</v>
      </c>
      <c r="Z807">
        <v>5726.7592825633346</v>
      </c>
      <c r="AA807">
        <v>88435.000706542094</v>
      </c>
      <c r="AB807" t="s">
        <v>242</v>
      </c>
      <c r="AC807">
        <v>4</v>
      </c>
      <c r="AD807">
        <v>8500</v>
      </c>
      <c r="AE807">
        <v>0</v>
      </c>
      <c r="AF807">
        <v>0</v>
      </c>
      <c r="AG807">
        <v>550.01646459362496</v>
      </c>
      <c r="AH807" t="s">
        <v>58</v>
      </c>
    </row>
    <row r="808" spans="1:34" x14ac:dyDescent="0.3">
      <c r="A808" t="s">
        <v>798</v>
      </c>
      <c r="B808">
        <v>62200080</v>
      </c>
      <c r="C808">
        <v>22425262</v>
      </c>
      <c r="D808" t="s">
        <v>80</v>
      </c>
      <c r="E808" t="s">
        <v>435</v>
      </c>
      <c r="F808" t="s">
        <v>432</v>
      </c>
      <c r="G808" t="s">
        <v>82</v>
      </c>
      <c r="H808" t="s">
        <v>82</v>
      </c>
      <c r="J808" t="s">
        <v>52</v>
      </c>
      <c r="K808" s="15">
        <v>500</v>
      </c>
      <c r="L808" s="15">
        <v>0</v>
      </c>
      <c r="M808" s="13">
        <v>45138</v>
      </c>
      <c r="O808">
        <v>0</v>
      </c>
      <c r="P808">
        <v>0</v>
      </c>
      <c r="Q808">
        <v>0</v>
      </c>
      <c r="R808">
        <v>0</v>
      </c>
      <c r="S808">
        <v>10239.219178082192</v>
      </c>
      <c r="T808">
        <v>0</v>
      </c>
      <c r="U808">
        <v>0</v>
      </c>
      <c r="V808">
        <v>30000</v>
      </c>
      <c r="W808">
        <v>0</v>
      </c>
      <c r="X808">
        <v>0</v>
      </c>
      <c r="Y808">
        <v>40239.219178082189</v>
      </c>
      <c r="Z808">
        <v>0</v>
      </c>
      <c r="AA808">
        <v>40239.219178082189</v>
      </c>
      <c r="AB808" t="s">
        <v>242</v>
      </c>
      <c r="AC808">
        <v>7</v>
      </c>
      <c r="AD808">
        <v>3500</v>
      </c>
      <c r="AE808">
        <v>0</v>
      </c>
      <c r="AF808">
        <v>0</v>
      </c>
      <c r="AG808">
        <v>0</v>
      </c>
      <c r="AH808" t="s">
        <v>58</v>
      </c>
    </row>
    <row r="809" spans="1:34" x14ac:dyDescent="0.3">
      <c r="A809" t="s">
        <v>798</v>
      </c>
      <c r="B809">
        <v>4132300269</v>
      </c>
      <c r="C809">
        <v>1110085008</v>
      </c>
      <c r="D809" t="s">
        <v>903</v>
      </c>
      <c r="E809" t="s">
        <v>441</v>
      </c>
      <c r="F809" t="s">
        <v>430</v>
      </c>
      <c r="G809" t="s">
        <v>230</v>
      </c>
      <c r="H809" t="s">
        <v>231</v>
      </c>
      <c r="J809" t="s">
        <v>52</v>
      </c>
      <c r="K809" s="15">
        <v>50000</v>
      </c>
      <c r="L809" s="15">
        <v>0</v>
      </c>
      <c r="M809" s="13">
        <v>45138</v>
      </c>
      <c r="O809">
        <v>0</v>
      </c>
      <c r="P809">
        <v>14071.020521360026</v>
      </c>
      <c r="Q809">
        <v>0</v>
      </c>
      <c r="R809">
        <v>0</v>
      </c>
      <c r="S809">
        <v>16002.739726027397</v>
      </c>
      <c r="T809">
        <v>127279.4200734953</v>
      </c>
      <c r="U809">
        <v>0</v>
      </c>
      <c r="V809">
        <v>0</v>
      </c>
      <c r="W809">
        <v>532710.28037383175</v>
      </c>
      <c r="X809">
        <v>0</v>
      </c>
      <c r="Y809">
        <v>690063.46069471445</v>
      </c>
      <c r="Z809">
        <v>46199.279031312893</v>
      </c>
      <c r="AA809">
        <v>736262.73972602736</v>
      </c>
      <c r="AB809" t="s">
        <v>242</v>
      </c>
      <c r="AC809">
        <v>1</v>
      </c>
      <c r="AD809">
        <v>50000</v>
      </c>
      <c r="AE809">
        <v>0</v>
      </c>
      <c r="AF809">
        <v>0</v>
      </c>
      <c r="AG809">
        <v>3127.8237724254213</v>
      </c>
      <c r="AH809" t="s">
        <v>72</v>
      </c>
    </row>
    <row r="810" spans="1:34" x14ac:dyDescent="0.3">
      <c r="A810" t="s">
        <v>798</v>
      </c>
      <c r="B810">
        <v>4132300747</v>
      </c>
      <c r="C810">
        <v>3070019093</v>
      </c>
      <c r="D810" t="s">
        <v>906</v>
      </c>
      <c r="E810" t="s">
        <v>441</v>
      </c>
      <c r="F810" t="s">
        <v>430</v>
      </c>
      <c r="G810" t="s">
        <v>233</v>
      </c>
      <c r="H810" t="s">
        <v>231</v>
      </c>
      <c r="J810" t="s">
        <v>52</v>
      </c>
      <c r="K810" s="15">
        <v>2000</v>
      </c>
      <c r="L810" s="15">
        <v>0</v>
      </c>
      <c r="M810" s="13">
        <v>45138</v>
      </c>
      <c r="O810">
        <v>0</v>
      </c>
      <c r="P810">
        <v>3586.577110357237</v>
      </c>
      <c r="Q810">
        <v>0</v>
      </c>
      <c r="R810">
        <v>0</v>
      </c>
      <c r="S810">
        <v>56743.664383561641</v>
      </c>
      <c r="T810">
        <v>174778.89989686239</v>
      </c>
      <c r="U810">
        <v>0</v>
      </c>
      <c r="V810">
        <v>0</v>
      </c>
      <c r="W810">
        <v>0</v>
      </c>
      <c r="X810">
        <v>0</v>
      </c>
      <c r="Y810">
        <v>235109.14139078127</v>
      </c>
      <c r="Z810">
        <v>12234.522992780368</v>
      </c>
      <c r="AA810">
        <v>247343.66438356164</v>
      </c>
      <c r="AB810" t="s">
        <v>242</v>
      </c>
      <c r="AC810">
        <v>1</v>
      </c>
      <c r="AD810">
        <v>2000</v>
      </c>
      <c r="AE810">
        <v>0</v>
      </c>
      <c r="AF810">
        <v>0</v>
      </c>
      <c r="AG810">
        <v>97.252708154211859</v>
      </c>
      <c r="AH810" t="s">
        <v>72</v>
      </c>
    </row>
    <row r="811" spans="1:34" x14ac:dyDescent="0.3">
      <c r="A811" t="s">
        <v>798</v>
      </c>
      <c r="B811">
        <v>4142300160</v>
      </c>
      <c r="C811">
        <v>10044677</v>
      </c>
      <c r="D811" t="s">
        <v>190</v>
      </c>
      <c r="E811" t="s">
        <v>445</v>
      </c>
      <c r="F811" t="s">
        <v>430</v>
      </c>
      <c r="G811" t="s">
        <v>230</v>
      </c>
      <c r="H811" t="s">
        <v>234</v>
      </c>
      <c r="J811" t="s">
        <v>52</v>
      </c>
      <c r="K811" s="15">
        <v>4000</v>
      </c>
      <c r="L811" s="15">
        <v>0</v>
      </c>
      <c r="M811" s="13">
        <v>45138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73706.177570093467</v>
      </c>
      <c r="Y811">
        <v>73706.177570093467</v>
      </c>
      <c r="Z811">
        <v>5159.4324299065429</v>
      </c>
      <c r="AA811">
        <v>78865.610000000015</v>
      </c>
      <c r="AB811" t="s">
        <v>242</v>
      </c>
      <c r="AC811">
        <v>2</v>
      </c>
      <c r="AD811">
        <v>8000</v>
      </c>
      <c r="AE811">
        <v>0</v>
      </c>
      <c r="AF811">
        <v>0</v>
      </c>
      <c r="AG811">
        <v>523.36448598130846</v>
      </c>
      <c r="AH811" t="s">
        <v>58</v>
      </c>
    </row>
    <row r="812" spans="1:34" x14ac:dyDescent="0.3">
      <c r="A812" t="s">
        <v>798</v>
      </c>
      <c r="B812">
        <v>4142300300</v>
      </c>
      <c r="C812">
        <v>10131172</v>
      </c>
      <c r="D812" t="s">
        <v>196</v>
      </c>
      <c r="E812" t="s">
        <v>445</v>
      </c>
      <c r="F812" t="s">
        <v>430</v>
      </c>
      <c r="G812" t="s">
        <v>230</v>
      </c>
      <c r="H812" t="s">
        <v>234</v>
      </c>
      <c r="J812" t="s">
        <v>52</v>
      </c>
      <c r="K812" s="15">
        <v>10000</v>
      </c>
      <c r="L812" s="15">
        <v>0</v>
      </c>
      <c r="M812" s="13">
        <v>45138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671625.37383177585</v>
      </c>
      <c r="Y812">
        <v>671625.37383177585</v>
      </c>
      <c r="Z812">
        <v>47013.776168224314</v>
      </c>
      <c r="AA812">
        <v>718639.15000000014</v>
      </c>
      <c r="AB812" t="s">
        <v>242</v>
      </c>
      <c r="AC812">
        <v>4</v>
      </c>
      <c r="AD812">
        <v>90000</v>
      </c>
      <c r="AE812">
        <v>0</v>
      </c>
      <c r="AF812">
        <v>0</v>
      </c>
      <c r="AG812">
        <v>5887.8504672897197</v>
      </c>
      <c r="AH812" t="s">
        <v>58</v>
      </c>
    </row>
    <row r="813" spans="1:34" x14ac:dyDescent="0.3">
      <c r="A813" t="s">
        <v>798</v>
      </c>
      <c r="B813">
        <v>4142300416</v>
      </c>
      <c r="C813">
        <v>10179898</v>
      </c>
      <c r="D813" t="s">
        <v>198</v>
      </c>
      <c r="E813" t="s">
        <v>445</v>
      </c>
      <c r="F813" t="s">
        <v>430</v>
      </c>
      <c r="G813" t="s">
        <v>230</v>
      </c>
      <c r="H813" t="s">
        <v>234</v>
      </c>
      <c r="J813" t="s">
        <v>52</v>
      </c>
      <c r="K813" s="15">
        <v>2000</v>
      </c>
      <c r="L813" s="15">
        <v>0</v>
      </c>
      <c r="M813" s="13">
        <v>45138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343511.20560747664</v>
      </c>
      <c r="Y813">
        <v>343511.20560747664</v>
      </c>
      <c r="Z813">
        <v>24045.784392523368</v>
      </c>
      <c r="AA813">
        <v>367556.99</v>
      </c>
      <c r="AB813" t="s">
        <v>242</v>
      </c>
      <c r="AC813">
        <v>2</v>
      </c>
      <c r="AD813">
        <v>9200</v>
      </c>
      <c r="AE813">
        <v>0</v>
      </c>
      <c r="AF813">
        <v>0</v>
      </c>
      <c r="AG813">
        <v>601.86915887850455</v>
      </c>
      <c r="AH813" t="s">
        <v>58</v>
      </c>
    </row>
    <row r="814" spans="1:34" x14ac:dyDescent="0.3">
      <c r="A814" t="s">
        <v>798</v>
      </c>
      <c r="B814">
        <v>4142300720</v>
      </c>
      <c r="C814">
        <v>10326408</v>
      </c>
      <c r="D814" t="s">
        <v>205</v>
      </c>
      <c r="E814" t="s">
        <v>445</v>
      </c>
      <c r="F814" t="s">
        <v>430</v>
      </c>
      <c r="G814" t="s">
        <v>230</v>
      </c>
      <c r="H814" t="s">
        <v>234</v>
      </c>
      <c r="J814" t="s">
        <v>52</v>
      </c>
      <c r="K814" s="15">
        <v>5000</v>
      </c>
      <c r="L814" s="15">
        <v>0</v>
      </c>
      <c r="M814" s="13">
        <v>45138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525058.50467289716</v>
      </c>
      <c r="Y814">
        <v>525058.50467289716</v>
      </c>
      <c r="Z814">
        <v>36754.095327102805</v>
      </c>
      <c r="AA814">
        <v>561812.6</v>
      </c>
      <c r="AB814" t="s">
        <v>242</v>
      </c>
      <c r="AC814">
        <v>1</v>
      </c>
      <c r="AD814">
        <v>5000</v>
      </c>
      <c r="AE814">
        <v>0</v>
      </c>
      <c r="AF814">
        <v>0</v>
      </c>
      <c r="AG814">
        <v>327.10280373831756</v>
      </c>
      <c r="AH814" t="s">
        <v>72</v>
      </c>
    </row>
    <row r="815" spans="1:34" x14ac:dyDescent="0.3">
      <c r="A815" t="s">
        <v>798</v>
      </c>
      <c r="B815">
        <v>4142300826</v>
      </c>
      <c r="C815">
        <v>10381776</v>
      </c>
      <c r="D815" t="s">
        <v>924</v>
      </c>
      <c r="E815" t="s">
        <v>445</v>
      </c>
      <c r="F815" t="s">
        <v>430</v>
      </c>
      <c r="G815" t="s">
        <v>230</v>
      </c>
      <c r="H815" t="s">
        <v>234</v>
      </c>
      <c r="J815" t="s">
        <v>52</v>
      </c>
      <c r="K815" s="15">
        <v>1000</v>
      </c>
      <c r="L815" s="15">
        <v>0</v>
      </c>
      <c r="M815" s="13">
        <v>45138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124218.40186915889</v>
      </c>
      <c r="Y815">
        <v>124218.40186915889</v>
      </c>
      <c r="Z815">
        <v>8695.2881308411233</v>
      </c>
      <c r="AA815">
        <v>132913.69</v>
      </c>
      <c r="AB815" t="s">
        <v>242</v>
      </c>
      <c r="AC815">
        <v>1</v>
      </c>
      <c r="AD815">
        <v>1000</v>
      </c>
      <c r="AE815">
        <v>0</v>
      </c>
      <c r="AF815">
        <v>0</v>
      </c>
      <c r="AG815">
        <v>65.420560747663558</v>
      </c>
      <c r="AH815" t="s">
        <v>72</v>
      </c>
    </row>
    <row r="816" spans="1:34" x14ac:dyDescent="0.3">
      <c r="A816" t="s">
        <v>798</v>
      </c>
      <c r="B816">
        <v>4142300910</v>
      </c>
      <c r="C816">
        <v>10429299</v>
      </c>
      <c r="D816" t="s">
        <v>213</v>
      </c>
      <c r="E816" t="s">
        <v>445</v>
      </c>
      <c r="F816" t="s">
        <v>430</v>
      </c>
      <c r="G816" t="s">
        <v>230</v>
      </c>
      <c r="H816" t="s">
        <v>234</v>
      </c>
      <c r="J816" t="s">
        <v>52</v>
      </c>
      <c r="K816" s="15">
        <v>10000</v>
      </c>
      <c r="L816" s="15">
        <v>0</v>
      </c>
      <c r="M816" s="13">
        <v>45138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775667.10280373832</v>
      </c>
      <c r="Y816">
        <v>775667.10280373832</v>
      </c>
      <c r="Z816">
        <v>54296.697196261688</v>
      </c>
      <c r="AA816">
        <v>829963.8</v>
      </c>
      <c r="AB816" t="s">
        <v>242</v>
      </c>
      <c r="AC816">
        <v>1</v>
      </c>
      <c r="AD816">
        <v>10000</v>
      </c>
      <c r="AE816">
        <v>0</v>
      </c>
      <c r="AF816">
        <v>0</v>
      </c>
      <c r="AG816">
        <v>654.20560747663512</v>
      </c>
      <c r="AH816" t="s">
        <v>72</v>
      </c>
    </row>
    <row r="817" spans="1:34" x14ac:dyDescent="0.3">
      <c r="A817" t="s">
        <v>798</v>
      </c>
      <c r="B817">
        <v>4302300023</v>
      </c>
      <c r="C817">
        <v>901021032288</v>
      </c>
      <c r="D817" t="s">
        <v>225</v>
      </c>
      <c r="E817" t="s">
        <v>447</v>
      </c>
      <c r="F817" t="s">
        <v>433</v>
      </c>
      <c r="G817" t="s">
        <v>82</v>
      </c>
      <c r="H817" t="s">
        <v>83</v>
      </c>
      <c r="J817" t="s">
        <v>52</v>
      </c>
      <c r="K817" s="15">
        <v>30000</v>
      </c>
      <c r="L817" s="15">
        <v>0</v>
      </c>
      <c r="M817" s="13">
        <v>45138</v>
      </c>
      <c r="O817">
        <v>0</v>
      </c>
      <c r="P817">
        <v>0</v>
      </c>
      <c r="Q817">
        <v>93271.846623058605</v>
      </c>
      <c r="R817">
        <v>3436.24</v>
      </c>
      <c r="S817">
        <v>65349.555866300369</v>
      </c>
      <c r="T817">
        <v>0</v>
      </c>
      <c r="U817">
        <v>0</v>
      </c>
      <c r="V817">
        <v>1172874.5</v>
      </c>
      <c r="W817">
        <v>0</v>
      </c>
      <c r="X817">
        <v>0</v>
      </c>
      <c r="Y817">
        <v>1334932.142489359</v>
      </c>
      <c r="Z817">
        <v>86675.683910641033</v>
      </c>
      <c r="AA817">
        <v>1421607.8264000001</v>
      </c>
      <c r="AB817" t="s">
        <v>242</v>
      </c>
      <c r="AC817">
        <v>1</v>
      </c>
      <c r="AD817">
        <v>30000</v>
      </c>
      <c r="AE817">
        <v>0</v>
      </c>
      <c r="AF817">
        <v>0</v>
      </c>
      <c r="AG817">
        <v>1820.2424893589741</v>
      </c>
      <c r="AH817" t="s">
        <v>72</v>
      </c>
    </row>
    <row r="818" spans="1:34" x14ac:dyDescent="0.3">
      <c r="A818" t="s">
        <v>798</v>
      </c>
      <c r="B818">
        <v>22200039</v>
      </c>
      <c r="C818" t="s">
        <v>340</v>
      </c>
      <c r="D818" t="s">
        <v>382</v>
      </c>
      <c r="E818" t="s">
        <v>435</v>
      </c>
      <c r="F818" t="s">
        <v>428</v>
      </c>
      <c r="G818" t="s">
        <v>82</v>
      </c>
      <c r="H818" t="s">
        <v>82</v>
      </c>
      <c r="J818" t="s">
        <v>416</v>
      </c>
      <c r="K818" s="15">
        <v>0.57046629812140526</v>
      </c>
      <c r="L818" s="15">
        <v>0</v>
      </c>
      <c r="M818" s="13">
        <v>45138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2999.9999999999995</v>
      </c>
      <c r="W818">
        <v>0</v>
      </c>
      <c r="X818">
        <v>0</v>
      </c>
      <c r="Y818">
        <v>2999.9999999999995</v>
      </c>
      <c r="Z818">
        <v>0</v>
      </c>
      <c r="AA818">
        <v>2999.9999999999995</v>
      </c>
      <c r="AB818" t="s">
        <v>242</v>
      </c>
      <c r="AC818">
        <v>8</v>
      </c>
      <c r="AD818">
        <v>16000</v>
      </c>
      <c r="AE818">
        <v>0</v>
      </c>
      <c r="AF818">
        <v>0</v>
      </c>
      <c r="AG818">
        <v>0</v>
      </c>
      <c r="AH818" t="s">
        <v>58</v>
      </c>
    </row>
    <row r="819" spans="1:34" x14ac:dyDescent="0.3">
      <c r="A819" t="s">
        <v>798</v>
      </c>
      <c r="B819">
        <v>22200039</v>
      </c>
      <c r="C819" t="s">
        <v>340</v>
      </c>
      <c r="D819" t="s">
        <v>382</v>
      </c>
      <c r="E819" t="s">
        <v>435</v>
      </c>
      <c r="F819" t="s">
        <v>428</v>
      </c>
      <c r="G819" t="s">
        <v>417</v>
      </c>
      <c r="H819" t="s">
        <v>82</v>
      </c>
      <c r="J819" t="s">
        <v>52</v>
      </c>
      <c r="K819" s="15">
        <v>3000</v>
      </c>
      <c r="L819" s="15">
        <v>0</v>
      </c>
      <c r="M819" s="13">
        <v>45138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">
        <v>242</v>
      </c>
      <c r="AC819">
        <v>9</v>
      </c>
      <c r="AD819">
        <v>19000</v>
      </c>
      <c r="AE819">
        <v>0</v>
      </c>
      <c r="AF819">
        <v>0</v>
      </c>
      <c r="AG819">
        <v>0</v>
      </c>
      <c r="AH819" t="s">
        <v>58</v>
      </c>
    </row>
    <row r="820" spans="1:34" x14ac:dyDescent="0.3">
      <c r="A820" t="s">
        <v>798</v>
      </c>
      <c r="B820">
        <v>32200117</v>
      </c>
      <c r="C820" t="s">
        <v>344</v>
      </c>
      <c r="D820" t="s">
        <v>323</v>
      </c>
      <c r="E820" t="s">
        <v>438</v>
      </c>
      <c r="F820" t="s">
        <v>429</v>
      </c>
      <c r="G820" t="s">
        <v>417</v>
      </c>
      <c r="H820" t="s">
        <v>82</v>
      </c>
      <c r="J820" t="s">
        <v>52</v>
      </c>
      <c r="K820" s="15">
        <v>3000</v>
      </c>
      <c r="L820" s="15">
        <v>0</v>
      </c>
      <c r="M820" s="13">
        <v>45138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">
        <v>242</v>
      </c>
      <c r="AC820">
        <v>2</v>
      </c>
      <c r="AD820">
        <v>5000</v>
      </c>
      <c r="AE820">
        <v>0</v>
      </c>
      <c r="AF820">
        <v>0</v>
      </c>
      <c r="AG820">
        <v>0</v>
      </c>
      <c r="AH820" t="s">
        <v>58</v>
      </c>
    </row>
    <row r="821" spans="1:34" x14ac:dyDescent="0.3">
      <c r="A821" t="s">
        <v>798</v>
      </c>
      <c r="B821">
        <v>4142300737</v>
      </c>
      <c r="C821" t="s">
        <v>358</v>
      </c>
      <c r="D821" t="s">
        <v>397</v>
      </c>
      <c r="E821" t="s">
        <v>445</v>
      </c>
      <c r="F821" t="s">
        <v>430</v>
      </c>
      <c r="G821" t="s">
        <v>237</v>
      </c>
      <c r="H821" t="s">
        <v>234</v>
      </c>
      <c r="J821" t="s">
        <v>52</v>
      </c>
      <c r="K821" s="15">
        <v>6000</v>
      </c>
      <c r="L821" s="15">
        <v>0</v>
      </c>
      <c r="M821" s="13">
        <v>45138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61682.242990654209</v>
      </c>
      <c r="Y821">
        <v>61682.242990654209</v>
      </c>
      <c r="Z821">
        <v>4317.7570093457953</v>
      </c>
      <c r="AA821">
        <v>66000</v>
      </c>
      <c r="AB821" t="s">
        <v>242</v>
      </c>
      <c r="AC821">
        <v>1</v>
      </c>
      <c r="AD821">
        <v>6000</v>
      </c>
      <c r="AE821">
        <v>0</v>
      </c>
      <c r="AF821">
        <v>0</v>
      </c>
      <c r="AG821">
        <v>392.5233644859818</v>
      </c>
      <c r="AH821" t="s">
        <v>58</v>
      </c>
    </row>
    <row r="822" spans="1:34" x14ac:dyDescent="0.3">
      <c r="A822" t="s">
        <v>798</v>
      </c>
      <c r="B822">
        <v>4142301088</v>
      </c>
      <c r="C822" t="s">
        <v>509</v>
      </c>
      <c r="D822" t="s">
        <v>581</v>
      </c>
      <c r="E822" t="s">
        <v>445</v>
      </c>
      <c r="F822" t="s">
        <v>430</v>
      </c>
      <c r="G822" t="s">
        <v>230</v>
      </c>
      <c r="H822" t="s">
        <v>234</v>
      </c>
      <c r="J822" t="s">
        <v>416</v>
      </c>
      <c r="K822" s="15">
        <v>0.20378615607065287</v>
      </c>
      <c r="L822" s="15">
        <v>0</v>
      </c>
      <c r="M822" s="13">
        <v>45138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233644.85981308413</v>
      </c>
      <c r="Y822">
        <v>233644.85981308413</v>
      </c>
      <c r="Z822">
        <v>16355.140186915891</v>
      </c>
      <c r="AA822">
        <v>250000.00000000003</v>
      </c>
      <c r="AB822" t="s">
        <v>242</v>
      </c>
      <c r="AC822">
        <v>0</v>
      </c>
      <c r="AD822">
        <v>0</v>
      </c>
      <c r="AE822">
        <v>0</v>
      </c>
      <c r="AF822">
        <v>0</v>
      </c>
      <c r="AG822">
        <v>0</v>
      </c>
      <c r="AH822" t="s">
        <v>72</v>
      </c>
    </row>
    <row r="823" spans="1:34" x14ac:dyDescent="0.3">
      <c r="A823" t="s">
        <v>798</v>
      </c>
      <c r="B823">
        <v>4142301088</v>
      </c>
      <c r="C823" t="s">
        <v>509</v>
      </c>
      <c r="D823" t="s">
        <v>581</v>
      </c>
      <c r="E823" t="s">
        <v>445</v>
      </c>
      <c r="F823" t="s">
        <v>430</v>
      </c>
      <c r="G823" t="s">
        <v>230</v>
      </c>
      <c r="H823" t="s">
        <v>234</v>
      </c>
      <c r="J823" t="s">
        <v>52</v>
      </c>
      <c r="K823" s="15">
        <v>50000</v>
      </c>
      <c r="L823" s="15">
        <v>0</v>
      </c>
      <c r="M823" s="13">
        <v>45138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186915.88785046729</v>
      </c>
      <c r="Y823">
        <v>186915.88785046729</v>
      </c>
      <c r="Z823">
        <v>13084.112149532712</v>
      </c>
      <c r="AA823">
        <v>200000</v>
      </c>
      <c r="AB823" t="s">
        <v>242</v>
      </c>
      <c r="AC823">
        <v>1</v>
      </c>
      <c r="AD823">
        <v>50000</v>
      </c>
      <c r="AE823">
        <v>0</v>
      </c>
      <c r="AF823">
        <v>0</v>
      </c>
      <c r="AG823">
        <v>3271.0280373831774</v>
      </c>
      <c r="AH823" t="s">
        <v>58</v>
      </c>
    </row>
    <row r="824" spans="1:34" x14ac:dyDescent="0.3">
      <c r="A824" t="s">
        <v>798</v>
      </c>
      <c r="B824">
        <v>52200085</v>
      </c>
      <c r="C824" t="s">
        <v>657</v>
      </c>
      <c r="D824" t="s">
        <v>656</v>
      </c>
      <c r="E824" t="s">
        <v>436</v>
      </c>
      <c r="F824" t="s">
        <v>431</v>
      </c>
      <c r="G824" t="s">
        <v>82</v>
      </c>
      <c r="H824" t="s">
        <v>83</v>
      </c>
      <c r="J824" t="s">
        <v>52</v>
      </c>
      <c r="K824" s="15">
        <v>2000</v>
      </c>
      <c r="M824" s="13">
        <v>45138</v>
      </c>
      <c r="O824">
        <v>0</v>
      </c>
      <c r="P824">
        <v>0</v>
      </c>
      <c r="Q824">
        <v>0</v>
      </c>
      <c r="R824">
        <v>778.50782066497356</v>
      </c>
      <c r="S824">
        <v>31497.342960859874</v>
      </c>
      <c r="T824">
        <v>0</v>
      </c>
      <c r="U824">
        <v>0</v>
      </c>
      <c r="V824">
        <v>83255.452606341161</v>
      </c>
      <c r="W824">
        <v>0</v>
      </c>
      <c r="X824">
        <v>0</v>
      </c>
      <c r="Y824">
        <v>115531.30338786601</v>
      </c>
      <c r="Z824">
        <v>8032.6956897040736</v>
      </c>
      <c r="AA824">
        <v>123563.99907757009</v>
      </c>
      <c r="AB824" t="s">
        <v>242</v>
      </c>
      <c r="AC824">
        <v>1</v>
      </c>
      <c r="AD824">
        <v>2000</v>
      </c>
      <c r="AE824">
        <v>0</v>
      </c>
      <c r="AF824">
        <v>0</v>
      </c>
      <c r="AG824">
        <v>129.95845555752157</v>
      </c>
      <c r="AH824" t="s">
        <v>72</v>
      </c>
    </row>
    <row r="825" spans="1:34" x14ac:dyDescent="0.3">
      <c r="A825" t="s">
        <v>798</v>
      </c>
      <c r="B825">
        <v>4242300019</v>
      </c>
      <c r="C825" t="s">
        <v>105</v>
      </c>
      <c r="D825" t="s">
        <v>220</v>
      </c>
      <c r="E825" t="s">
        <v>444</v>
      </c>
      <c r="F825" t="s">
        <v>433</v>
      </c>
      <c r="G825" t="s">
        <v>230</v>
      </c>
      <c r="H825" t="s">
        <v>231</v>
      </c>
      <c r="J825" t="s">
        <v>416</v>
      </c>
      <c r="K825" s="15">
        <v>1.6393442622950838E-2</v>
      </c>
      <c r="M825" s="13">
        <v>45138</v>
      </c>
      <c r="O825">
        <v>0</v>
      </c>
      <c r="P825">
        <v>2634.8903379448407</v>
      </c>
      <c r="Q825">
        <v>0</v>
      </c>
      <c r="R825">
        <v>0</v>
      </c>
      <c r="S825">
        <v>0</v>
      </c>
      <c r="T825">
        <v>0</v>
      </c>
      <c r="U825">
        <v>36759.180165242302</v>
      </c>
      <c r="V825">
        <v>0</v>
      </c>
      <c r="W825">
        <v>128696.18507737092</v>
      </c>
      <c r="X825">
        <v>0</v>
      </c>
      <c r="Y825">
        <v>168090.25558055806</v>
      </c>
      <c r="Z825">
        <v>11581.875566982926</v>
      </c>
      <c r="AA825">
        <v>179672.13114754099</v>
      </c>
      <c r="AB825" t="s">
        <v>242</v>
      </c>
      <c r="AC825">
        <v>1</v>
      </c>
      <c r="AD825">
        <v>20000</v>
      </c>
      <c r="AE825">
        <v>0</v>
      </c>
      <c r="AF825">
        <v>0</v>
      </c>
      <c r="AG825">
        <v>1287.7429407541676</v>
      </c>
      <c r="AH825" t="s">
        <v>58</v>
      </c>
    </row>
    <row r="826" spans="1:34" x14ac:dyDescent="0.3">
      <c r="A826" t="s">
        <v>798</v>
      </c>
      <c r="B826">
        <v>42201231</v>
      </c>
      <c r="C826">
        <v>2754007748</v>
      </c>
      <c r="D826" s="38" t="s">
        <v>267</v>
      </c>
      <c r="E826" t="s">
        <v>439</v>
      </c>
      <c r="F826" t="s">
        <v>430</v>
      </c>
      <c r="G826" t="s">
        <v>237</v>
      </c>
      <c r="H826" t="s">
        <v>234</v>
      </c>
      <c r="J826" s="37" t="s">
        <v>425</v>
      </c>
      <c r="K826">
        <v>70000</v>
      </c>
      <c r="L826" s="15">
        <v>75</v>
      </c>
      <c r="M826" s="13">
        <v>45139</v>
      </c>
      <c r="O826">
        <v>75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162508.41121495326</v>
      </c>
      <c r="Y826">
        <v>162583.41121495326</v>
      </c>
      <c r="Z826">
        <v>11375.58878504673</v>
      </c>
      <c r="AA826">
        <v>173959</v>
      </c>
      <c r="AB826" t="s">
        <v>242</v>
      </c>
      <c r="AC826">
        <v>0</v>
      </c>
      <c r="AD826">
        <v>0</v>
      </c>
      <c r="AE826">
        <v>0</v>
      </c>
      <c r="AF826">
        <v>74900</v>
      </c>
      <c r="AG826">
        <v>4900</v>
      </c>
      <c r="AH826" t="s">
        <v>72</v>
      </c>
    </row>
    <row r="827" spans="1:34" x14ac:dyDescent="0.3">
      <c r="A827" t="s">
        <v>798</v>
      </c>
      <c r="B827">
        <v>12200171</v>
      </c>
      <c r="C827">
        <v>25596188</v>
      </c>
      <c r="D827" t="s">
        <v>117</v>
      </c>
      <c r="E827" t="s">
        <v>438</v>
      </c>
      <c r="F827" t="s">
        <v>427</v>
      </c>
      <c r="G827" t="s">
        <v>82</v>
      </c>
      <c r="H827" t="s">
        <v>82</v>
      </c>
      <c r="J827" t="s">
        <v>52</v>
      </c>
      <c r="K827" s="15">
        <v>1000</v>
      </c>
      <c r="L827" s="15">
        <v>0</v>
      </c>
      <c r="M827" s="13">
        <v>45139</v>
      </c>
      <c r="O827">
        <v>0</v>
      </c>
      <c r="P827">
        <v>0</v>
      </c>
      <c r="Q827">
        <v>0</v>
      </c>
      <c r="R827">
        <v>0</v>
      </c>
      <c r="S827">
        <v>33044.933781943517</v>
      </c>
      <c r="T827">
        <v>0</v>
      </c>
      <c r="U827">
        <v>0</v>
      </c>
      <c r="V827">
        <v>146895.79377429161</v>
      </c>
      <c r="W827">
        <v>0</v>
      </c>
      <c r="X827">
        <v>0</v>
      </c>
      <c r="Y827">
        <v>179940.72755623513</v>
      </c>
      <c r="Z827">
        <v>0</v>
      </c>
      <c r="AA827">
        <v>179940.72755623513</v>
      </c>
      <c r="AB827" t="s">
        <v>242</v>
      </c>
      <c r="AC827">
        <v>2</v>
      </c>
      <c r="AD827">
        <v>2000</v>
      </c>
      <c r="AE827">
        <v>0</v>
      </c>
      <c r="AF827">
        <v>0</v>
      </c>
      <c r="AG827">
        <v>0</v>
      </c>
      <c r="AH827" t="s">
        <v>58</v>
      </c>
    </row>
    <row r="828" spans="1:34" x14ac:dyDescent="0.3">
      <c r="A828" t="s">
        <v>798</v>
      </c>
      <c r="B828">
        <v>12200190</v>
      </c>
      <c r="C828">
        <v>24889993</v>
      </c>
      <c r="D828" t="s">
        <v>813</v>
      </c>
      <c r="E828" t="s">
        <v>438</v>
      </c>
      <c r="F828" t="s">
        <v>427</v>
      </c>
      <c r="G828" t="s">
        <v>82</v>
      </c>
      <c r="H828" t="s">
        <v>82</v>
      </c>
      <c r="J828" t="s">
        <v>52</v>
      </c>
      <c r="K828" s="15">
        <v>2000</v>
      </c>
      <c r="L828" s="15">
        <v>0</v>
      </c>
      <c r="M828" s="13">
        <v>45139</v>
      </c>
      <c r="O828">
        <v>0</v>
      </c>
      <c r="P828">
        <v>0</v>
      </c>
      <c r="Q828">
        <v>0</v>
      </c>
      <c r="R828">
        <v>0</v>
      </c>
      <c r="S828">
        <v>8767.0066774532461</v>
      </c>
      <c r="T828">
        <v>0</v>
      </c>
      <c r="U828">
        <v>0</v>
      </c>
      <c r="V828">
        <v>46669.558894217822</v>
      </c>
      <c r="W828">
        <v>0</v>
      </c>
      <c r="X828">
        <v>0</v>
      </c>
      <c r="Y828">
        <v>55436.565571671068</v>
      </c>
      <c r="Z828">
        <v>0</v>
      </c>
      <c r="AA828">
        <v>55436.565571671068</v>
      </c>
      <c r="AB828" t="s">
        <v>242</v>
      </c>
      <c r="AC828">
        <v>1</v>
      </c>
      <c r="AD828">
        <v>2000</v>
      </c>
      <c r="AE828">
        <v>0</v>
      </c>
      <c r="AF828">
        <v>0</v>
      </c>
      <c r="AG828">
        <v>0</v>
      </c>
      <c r="AH828" t="s">
        <v>72</v>
      </c>
    </row>
    <row r="829" spans="1:34" x14ac:dyDescent="0.3">
      <c r="A829" t="s">
        <v>798</v>
      </c>
      <c r="B829">
        <v>22200010</v>
      </c>
      <c r="C829">
        <v>18928437</v>
      </c>
      <c r="D829" t="s">
        <v>85</v>
      </c>
      <c r="E829" t="s">
        <v>435</v>
      </c>
      <c r="F829" t="s">
        <v>428</v>
      </c>
      <c r="G829" t="s">
        <v>82</v>
      </c>
      <c r="H829" t="s">
        <v>82</v>
      </c>
      <c r="J829" t="s">
        <v>52</v>
      </c>
      <c r="K829" s="15">
        <v>1000</v>
      </c>
      <c r="L829" s="15">
        <v>0</v>
      </c>
      <c r="M829" s="13">
        <v>45139</v>
      </c>
      <c r="O829">
        <v>0</v>
      </c>
      <c r="P829">
        <v>0</v>
      </c>
      <c r="Q829">
        <v>0</v>
      </c>
      <c r="R829">
        <v>0</v>
      </c>
      <c r="S829">
        <v>431.76186550684997</v>
      </c>
      <c r="T829">
        <v>0</v>
      </c>
      <c r="U829">
        <v>0</v>
      </c>
      <c r="V829">
        <v>18637.990000000002</v>
      </c>
      <c r="W829">
        <v>0</v>
      </c>
      <c r="X829">
        <v>0</v>
      </c>
      <c r="Y829">
        <v>19069.751865506852</v>
      </c>
      <c r="Z829">
        <v>0</v>
      </c>
      <c r="AA829">
        <v>19069.751865506852</v>
      </c>
      <c r="AB829" t="s">
        <v>242</v>
      </c>
      <c r="AC829">
        <v>11</v>
      </c>
      <c r="AD829">
        <v>9000</v>
      </c>
      <c r="AE829">
        <v>0</v>
      </c>
      <c r="AF829">
        <v>0</v>
      </c>
      <c r="AG829">
        <v>0</v>
      </c>
      <c r="AH829" t="s">
        <v>58</v>
      </c>
    </row>
    <row r="830" spans="1:34" x14ac:dyDescent="0.3">
      <c r="A830" t="s">
        <v>798</v>
      </c>
      <c r="B830">
        <v>52200112</v>
      </c>
      <c r="C830">
        <v>25062909</v>
      </c>
      <c r="D830" t="s">
        <v>132</v>
      </c>
      <c r="E830" t="s">
        <v>436</v>
      </c>
      <c r="F830" t="s">
        <v>431</v>
      </c>
      <c r="G830" t="s">
        <v>82</v>
      </c>
      <c r="H830" t="s">
        <v>83</v>
      </c>
      <c r="J830" t="s">
        <v>52</v>
      </c>
      <c r="K830" s="15">
        <v>1000</v>
      </c>
      <c r="L830" s="15">
        <v>0</v>
      </c>
      <c r="M830" s="13">
        <v>45139</v>
      </c>
      <c r="O830">
        <v>0</v>
      </c>
      <c r="P830">
        <v>0</v>
      </c>
      <c r="Q830">
        <v>0</v>
      </c>
      <c r="R830">
        <v>763.38599981579932</v>
      </c>
      <c r="S830">
        <v>15200.384224995283</v>
      </c>
      <c r="T830">
        <v>0</v>
      </c>
      <c r="U830">
        <v>0</v>
      </c>
      <c r="V830">
        <v>48171.217589309104</v>
      </c>
      <c r="W830">
        <v>0</v>
      </c>
      <c r="X830">
        <v>0</v>
      </c>
      <c r="Y830">
        <v>64134.987814120184</v>
      </c>
      <c r="Z830">
        <v>4436.0121270013078</v>
      </c>
      <c r="AA830">
        <v>68570.999941121496</v>
      </c>
      <c r="AB830" t="s">
        <v>242</v>
      </c>
      <c r="AC830">
        <v>3</v>
      </c>
      <c r="AD830">
        <v>2400</v>
      </c>
      <c r="AE830">
        <v>0</v>
      </c>
      <c r="AF830">
        <v>0</v>
      </c>
      <c r="AG830">
        <v>155.13740185710839</v>
      </c>
      <c r="AH830" t="s">
        <v>58</v>
      </c>
    </row>
    <row r="831" spans="1:34" x14ac:dyDescent="0.3">
      <c r="A831" t="s">
        <v>798</v>
      </c>
      <c r="B831">
        <v>52200698</v>
      </c>
      <c r="C831">
        <v>29796909</v>
      </c>
      <c r="D831" t="s">
        <v>858</v>
      </c>
      <c r="E831" t="s">
        <v>438</v>
      </c>
      <c r="F831" t="s">
        <v>431</v>
      </c>
      <c r="G831" t="s">
        <v>82</v>
      </c>
      <c r="H831" t="s">
        <v>83</v>
      </c>
      <c r="J831" t="s">
        <v>52</v>
      </c>
      <c r="K831" s="15">
        <v>1600</v>
      </c>
      <c r="L831" s="15">
        <v>0</v>
      </c>
      <c r="M831" s="13">
        <v>45139</v>
      </c>
      <c r="O831">
        <v>0</v>
      </c>
      <c r="P831">
        <v>0</v>
      </c>
      <c r="Q831">
        <v>0</v>
      </c>
      <c r="R831">
        <v>900.18693459805729</v>
      </c>
      <c r="S831">
        <v>26545.672304113948</v>
      </c>
      <c r="T831">
        <v>0</v>
      </c>
      <c r="U831">
        <v>0</v>
      </c>
      <c r="V831">
        <v>52314.898317757012</v>
      </c>
      <c r="W831">
        <v>0</v>
      </c>
      <c r="X831">
        <v>0</v>
      </c>
      <c r="Y831">
        <v>79760.75755646902</v>
      </c>
      <c r="Z831">
        <v>5520.2399435309671</v>
      </c>
      <c r="AA831">
        <v>85280.997499999983</v>
      </c>
      <c r="AB831" t="s">
        <v>242</v>
      </c>
      <c r="AC831">
        <v>4</v>
      </c>
      <c r="AD831">
        <v>7926</v>
      </c>
      <c r="AE831">
        <v>0</v>
      </c>
      <c r="AF831">
        <v>0</v>
      </c>
      <c r="AG831">
        <v>512.64774338491975</v>
      </c>
      <c r="AH831" t="s">
        <v>58</v>
      </c>
    </row>
    <row r="832" spans="1:34" x14ac:dyDescent="0.3">
      <c r="A832" t="s">
        <v>798</v>
      </c>
      <c r="B832">
        <v>52201277</v>
      </c>
      <c r="C832">
        <v>26285645</v>
      </c>
      <c r="D832" t="s">
        <v>153</v>
      </c>
      <c r="E832" t="s">
        <v>438</v>
      </c>
      <c r="F832" t="s">
        <v>431</v>
      </c>
      <c r="G832" t="s">
        <v>82</v>
      </c>
      <c r="H832" t="s">
        <v>83</v>
      </c>
      <c r="J832" t="s">
        <v>52</v>
      </c>
      <c r="K832" s="15">
        <v>2000</v>
      </c>
      <c r="L832" s="15">
        <v>0</v>
      </c>
      <c r="M832" s="13">
        <v>45139</v>
      </c>
      <c r="O832">
        <v>0</v>
      </c>
      <c r="P832">
        <v>0</v>
      </c>
      <c r="Q832">
        <v>0</v>
      </c>
      <c r="R832">
        <v>841.31257537580086</v>
      </c>
      <c r="S832">
        <v>36242.898933286524</v>
      </c>
      <c r="T832">
        <v>0</v>
      </c>
      <c r="U832">
        <v>0</v>
      </c>
      <c r="V832">
        <v>56278.303900452571</v>
      </c>
      <c r="W832">
        <v>0</v>
      </c>
      <c r="X832">
        <v>0</v>
      </c>
      <c r="Y832">
        <v>93362.515409114887</v>
      </c>
      <c r="Z832">
        <v>6476.4841983617371</v>
      </c>
      <c r="AA832">
        <v>99838.999607476624</v>
      </c>
      <c r="AB832" t="s">
        <v>242</v>
      </c>
      <c r="AC832">
        <v>3</v>
      </c>
      <c r="AD832">
        <v>5500</v>
      </c>
      <c r="AE832">
        <v>0</v>
      </c>
      <c r="AF832">
        <v>0</v>
      </c>
      <c r="AG832">
        <v>356.56250493112725</v>
      </c>
      <c r="AH832" t="s">
        <v>58</v>
      </c>
    </row>
    <row r="833" spans="1:34" x14ac:dyDescent="0.3">
      <c r="A833" t="s">
        <v>798</v>
      </c>
      <c r="B833">
        <v>62200092</v>
      </c>
      <c r="C833" t="s">
        <v>659</v>
      </c>
      <c r="D833" t="s">
        <v>658</v>
      </c>
      <c r="E833" t="s">
        <v>435</v>
      </c>
      <c r="F833" t="s">
        <v>432</v>
      </c>
      <c r="G833" t="s">
        <v>235</v>
      </c>
      <c r="H833" t="s">
        <v>235</v>
      </c>
      <c r="J833" t="s">
        <v>52</v>
      </c>
      <c r="K833" s="15">
        <v>3000</v>
      </c>
      <c r="M833" s="13">
        <v>45139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60618.739999999991</v>
      </c>
      <c r="W833">
        <v>0</v>
      </c>
      <c r="X833">
        <v>0</v>
      </c>
      <c r="Y833">
        <v>60618.739999999991</v>
      </c>
      <c r="Z833">
        <v>0</v>
      </c>
      <c r="AA833">
        <v>60618.739999999991</v>
      </c>
      <c r="AB833" t="s">
        <v>242</v>
      </c>
      <c r="AC833">
        <v>1</v>
      </c>
      <c r="AD833">
        <v>3000</v>
      </c>
      <c r="AE833">
        <v>0</v>
      </c>
      <c r="AF833">
        <v>0</v>
      </c>
      <c r="AG833">
        <v>0</v>
      </c>
      <c r="AH833" t="s">
        <v>58</v>
      </c>
    </row>
    <row r="834" spans="1:34" x14ac:dyDescent="0.3">
      <c r="A834" t="s">
        <v>798</v>
      </c>
      <c r="B834">
        <v>52201813</v>
      </c>
      <c r="C834">
        <v>24740952</v>
      </c>
      <c r="D834" t="s">
        <v>887</v>
      </c>
      <c r="E834" t="s">
        <v>438</v>
      </c>
      <c r="F834" t="s">
        <v>431</v>
      </c>
      <c r="G834" t="s">
        <v>82</v>
      </c>
      <c r="H834" t="s">
        <v>83</v>
      </c>
      <c r="J834" t="s">
        <v>52</v>
      </c>
      <c r="K834" s="15">
        <v>2000</v>
      </c>
      <c r="L834" s="15">
        <v>0</v>
      </c>
      <c r="M834" s="13">
        <v>45140</v>
      </c>
      <c r="O834">
        <v>0</v>
      </c>
      <c r="P834">
        <v>0</v>
      </c>
      <c r="Q834">
        <v>0</v>
      </c>
      <c r="R834">
        <v>866.44739281373131</v>
      </c>
      <c r="S834">
        <v>20018.873809751036</v>
      </c>
      <c r="T834">
        <v>0</v>
      </c>
      <c r="U834">
        <v>0</v>
      </c>
      <c r="V834">
        <v>49822.763914669718</v>
      </c>
      <c r="W834">
        <v>0</v>
      </c>
      <c r="X834">
        <v>0</v>
      </c>
      <c r="Y834">
        <v>70708.085117234485</v>
      </c>
      <c r="Z834">
        <v>4888.9146407094531</v>
      </c>
      <c r="AA834">
        <v>75596.999757943937</v>
      </c>
      <c r="AB834" t="s">
        <v>242</v>
      </c>
      <c r="AC834">
        <v>1</v>
      </c>
      <c r="AD834">
        <v>2000</v>
      </c>
      <c r="AE834">
        <v>0</v>
      </c>
      <c r="AF834">
        <v>0</v>
      </c>
      <c r="AG834">
        <v>129.23487616538432</v>
      </c>
      <c r="AH834" t="s">
        <v>72</v>
      </c>
    </row>
    <row r="835" spans="1:34" x14ac:dyDescent="0.3">
      <c r="A835" t="s">
        <v>798</v>
      </c>
      <c r="B835">
        <v>42200038</v>
      </c>
      <c r="C835" t="s">
        <v>452</v>
      </c>
      <c r="D835" t="s">
        <v>521</v>
      </c>
      <c r="E835" t="s">
        <v>437</v>
      </c>
      <c r="F835" t="s">
        <v>430</v>
      </c>
      <c r="G835" t="s">
        <v>230</v>
      </c>
      <c r="H835" t="s">
        <v>231</v>
      </c>
      <c r="J835" t="s">
        <v>52</v>
      </c>
      <c r="K835" s="15">
        <v>1500</v>
      </c>
      <c r="L835" s="15">
        <v>0</v>
      </c>
      <c r="M835" s="13">
        <v>45140</v>
      </c>
      <c r="O835">
        <v>0</v>
      </c>
      <c r="P835">
        <v>0</v>
      </c>
      <c r="Q835">
        <v>0</v>
      </c>
      <c r="R835">
        <v>0</v>
      </c>
      <c r="S835">
        <v>22335.202132835842</v>
      </c>
      <c r="T835">
        <v>14315.357499718139</v>
      </c>
      <c r="U835">
        <v>22429.906542056076</v>
      </c>
      <c r="V835">
        <v>0</v>
      </c>
      <c r="W835">
        <v>310280.37383177568</v>
      </c>
      <c r="X835">
        <v>0</v>
      </c>
      <c r="Y835">
        <v>369360.84000638576</v>
      </c>
      <c r="Z835">
        <v>24291.794651148495</v>
      </c>
      <c r="AA835">
        <v>393652.63465753425</v>
      </c>
      <c r="AB835" t="s">
        <v>242</v>
      </c>
      <c r="AC835">
        <v>6</v>
      </c>
      <c r="AD835">
        <v>13500</v>
      </c>
      <c r="AE835">
        <v>0</v>
      </c>
      <c r="AF835">
        <v>0</v>
      </c>
      <c r="AG835">
        <v>829.70067595430965</v>
      </c>
      <c r="AH835" t="s">
        <v>58</v>
      </c>
    </row>
    <row r="836" spans="1:34" x14ac:dyDescent="0.3">
      <c r="A836" t="s">
        <v>798</v>
      </c>
      <c r="B836">
        <v>52200151</v>
      </c>
      <c r="C836" t="s">
        <v>605</v>
      </c>
      <c r="D836" t="s">
        <v>604</v>
      </c>
      <c r="E836" t="s">
        <v>436</v>
      </c>
      <c r="F836" t="s">
        <v>431</v>
      </c>
      <c r="G836" t="s">
        <v>82</v>
      </c>
      <c r="H836" t="s">
        <v>83</v>
      </c>
      <c r="J836" t="s">
        <v>52</v>
      </c>
      <c r="K836" s="15">
        <v>2000</v>
      </c>
      <c r="M836" s="13">
        <v>45140</v>
      </c>
      <c r="O836">
        <v>0</v>
      </c>
      <c r="P836">
        <v>0</v>
      </c>
      <c r="Q836">
        <v>0</v>
      </c>
      <c r="R836">
        <v>615.63737054903834</v>
      </c>
      <c r="S836">
        <v>17532.392511584007</v>
      </c>
      <c r="T836">
        <v>0</v>
      </c>
      <c r="U836">
        <v>0</v>
      </c>
      <c r="V836">
        <v>85797.853792470967</v>
      </c>
      <c r="W836">
        <v>0</v>
      </c>
      <c r="X836">
        <v>0</v>
      </c>
      <c r="Y836">
        <v>103945.883674604</v>
      </c>
      <c r="Z836">
        <v>7233.1172412838487</v>
      </c>
      <c r="AA836">
        <v>111179.00091588785</v>
      </c>
      <c r="AB836" t="s">
        <v>242</v>
      </c>
      <c r="AC836">
        <v>5</v>
      </c>
      <c r="AD836">
        <v>13000</v>
      </c>
      <c r="AE836">
        <v>0</v>
      </c>
      <c r="AF836">
        <v>0</v>
      </c>
      <c r="AG836">
        <v>845.40618312003085</v>
      </c>
      <c r="AH836" t="s">
        <v>58</v>
      </c>
    </row>
    <row r="837" spans="1:34" x14ac:dyDescent="0.3">
      <c r="A837" t="s">
        <v>798</v>
      </c>
      <c r="B837">
        <v>12200041</v>
      </c>
      <c r="C837">
        <v>23113175</v>
      </c>
      <c r="D837" t="s">
        <v>78</v>
      </c>
      <c r="E837" t="s">
        <v>435</v>
      </c>
      <c r="F837" t="s">
        <v>427</v>
      </c>
      <c r="G837" t="s">
        <v>82</v>
      </c>
      <c r="H837" t="s">
        <v>82</v>
      </c>
      <c r="J837" t="s">
        <v>52</v>
      </c>
      <c r="K837" s="15">
        <v>5000</v>
      </c>
      <c r="L837" s="15">
        <v>0</v>
      </c>
      <c r="M837" s="13">
        <v>45141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167565.03142572055</v>
      </c>
      <c r="W837">
        <v>0</v>
      </c>
      <c r="X837">
        <v>0</v>
      </c>
      <c r="Y837">
        <v>167565.03142572055</v>
      </c>
      <c r="Z837">
        <v>0</v>
      </c>
      <c r="AA837">
        <v>167565.03142572055</v>
      </c>
      <c r="AB837" t="s">
        <v>242</v>
      </c>
      <c r="AC837">
        <v>15</v>
      </c>
      <c r="AD837">
        <v>55000</v>
      </c>
      <c r="AE837">
        <v>0</v>
      </c>
      <c r="AF837">
        <v>0</v>
      </c>
      <c r="AG837">
        <v>0</v>
      </c>
      <c r="AH837" t="s">
        <v>58</v>
      </c>
    </row>
    <row r="838" spans="1:34" x14ac:dyDescent="0.3">
      <c r="A838" t="s">
        <v>798</v>
      </c>
      <c r="B838">
        <v>52201192</v>
      </c>
      <c r="C838">
        <v>30434010</v>
      </c>
      <c r="D838" t="s">
        <v>874</v>
      </c>
      <c r="E838" t="s">
        <v>438</v>
      </c>
      <c r="F838" t="s">
        <v>431</v>
      </c>
      <c r="G838" t="s">
        <v>82</v>
      </c>
      <c r="H838" t="s">
        <v>83</v>
      </c>
      <c r="J838" t="s">
        <v>52</v>
      </c>
      <c r="K838" s="15">
        <v>2000</v>
      </c>
      <c r="L838" s="15">
        <v>0</v>
      </c>
      <c r="M838" s="13">
        <v>45141</v>
      </c>
      <c r="O838">
        <v>0</v>
      </c>
      <c r="P838">
        <v>0</v>
      </c>
      <c r="Q838">
        <v>0</v>
      </c>
      <c r="R838">
        <v>834.05064263912652</v>
      </c>
      <c r="S838">
        <v>31730.943019850256</v>
      </c>
      <c r="T838">
        <v>0</v>
      </c>
      <c r="U838">
        <v>0</v>
      </c>
      <c r="V838">
        <v>55563.40229011231</v>
      </c>
      <c r="W838">
        <v>0</v>
      </c>
      <c r="X838">
        <v>0</v>
      </c>
      <c r="Y838">
        <v>88128.395952601684</v>
      </c>
      <c r="Z838">
        <v>6110.6041716973796</v>
      </c>
      <c r="AA838">
        <v>94239.000124299069</v>
      </c>
      <c r="AB838" t="s">
        <v>242</v>
      </c>
      <c r="AC838">
        <v>3</v>
      </c>
      <c r="AD838">
        <v>6000</v>
      </c>
      <c r="AE838">
        <v>0</v>
      </c>
      <c r="AF838">
        <v>0</v>
      </c>
      <c r="AG838">
        <v>388.797705593214</v>
      </c>
      <c r="AH838" t="s">
        <v>58</v>
      </c>
    </row>
    <row r="839" spans="1:34" x14ac:dyDescent="0.3">
      <c r="A839" t="s">
        <v>798</v>
      </c>
      <c r="B839">
        <v>62200115</v>
      </c>
      <c r="C839">
        <v>25275925</v>
      </c>
      <c r="D839" t="s">
        <v>88</v>
      </c>
      <c r="E839" t="s">
        <v>436</v>
      </c>
      <c r="F839" t="s">
        <v>432</v>
      </c>
      <c r="G839" t="s">
        <v>82</v>
      </c>
      <c r="H839" t="s">
        <v>82</v>
      </c>
      <c r="J839" t="s">
        <v>52</v>
      </c>
      <c r="K839" s="15">
        <v>500</v>
      </c>
      <c r="L839" s="15">
        <v>0</v>
      </c>
      <c r="M839" s="13">
        <v>45141</v>
      </c>
      <c r="O839">
        <v>0</v>
      </c>
      <c r="P839">
        <v>0</v>
      </c>
      <c r="Q839">
        <v>0</v>
      </c>
      <c r="R839">
        <v>0</v>
      </c>
      <c r="S839">
        <v>5804.74114699457</v>
      </c>
      <c r="T839">
        <v>0</v>
      </c>
      <c r="U839">
        <v>0</v>
      </c>
      <c r="V839">
        <v>29072.994912695332</v>
      </c>
      <c r="W839">
        <v>0</v>
      </c>
      <c r="X839">
        <v>0</v>
      </c>
      <c r="Y839">
        <v>34877.736059689902</v>
      </c>
      <c r="Z839">
        <v>0</v>
      </c>
      <c r="AA839">
        <v>34877.736059689902</v>
      </c>
      <c r="AB839" t="s">
        <v>242</v>
      </c>
      <c r="AC839">
        <v>6</v>
      </c>
      <c r="AD839">
        <v>3500</v>
      </c>
      <c r="AE839">
        <v>0</v>
      </c>
      <c r="AF839">
        <v>0</v>
      </c>
      <c r="AG839">
        <v>0</v>
      </c>
      <c r="AH839" t="s">
        <v>58</v>
      </c>
    </row>
    <row r="840" spans="1:34" x14ac:dyDescent="0.3">
      <c r="A840" t="s">
        <v>798</v>
      </c>
      <c r="B840">
        <v>4142300536</v>
      </c>
      <c r="C840">
        <v>10231518</v>
      </c>
      <c r="D840" t="s">
        <v>919</v>
      </c>
      <c r="E840" t="s">
        <v>445</v>
      </c>
      <c r="F840" t="s">
        <v>430</v>
      </c>
      <c r="G840" t="s">
        <v>230</v>
      </c>
      <c r="H840" t="s">
        <v>234</v>
      </c>
      <c r="J840" t="s">
        <v>52</v>
      </c>
      <c r="K840" s="15">
        <v>10000</v>
      </c>
      <c r="L840" s="15">
        <v>0</v>
      </c>
      <c r="M840" s="13">
        <v>45141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430281.02675713738</v>
      </c>
      <c r="Y840">
        <v>430281.02675713738</v>
      </c>
      <c r="Z840">
        <v>30119.671872999621</v>
      </c>
      <c r="AA840">
        <v>460400.69863013702</v>
      </c>
      <c r="AB840" t="s">
        <v>242</v>
      </c>
      <c r="AC840">
        <v>1</v>
      </c>
      <c r="AD840">
        <v>10000</v>
      </c>
      <c r="AE840">
        <v>0</v>
      </c>
      <c r="AF840">
        <v>0</v>
      </c>
      <c r="AG840">
        <v>654.20560747663512</v>
      </c>
      <c r="AH840" t="s">
        <v>72</v>
      </c>
    </row>
    <row r="841" spans="1:34" x14ac:dyDescent="0.3">
      <c r="A841" t="s">
        <v>798</v>
      </c>
      <c r="B841">
        <v>82200024</v>
      </c>
      <c r="C841" t="s">
        <v>246</v>
      </c>
      <c r="D841" t="s">
        <v>317</v>
      </c>
      <c r="E841" t="s">
        <v>440</v>
      </c>
      <c r="F841" t="s">
        <v>433</v>
      </c>
      <c r="G841" t="s">
        <v>82</v>
      </c>
      <c r="H841" t="s">
        <v>83</v>
      </c>
      <c r="J841" t="s">
        <v>52</v>
      </c>
      <c r="K841" s="15">
        <v>30000</v>
      </c>
      <c r="L841" s="15">
        <v>0</v>
      </c>
      <c r="M841" s="13">
        <v>45141</v>
      </c>
      <c r="O841">
        <v>0</v>
      </c>
      <c r="P841">
        <v>0</v>
      </c>
      <c r="Q841">
        <v>18793.713034836983</v>
      </c>
      <c r="R841">
        <v>4997.25</v>
      </c>
      <c r="S841">
        <v>0</v>
      </c>
      <c r="T841">
        <v>0</v>
      </c>
      <c r="U841">
        <v>0</v>
      </c>
      <c r="V841">
        <v>225665.2844534234</v>
      </c>
      <c r="W841">
        <v>0</v>
      </c>
      <c r="X841">
        <v>0</v>
      </c>
      <c r="Y841">
        <v>249456.24748826039</v>
      </c>
      <c r="Z841">
        <v>15796.56991173964</v>
      </c>
      <c r="AA841">
        <v>265252.8174</v>
      </c>
      <c r="AB841" t="s">
        <v>242</v>
      </c>
      <c r="AC841">
        <v>6</v>
      </c>
      <c r="AD841">
        <v>120000</v>
      </c>
      <c r="AE841">
        <v>0</v>
      </c>
      <c r="AF841">
        <v>0</v>
      </c>
      <c r="AG841">
        <v>7089.9174882603656</v>
      </c>
      <c r="AH841" t="s">
        <v>58</v>
      </c>
    </row>
    <row r="842" spans="1:34" x14ac:dyDescent="0.3">
      <c r="A842" t="s">
        <v>798</v>
      </c>
      <c r="B842">
        <v>12200168</v>
      </c>
      <c r="C842">
        <v>22304640</v>
      </c>
      <c r="D842" t="s">
        <v>116</v>
      </c>
      <c r="E842" t="s">
        <v>438</v>
      </c>
      <c r="F842" t="s">
        <v>427</v>
      </c>
      <c r="G842" t="s">
        <v>82</v>
      </c>
      <c r="H842" t="s">
        <v>82</v>
      </c>
      <c r="J842" t="s">
        <v>52</v>
      </c>
      <c r="K842" s="15">
        <v>5000</v>
      </c>
      <c r="L842" s="15">
        <v>0</v>
      </c>
      <c r="M842" s="13">
        <v>45142</v>
      </c>
      <c r="O842">
        <v>0</v>
      </c>
      <c r="P842">
        <v>0</v>
      </c>
      <c r="Q842">
        <v>0</v>
      </c>
      <c r="R842">
        <v>0</v>
      </c>
      <c r="S842">
        <v>35001.057465295118</v>
      </c>
      <c r="T842">
        <v>0</v>
      </c>
      <c r="U842">
        <v>0</v>
      </c>
      <c r="V842">
        <v>265200.49260584638</v>
      </c>
      <c r="W842">
        <v>0</v>
      </c>
      <c r="X842">
        <v>0</v>
      </c>
      <c r="Y842">
        <v>300201.55007114151</v>
      </c>
      <c r="Z842">
        <v>0</v>
      </c>
      <c r="AA842">
        <v>300201.55007114151</v>
      </c>
      <c r="AB842" t="s">
        <v>242</v>
      </c>
      <c r="AC842">
        <v>4</v>
      </c>
      <c r="AD842">
        <v>45000</v>
      </c>
      <c r="AE842">
        <v>0</v>
      </c>
      <c r="AF842">
        <v>0</v>
      </c>
      <c r="AG842">
        <v>0</v>
      </c>
      <c r="AH842" t="s">
        <v>58</v>
      </c>
    </row>
    <row r="843" spans="1:34" x14ac:dyDescent="0.3">
      <c r="A843" t="s">
        <v>798</v>
      </c>
      <c r="B843">
        <v>52201222</v>
      </c>
      <c r="C843">
        <v>25649443</v>
      </c>
      <c r="D843" t="s">
        <v>151</v>
      </c>
      <c r="E843" t="s">
        <v>438</v>
      </c>
      <c r="F843" t="s">
        <v>431</v>
      </c>
      <c r="G843" t="s">
        <v>82</v>
      </c>
      <c r="H843" t="s">
        <v>83</v>
      </c>
      <c r="J843" t="s">
        <v>52</v>
      </c>
      <c r="K843" s="15">
        <v>2500</v>
      </c>
      <c r="L843" s="15">
        <v>0</v>
      </c>
      <c r="M843" s="13">
        <v>45142</v>
      </c>
      <c r="O843">
        <v>0</v>
      </c>
      <c r="P843">
        <v>0</v>
      </c>
      <c r="Q843">
        <v>0</v>
      </c>
      <c r="R843">
        <v>919.53783596961625</v>
      </c>
      <c r="S843">
        <v>15672.920851939414</v>
      </c>
      <c r="T843">
        <v>0</v>
      </c>
      <c r="U843">
        <v>0</v>
      </c>
      <c r="V843">
        <v>51717.230311928623</v>
      </c>
      <c r="W843">
        <v>0</v>
      </c>
      <c r="X843">
        <v>0</v>
      </c>
      <c r="Y843">
        <v>68309.688999837657</v>
      </c>
      <c r="Z843">
        <v>4717.3105814707633</v>
      </c>
      <c r="AA843">
        <v>73026.999581308424</v>
      </c>
      <c r="AB843" t="s">
        <v>242</v>
      </c>
      <c r="AC843">
        <v>3</v>
      </c>
      <c r="AD843">
        <v>5217</v>
      </c>
      <c r="AE843">
        <v>0</v>
      </c>
      <c r="AF843">
        <v>0</v>
      </c>
      <c r="AG843">
        <v>336.6893911381992</v>
      </c>
      <c r="AH843" t="s">
        <v>58</v>
      </c>
    </row>
    <row r="844" spans="1:34" x14ac:dyDescent="0.3">
      <c r="A844" t="s">
        <v>798</v>
      </c>
      <c r="B844">
        <v>52201257</v>
      </c>
      <c r="C844">
        <v>24293811</v>
      </c>
      <c r="D844" t="s">
        <v>876</v>
      </c>
      <c r="E844" t="s">
        <v>438</v>
      </c>
      <c r="F844" t="s">
        <v>431</v>
      </c>
      <c r="G844" t="s">
        <v>82</v>
      </c>
      <c r="H844" t="s">
        <v>83</v>
      </c>
      <c r="J844" t="s">
        <v>52</v>
      </c>
      <c r="K844" s="15">
        <v>1500</v>
      </c>
      <c r="L844" s="15">
        <v>0</v>
      </c>
      <c r="M844" s="13">
        <v>45142</v>
      </c>
      <c r="O844">
        <v>0</v>
      </c>
      <c r="P844">
        <v>0</v>
      </c>
      <c r="Q844">
        <v>0</v>
      </c>
      <c r="R844">
        <v>1109.2199077093264</v>
      </c>
      <c r="S844">
        <v>12942.190620323645</v>
      </c>
      <c r="T844">
        <v>0</v>
      </c>
      <c r="U844">
        <v>0</v>
      </c>
      <c r="V844">
        <v>43856.669541918483</v>
      </c>
      <c r="W844">
        <v>0</v>
      </c>
      <c r="X844">
        <v>0</v>
      </c>
      <c r="Y844">
        <v>57908.080069951451</v>
      </c>
      <c r="Z844">
        <v>3975.920211356949</v>
      </c>
      <c r="AA844">
        <v>61884.000281308399</v>
      </c>
      <c r="AB844" t="s">
        <v>242</v>
      </c>
      <c r="AC844">
        <v>1</v>
      </c>
      <c r="AD844">
        <v>1500</v>
      </c>
      <c r="AE844">
        <v>0</v>
      </c>
      <c r="AF844">
        <v>0</v>
      </c>
      <c r="AG844">
        <v>96.248031345470054</v>
      </c>
      <c r="AH844" t="s">
        <v>72</v>
      </c>
    </row>
    <row r="845" spans="1:34" x14ac:dyDescent="0.3">
      <c r="A845" t="s">
        <v>798</v>
      </c>
      <c r="B845">
        <v>4302300006</v>
      </c>
      <c r="C845">
        <v>901021066959</v>
      </c>
      <c r="D845" t="s">
        <v>222</v>
      </c>
      <c r="E845" t="s">
        <v>447</v>
      </c>
      <c r="F845" t="s">
        <v>433</v>
      </c>
      <c r="G845" t="s">
        <v>82</v>
      </c>
      <c r="H845" t="s">
        <v>83</v>
      </c>
      <c r="J845" t="s">
        <v>52</v>
      </c>
      <c r="K845" s="15">
        <v>50617</v>
      </c>
      <c r="L845" s="15">
        <v>0</v>
      </c>
      <c r="M845" s="13">
        <v>45142</v>
      </c>
      <c r="O845">
        <v>0</v>
      </c>
      <c r="P845">
        <v>0</v>
      </c>
      <c r="Q845">
        <v>224568.98909708971</v>
      </c>
      <c r="R845">
        <v>2049.62</v>
      </c>
      <c r="S845">
        <v>61665.836264402133</v>
      </c>
      <c r="T845">
        <v>0</v>
      </c>
      <c r="U845">
        <v>0</v>
      </c>
      <c r="V845">
        <v>2643283.79</v>
      </c>
      <c r="W845">
        <v>0</v>
      </c>
      <c r="X845">
        <v>0</v>
      </c>
      <c r="Y845">
        <v>2931568.2353614918</v>
      </c>
      <c r="Z845">
        <v>189346.47383850816</v>
      </c>
      <c r="AA845">
        <v>3120914.7091999999</v>
      </c>
      <c r="AB845" t="s">
        <v>242</v>
      </c>
      <c r="AC845">
        <v>1</v>
      </c>
      <c r="AD845">
        <v>50617</v>
      </c>
      <c r="AE845">
        <v>0</v>
      </c>
      <c r="AF845">
        <v>0</v>
      </c>
      <c r="AG845">
        <v>3055.1453614918501</v>
      </c>
      <c r="AH845" t="s">
        <v>72</v>
      </c>
    </row>
    <row r="846" spans="1:34" x14ac:dyDescent="0.3">
      <c r="A846" t="s">
        <v>798</v>
      </c>
      <c r="B846">
        <v>62200095</v>
      </c>
      <c r="C846" t="s">
        <v>640</v>
      </c>
      <c r="D846" t="s">
        <v>639</v>
      </c>
      <c r="E846" t="s">
        <v>435</v>
      </c>
      <c r="F846" t="s">
        <v>432</v>
      </c>
      <c r="G846" t="s">
        <v>235</v>
      </c>
      <c r="H846" t="s">
        <v>235</v>
      </c>
      <c r="J846" t="s">
        <v>52</v>
      </c>
      <c r="K846" s="15">
        <v>2000</v>
      </c>
      <c r="M846" s="13">
        <v>45142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46352.790000000008</v>
      </c>
      <c r="W846">
        <v>0</v>
      </c>
      <c r="X846">
        <v>0</v>
      </c>
      <c r="Y846">
        <v>46352.790000000008</v>
      </c>
      <c r="Z846">
        <v>0</v>
      </c>
      <c r="AA846">
        <v>46352.790000000008</v>
      </c>
      <c r="AB846" t="s">
        <v>242</v>
      </c>
      <c r="AC846">
        <v>5</v>
      </c>
      <c r="AD846">
        <v>10000</v>
      </c>
      <c r="AE846">
        <v>0</v>
      </c>
      <c r="AF846">
        <v>0</v>
      </c>
      <c r="AG846">
        <v>0</v>
      </c>
      <c r="AH846" t="s">
        <v>58</v>
      </c>
    </row>
    <row r="847" spans="1:34" x14ac:dyDescent="0.3">
      <c r="A847" t="s">
        <v>798</v>
      </c>
      <c r="B847">
        <v>42201317</v>
      </c>
      <c r="C847">
        <v>2757009008</v>
      </c>
      <c r="D847" t="s">
        <v>832</v>
      </c>
      <c r="E847" t="s">
        <v>439</v>
      </c>
      <c r="F847" t="s">
        <v>430</v>
      </c>
      <c r="G847" t="s">
        <v>230</v>
      </c>
      <c r="H847" t="s">
        <v>234</v>
      </c>
      <c r="J847" t="s">
        <v>52</v>
      </c>
      <c r="K847" s="15">
        <v>1000</v>
      </c>
      <c r="L847" s="15">
        <v>0</v>
      </c>
      <c r="M847" s="13">
        <v>45143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413364.48598130845</v>
      </c>
      <c r="Y847">
        <v>413364.48598130845</v>
      </c>
      <c r="Z847">
        <v>28935.514018691592</v>
      </c>
      <c r="AA847">
        <v>442300.00000000006</v>
      </c>
      <c r="AB847" t="s">
        <v>242</v>
      </c>
      <c r="AC847">
        <v>4</v>
      </c>
      <c r="AD847">
        <v>4000</v>
      </c>
      <c r="AE847">
        <v>0</v>
      </c>
      <c r="AF847">
        <v>0</v>
      </c>
      <c r="AG847">
        <v>261.68224299065423</v>
      </c>
      <c r="AH847" t="s">
        <v>58</v>
      </c>
    </row>
    <row r="848" spans="1:34" x14ac:dyDescent="0.3">
      <c r="A848" t="s">
        <v>798</v>
      </c>
      <c r="B848">
        <v>52200152</v>
      </c>
      <c r="C848">
        <v>27277111</v>
      </c>
      <c r="D848" t="s">
        <v>838</v>
      </c>
      <c r="E848" t="s">
        <v>436</v>
      </c>
      <c r="F848" t="s">
        <v>431</v>
      </c>
      <c r="G848" t="s">
        <v>82</v>
      </c>
      <c r="H848" t="s">
        <v>83</v>
      </c>
      <c r="J848" t="s">
        <v>52</v>
      </c>
      <c r="K848" s="15">
        <v>4000</v>
      </c>
      <c r="L848" s="15">
        <v>0</v>
      </c>
      <c r="M848" s="13">
        <v>45143</v>
      </c>
      <c r="O848">
        <v>0</v>
      </c>
      <c r="P848">
        <v>0</v>
      </c>
      <c r="Q848">
        <v>0</v>
      </c>
      <c r="R848">
        <v>936.00594072274987</v>
      </c>
      <c r="S848">
        <v>13861.676690913318</v>
      </c>
      <c r="T848">
        <v>0</v>
      </c>
      <c r="U848">
        <v>0</v>
      </c>
      <c r="V848">
        <v>54801.8691588785</v>
      </c>
      <c r="W848">
        <v>0</v>
      </c>
      <c r="X848">
        <v>0</v>
      </c>
      <c r="Y848">
        <v>69599.551790514568</v>
      </c>
      <c r="Z848">
        <v>4806.4482094854275</v>
      </c>
      <c r="AA848">
        <v>74406</v>
      </c>
      <c r="AB848" t="s">
        <v>242</v>
      </c>
      <c r="AC848">
        <v>1</v>
      </c>
      <c r="AD848">
        <v>4000</v>
      </c>
      <c r="AE848">
        <v>0</v>
      </c>
      <c r="AF848">
        <v>0</v>
      </c>
      <c r="AG848">
        <v>258.149921355694</v>
      </c>
      <c r="AH848" t="s">
        <v>72</v>
      </c>
    </row>
    <row r="849" spans="1:34" x14ac:dyDescent="0.3">
      <c r="A849" t="s">
        <v>798</v>
      </c>
      <c r="B849">
        <v>52200185</v>
      </c>
      <c r="C849">
        <v>24837727</v>
      </c>
      <c r="D849" t="s">
        <v>133</v>
      </c>
      <c r="E849" t="s">
        <v>436</v>
      </c>
      <c r="F849" t="s">
        <v>431</v>
      </c>
      <c r="G849" t="s">
        <v>82</v>
      </c>
      <c r="H849" t="s">
        <v>83</v>
      </c>
      <c r="J849" t="s">
        <v>52</v>
      </c>
      <c r="K849" s="15">
        <v>2000</v>
      </c>
      <c r="L849" s="15">
        <v>0</v>
      </c>
      <c r="M849" s="13">
        <v>45143</v>
      </c>
      <c r="O849">
        <v>0</v>
      </c>
      <c r="P849">
        <v>0</v>
      </c>
      <c r="Q849">
        <v>0</v>
      </c>
      <c r="R849">
        <v>963.33326587349984</v>
      </c>
      <c r="S849">
        <v>19450.72835838532</v>
      </c>
      <c r="T849">
        <v>0</v>
      </c>
      <c r="U849">
        <v>0</v>
      </c>
      <c r="V849">
        <v>51964.847111538125</v>
      </c>
      <c r="W849">
        <v>0</v>
      </c>
      <c r="X849">
        <v>0</v>
      </c>
      <c r="Y849">
        <v>72378.908735796955</v>
      </c>
      <c r="Z849">
        <v>4999.0902828946409</v>
      </c>
      <c r="AA849">
        <v>77377.999018691597</v>
      </c>
      <c r="AB849" t="s">
        <v>242</v>
      </c>
      <c r="AC849">
        <v>1</v>
      </c>
      <c r="AD849">
        <v>2000</v>
      </c>
      <c r="AE849">
        <v>0</v>
      </c>
      <c r="AF849">
        <v>0</v>
      </c>
      <c r="AG849">
        <v>129.09656879546264</v>
      </c>
      <c r="AH849" t="s">
        <v>72</v>
      </c>
    </row>
    <row r="850" spans="1:34" x14ac:dyDescent="0.3">
      <c r="A850" t="s">
        <v>798</v>
      </c>
      <c r="B850">
        <v>4142300221</v>
      </c>
      <c r="C850">
        <v>10089343</v>
      </c>
      <c r="D850" t="s">
        <v>194</v>
      </c>
      <c r="E850" t="s">
        <v>445</v>
      </c>
      <c r="F850" t="s">
        <v>430</v>
      </c>
      <c r="G850" t="s">
        <v>230</v>
      </c>
      <c r="H850" t="s">
        <v>234</v>
      </c>
      <c r="J850" t="s">
        <v>52</v>
      </c>
      <c r="K850" s="15">
        <v>15000</v>
      </c>
      <c r="L850" s="15">
        <v>0</v>
      </c>
      <c r="M850" s="13">
        <v>45143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158470.09345794393</v>
      </c>
      <c r="Y850">
        <v>158470.09345794393</v>
      </c>
      <c r="Z850">
        <v>11092.906542056076</v>
      </c>
      <c r="AA850">
        <v>169563</v>
      </c>
      <c r="AB850" t="s">
        <v>242</v>
      </c>
      <c r="AC850">
        <v>2</v>
      </c>
      <c r="AD850">
        <v>25000</v>
      </c>
      <c r="AE850">
        <v>0</v>
      </c>
      <c r="AF850">
        <v>0</v>
      </c>
      <c r="AG850">
        <v>1635.5140186915887</v>
      </c>
      <c r="AH850" t="s">
        <v>58</v>
      </c>
    </row>
    <row r="851" spans="1:34" x14ac:dyDescent="0.3">
      <c r="A851" t="s">
        <v>798</v>
      </c>
      <c r="B851">
        <v>4142300653</v>
      </c>
      <c r="C851">
        <v>10280769</v>
      </c>
      <c r="D851" t="s">
        <v>204</v>
      </c>
      <c r="E851" t="s">
        <v>445</v>
      </c>
      <c r="F851" t="s">
        <v>430</v>
      </c>
      <c r="G851" t="s">
        <v>230</v>
      </c>
      <c r="H851" t="s">
        <v>234</v>
      </c>
      <c r="J851" t="s">
        <v>52</v>
      </c>
      <c r="K851" s="15">
        <v>15000</v>
      </c>
      <c r="L851" s="15">
        <v>0</v>
      </c>
      <c r="M851" s="13">
        <v>45143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881806.53271028039</v>
      </c>
      <c r="Y851">
        <v>881806.53271028039</v>
      </c>
      <c r="Z851">
        <v>61726.457289719634</v>
      </c>
      <c r="AA851">
        <v>943532.99</v>
      </c>
      <c r="AB851" t="s">
        <v>242</v>
      </c>
      <c r="AC851">
        <v>1</v>
      </c>
      <c r="AD851">
        <v>15000</v>
      </c>
      <c r="AE851">
        <v>0</v>
      </c>
      <c r="AF851">
        <v>0</v>
      </c>
      <c r="AG851">
        <v>981.30841121495359</v>
      </c>
      <c r="AH851" t="s">
        <v>72</v>
      </c>
    </row>
    <row r="852" spans="1:34" x14ac:dyDescent="0.3">
      <c r="A852" t="s">
        <v>798</v>
      </c>
      <c r="B852">
        <v>2200002</v>
      </c>
      <c r="C852" t="s">
        <v>645</v>
      </c>
      <c r="D852" t="s">
        <v>407</v>
      </c>
      <c r="E852" t="s">
        <v>435</v>
      </c>
      <c r="F852" t="s">
        <v>426</v>
      </c>
      <c r="G852" t="s">
        <v>235</v>
      </c>
      <c r="H852" t="s">
        <v>235</v>
      </c>
      <c r="J852" t="s">
        <v>52</v>
      </c>
      <c r="K852" s="15">
        <v>5000</v>
      </c>
      <c r="M852" s="13">
        <v>45143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108625</v>
      </c>
      <c r="W852">
        <v>0</v>
      </c>
      <c r="X852">
        <v>0</v>
      </c>
      <c r="Y852">
        <v>108625</v>
      </c>
      <c r="Z852">
        <v>0</v>
      </c>
      <c r="AA852">
        <v>108625</v>
      </c>
      <c r="AB852" t="s">
        <v>242</v>
      </c>
      <c r="AC852">
        <v>4</v>
      </c>
      <c r="AD852">
        <v>20000</v>
      </c>
      <c r="AE852">
        <v>0</v>
      </c>
      <c r="AF852">
        <v>0</v>
      </c>
      <c r="AG852">
        <v>0</v>
      </c>
      <c r="AH852" t="s">
        <v>58</v>
      </c>
    </row>
    <row r="853" spans="1:34" x14ac:dyDescent="0.3">
      <c r="A853" t="s">
        <v>798</v>
      </c>
      <c r="B853">
        <v>2200003</v>
      </c>
      <c r="C853" t="s">
        <v>646</v>
      </c>
      <c r="D853" t="s">
        <v>407</v>
      </c>
      <c r="E853" t="s">
        <v>435</v>
      </c>
      <c r="F853" t="s">
        <v>426</v>
      </c>
      <c r="G853" t="s">
        <v>235</v>
      </c>
      <c r="H853" t="s">
        <v>235</v>
      </c>
      <c r="J853" t="s">
        <v>52</v>
      </c>
      <c r="K853" s="15">
        <v>5000</v>
      </c>
      <c r="M853" s="13">
        <v>45143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118250</v>
      </c>
      <c r="W853">
        <v>0</v>
      </c>
      <c r="X853">
        <v>0</v>
      </c>
      <c r="Y853">
        <v>118250</v>
      </c>
      <c r="Z853">
        <v>0</v>
      </c>
      <c r="AA853">
        <v>118250</v>
      </c>
      <c r="AB853" t="s">
        <v>242</v>
      </c>
      <c r="AC853">
        <v>4</v>
      </c>
      <c r="AD853">
        <v>20000</v>
      </c>
      <c r="AE853">
        <v>0</v>
      </c>
      <c r="AF853">
        <v>0</v>
      </c>
      <c r="AG853">
        <v>0</v>
      </c>
      <c r="AH853" t="s">
        <v>58</v>
      </c>
    </row>
    <row r="854" spans="1:34" x14ac:dyDescent="0.3">
      <c r="A854" t="s">
        <v>798</v>
      </c>
      <c r="B854">
        <v>42200737</v>
      </c>
      <c r="C854">
        <v>2754011893</v>
      </c>
      <c r="D854" t="s">
        <v>126</v>
      </c>
      <c r="E854" t="s">
        <v>439</v>
      </c>
      <c r="F854" t="s">
        <v>430</v>
      </c>
      <c r="G854" t="s">
        <v>233</v>
      </c>
      <c r="H854" t="s">
        <v>234</v>
      </c>
      <c r="J854" t="s">
        <v>52</v>
      </c>
      <c r="K854" s="15">
        <v>1000</v>
      </c>
      <c r="L854" s="15">
        <v>0</v>
      </c>
      <c r="M854" s="13">
        <v>45145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575711.12149532698</v>
      </c>
      <c r="Y854">
        <v>575711.12149532698</v>
      </c>
      <c r="Z854">
        <v>40299.77850467289</v>
      </c>
      <c r="AA854">
        <v>616010.89999999991</v>
      </c>
      <c r="AB854" t="s">
        <v>242</v>
      </c>
      <c r="AC854">
        <v>3</v>
      </c>
      <c r="AD854">
        <v>3000</v>
      </c>
      <c r="AE854">
        <v>0</v>
      </c>
      <c r="AF854">
        <v>0</v>
      </c>
      <c r="AG854">
        <v>196.26168224299067</v>
      </c>
      <c r="AH854" t="s">
        <v>58</v>
      </c>
    </row>
    <row r="855" spans="1:34" x14ac:dyDescent="0.3">
      <c r="A855" t="s">
        <v>798</v>
      </c>
      <c r="B855">
        <v>42200889</v>
      </c>
      <c r="C855">
        <v>2754011907</v>
      </c>
      <c r="D855" t="s">
        <v>126</v>
      </c>
      <c r="E855" t="s">
        <v>439</v>
      </c>
      <c r="F855" t="s">
        <v>430</v>
      </c>
      <c r="G855" t="s">
        <v>233</v>
      </c>
      <c r="H855" t="s">
        <v>234</v>
      </c>
      <c r="J855" t="s">
        <v>52</v>
      </c>
      <c r="K855" s="15">
        <v>1000</v>
      </c>
      <c r="L855" s="15">
        <v>0</v>
      </c>
      <c r="M855" s="13">
        <v>45145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385739.25233644864</v>
      </c>
      <c r="Y855">
        <v>385739.25233644864</v>
      </c>
      <c r="Z855">
        <v>27001.747663551407</v>
      </c>
      <c r="AA855">
        <v>412741.00000000006</v>
      </c>
      <c r="AB855" t="s">
        <v>242</v>
      </c>
      <c r="AC855">
        <v>1</v>
      </c>
      <c r="AD855">
        <v>1000</v>
      </c>
      <c r="AE855">
        <v>0</v>
      </c>
      <c r="AF855">
        <v>0</v>
      </c>
      <c r="AG855">
        <v>65.420560747663558</v>
      </c>
      <c r="AH855" t="s">
        <v>72</v>
      </c>
    </row>
    <row r="856" spans="1:34" x14ac:dyDescent="0.3">
      <c r="A856" t="s">
        <v>798</v>
      </c>
      <c r="B856">
        <v>52200061</v>
      </c>
      <c r="C856">
        <v>28231012</v>
      </c>
      <c r="D856" t="s">
        <v>835</v>
      </c>
      <c r="E856" t="s">
        <v>436</v>
      </c>
      <c r="F856" t="s">
        <v>431</v>
      </c>
      <c r="G856" t="s">
        <v>82</v>
      </c>
      <c r="H856" t="s">
        <v>83</v>
      </c>
      <c r="J856" t="s">
        <v>52</v>
      </c>
      <c r="K856" s="15">
        <v>3500</v>
      </c>
      <c r="L856" s="15">
        <v>0</v>
      </c>
      <c r="M856" s="13">
        <v>45145</v>
      </c>
      <c r="O856">
        <v>0</v>
      </c>
      <c r="P856">
        <v>0</v>
      </c>
      <c r="Q856">
        <v>0</v>
      </c>
      <c r="R856">
        <v>652.33981962735299</v>
      </c>
      <c r="S856">
        <v>0</v>
      </c>
      <c r="T856">
        <v>0</v>
      </c>
      <c r="U856">
        <v>0</v>
      </c>
      <c r="V856">
        <v>55708.097458292199</v>
      </c>
      <c r="W856">
        <v>0</v>
      </c>
      <c r="X856">
        <v>0</v>
      </c>
      <c r="Y856">
        <v>56360.437277919555</v>
      </c>
      <c r="Z856">
        <v>3899.5668220804541</v>
      </c>
      <c r="AA856">
        <v>60260.004100000006</v>
      </c>
      <c r="AB856" t="s">
        <v>242</v>
      </c>
      <c r="AC856">
        <v>10</v>
      </c>
      <c r="AD856">
        <v>24500</v>
      </c>
      <c r="AE856">
        <v>0</v>
      </c>
      <c r="AF856">
        <v>0</v>
      </c>
      <c r="AG856">
        <v>1583.9848480130047</v>
      </c>
      <c r="AH856" t="s">
        <v>58</v>
      </c>
    </row>
    <row r="857" spans="1:34" x14ac:dyDescent="0.3">
      <c r="A857" t="s">
        <v>798</v>
      </c>
      <c r="B857">
        <v>52200247</v>
      </c>
      <c r="C857">
        <v>23477201</v>
      </c>
      <c r="D857" t="s">
        <v>135</v>
      </c>
      <c r="E857" t="s">
        <v>436</v>
      </c>
      <c r="F857" t="s">
        <v>431</v>
      </c>
      <c r="G857" t="s">
        <v>82</v>
      </c>
      <c r="H857" t="s">
        <v>83</v>
      </c>
      <c r="J857" t="s">
        <v>52</v>
      </c>
      <c r="K857" s="15">
        <v>1000</v>
      </c>
      <c r="L857" s="15">
        <v>0</v>
      </c>
      <c r="M857" s="13">
        <v>45145</v>
      </c>
      <c r="O857">
        <v>0</v>
      </c>
      <c r="P857">
        <v>0</v>
      </c>
      <c r="Q857">
        <v>0</v>
      </c>
      <c r="R857">
        <v>631.08294286905846</v>
      </c>
      <c r="S857">
        <v>8435.7480628265439</v>
      </c>
      <c r="T857">
        <v>0</v>
      </c>
      <c r="U857">
        <v>0</v>
      </c>
      <c r="V857">
        <v>46605.297542143431</v>
      </c>
      <c r="W857">
        <v>0</v>
      </c>
      <c r="X857">
        <v>0</v>
      </c>
      <c r="Y857">
        <v>55672.128547839035</v>
      </c>
      <c r="Z857">
        <v>3852.8731923478986</v>
      </c>
      <c r="AA857">
        <v>59525.001740186934</v>
      </c>
      <c r="AB857" t="s">
        <v>242</v>
      </c>
      <c r="AC857">
        <v>3</v>
      </c>
      <c r="AD857">
        <v>14000</v>
      </c>
      <c r="AE857">
        <v>0</v>
      </c>
      <c r="AF857">
        <v>0</v>
      </c>
      <c r="AG857">
        <v>905.36056635592035</v>
      </c>
      <c r="AH857" t="s">
        <v>58</v>
      </c>
    </row>
    <row r="858" spans="1:34" x14ac:dyDescent="0.3">
      <c r="A858" t="s">
        <v>798</v>
      </c>
      <c r="B858">
        <v>52200619</v>
      </c>
      <c r="C858">
        <v>6102060118</v>
      </c>
      <c r="D858" t="s">
        <v>138</v>
      </c>
      <c r="E858" t="s">
        <v>437</v>
      </c>
      <c r="F858" t="s">
        <v>431</v>
      </c>
      <c r="G858" t="s">
        <v>82</v>
      </c>
      <c r="H858" t="s">
        <v>83</v>
      </c>
      <c r="J858" t="s">
        <v>52</v>
      </c>
      <c r="K858" s="15">
        <v>800</v>
      </c>
      <c r="L858" s="15">
        <v>0</v>
      </c>
      <c r="M858" s="13">
        <v>45145</v>
      </c>
      <c r="O858">
        <v>0</v>
      </c>
      <c r="P858">
        <v>0</v>
      </c>
      <c r="Q858">
        <v>0</v>
      </c>
      <c r="R858">
        <v>0</v>
      </c>
      <c r="S858">
        <v>3014.6542056074768</v>
      </c>
      <c r="T858">
        <v>0</v>
      </c>
      <c r="U858">
        <v>0</v>
      </c>
      <c r="V858">
        <v>10196.728971962617</v>
      </c>
      <c r="W858">
        <v>0</v>
      </c>
      <c r="X858">
        <v>0</v>
      </c>
      <c r="Y858">
        <v>13211.383177570093</v>
      </c>
      <c r="Z858">
        <v>924.79682242990657</v>
      </c>
      <c r="AA858">
        <v>14136.18</v>
      </c>
      <c r="AB858" t="s">
        <v>242</v>
      </c>
      <c r="AC858">
        <v>7</v>
      </c>
      <c r="AD858">
        <v>3800</v>
      </c>
      <c r="AE858">
        <v>0</v>
      </c>
      <c r="AF858">
        <v>0</v>
      </c>
      <c r="AG858">
        <v>248.59813084112147</v>
      </c>
      <c r="AH858" t="s">
        <v>58</v>
      </c>
    </row>
    <row r="859" spans="1:34" x14ac:dyDescent="0.3">
      <c r="A859" t="s">
        <v>798</v>
      </c>
      <c r="B859">
        <v>52200005</v>
      </c>
      <c r="C859" t="s">
        <v>634</v>
      </c>
      <c r="D859" t="s">
        <v>633</v>
      </c>
      <c r="E859" t="s">
        <v>435</v>
      </c>
      <c r="F859" t="s">
        <v>431</v>
      </c>
      <c r="G859" t="s">
        <v>230</v>
      </c>
      <c r="H859" t="s">
        <v>231</v>
      </c>
      <c r="J859" t="s">
        <v>52</v>
      </c>
      <c r="K859" s="15">
        <v>1000</v>
      </c>
      <c r="M859" s="13">
        <v>45145</v>
      </c>
      <c r="O859">
        <v>4255.5272912010278</v>
      </c>
      <c r="P859">
        <v>0</v>
      </c>
      <c r="Q859">
        <v>0</v>
      </c>
      <c r="R859">
        <v>0</v>
      </c>
      <c r="S859">
        <v>0</v>
      </c>
      <c r="T859">
        <v>13779.881036260722</v>
      </c>
      <c r="U859">
        <v>0</v>
      </c>
      <c r="V859">
        <v>0</v>
      </c>
      <c r="W859">
        <v>39636.775700934581</v>
      </c>
      <c r="X859">
        <v>0</v>
      </c>
      <c r="Y859">
        <v>57672.184028396332</v>
      </c>
      <c r="Z859">
        <v>3739.1659716036711</v>
      </c>
      <c r="AA859">
        <v>61411.350000000006</v>
      </c>
      <c r="AB859" t="s">
        <v>242</v>
      </c>
      <c r="AC859">
        <v>5</v>
      </c>
      <c r="AD859">
        <v>8000</v>
      </c>
      <c r="AE859">
        <v>0</v>
      </c>
      <c r="AF859">
        <v>0</v>
      </c>
      <c r="AG859">
        <v>492.82500887271271</v>
      </c>
      <c r="AH859" t="s">
        <v>58</v>
      </c>
    </row>
    <row r="860" spans="1:34" x14ac:dyDescent="0.3">
      <c r="A860" t="s">
        <v>798</v>
      </c>
      <c r="B860">
        <v>52201571</v>
      </c>
      <c r="C860">
        <v>25111736</v>
      </c>
      <c r="D860" t="s">
        <v>161</v>
      </c>
      <c r="E860" t="s">
        <v>438</v>
      </c>
      <c r="F860" t="s">
        <v>431</v>
      </c>
      <c r="G860" t="s">
        <v>82</v>
      </c>
      <c r="H860" t="s">
        <v>83</v>
      </c>
      <c r="J860" t="s">
        <v>52</v>
      </c>
      <c r="K860" s="15">
        <v>1000</v>
      </c>
      <c r="L860" s="15">
        <v>0</v>
      </c>
      <c r="M860" s="13">
        <v>45146</v>
      </c>
      <c r="O860">
        <v>0</v>
      </c>
      <c r="P860">
        <v>0</v>
      </c>
      <c r="Q860">
        <v>0</v>
      </c>
      <c r="R860">
        <v>880.79636712830222</v>
      </c>
      <c r="S860">
        <v>33495.081003513267</v>
      </c>
      <c r="T860">
        <v>0</v>
      </c>
      <c r="U860">
        <v>0</v>
      </c>
      <c r="V860">
        <v>52010.71595270362</v>
      </c>
      <c r="W860">
        <v>0</v>
      </c>
      <c r="X860">
        <v>0</v>
      </c>
      <c r="Y860">
        <v>86386.59332334518</v>
      </c>
      <c r="Z860">
        <v>5985.4057869351827</v>
      </c>
      <c r="AA860">
        <v>92371.999110280361</v>
      </c>
      <c r="AB860" t="s">
        <v>242</v>
      </c>
      <c r="AC860">
        <v>1</v>
      </c>
      <c r="AD860">
        <v>1000</v>
      </c>
      <c r="AE860">
        <v>0</v>
      </c>
      <c r="AF860">
        <v>0</v>
      </c>
      <c r="AG860">
        <v>64.753033363533746</v>
      </c>
      <c r="AH860" t="s">
        <v>72</v>
      </c>
    </row>
    <row r="861" spans="1:34" x14ac:dyDescent="0.3">
      <c r="A861" t="s">
        <v>798</v>
      </c>
      <c r="B861">
        <v>4132300375</v>
      </c>
      <c r="C861">
        <v>1010227956</v>
      </c>
      <c r="D861" t="s">
        <v>175</v>
      </c>
      <c r="E861" t="s">
        <v>441</v>
      </c>
      <c r="F861" t="s">
        <v>430</v>
      </c>
      <c r="G861" t="s">
        <v>233</v>
      </c>
      <c r="H861" t="s">
        <v>231</v>
      </c>
      <c r="J861" t="s">
        <v>52</v>
      </c>
      <c r="K861" s="15">
        <v>2000</v>
      </c>
      <c r="L861" s="15">
        <v>0</v>
      </c>
      <c r="M861" s="13">
        <v>45146</v>
      </c>
      <c r="O861">
        <v>0</v>
      </c>
      <c r="P861">
        <v>2510.9152339825159</v>
      </c>
      <c r="Q861">
        <v>0</v>
      </c>
      <c r="R861">
        <v>0</v>
      </c>
      <c r="S861">
        <v>15778.047945205479</v>
      </c>
      <c r="T861">
        <v>4756.1539869322287</v>
      </c>
      <c r="U861">
        <v>0</v>
      </c>
      <c r="V861">
        <v>0</v>
      </c>
      <c r="W861">
        <v>0</v>
      </c>
      <c r="X861">
        <v>0</v>
      </c>
      <c r="Y861">
        <v>23045.117166120224</v>
      </c>
      <c r="Z861">
        <v>332.93077908525606</v>
      </c>
      <c r="AA861">
        <v>23378.047945205479</v>
      </c>
      <c r="AB861" t="s">
        <v>242</v>
      </c>
      <c r="AC861">
        <v>1</v>
      </c>
      <c r="AD861">
        <v>2000</v>
      </c>
      <c r="AE861">
        <v>0</v>
      </c>
      <c r="AF861">
        <v>0</v>
      </c>
      <c r="AG861">
        <v>26.882305026893562</v>
      </c>
      <c r="AH861" t="s">
        <v>72</v>
      </c>
    </row>
    <row r="862" spans="1:34" x14ac:dyDescent="0.3">
      <c r="A862" t="s">
        <v>798</v>
      </c>
      <c r="B862">
        <v>4132300357</v>
      </c>
      <c r="C862" t="s">
        <v>467</v>
      </c>
      <c r="D862" t="s">
        <v>540</v>
      </c>
      <c r="E862" t="s">
        <v>441</v>
      </c>
      <c r="F862" t="s">
        <v>430</v>
      </c>
      <c r="G862" t="s">
        <v>235</v>
      </c>
      <c r="H862" t="s">
        <v>236</v>
      </c>
      <c r="J862" t="s">
        <v>416</v>
      </c>
      <c r="K862" s="15">
        <v>0.3302137810808331</v>
      </c>
      <c r="L862" s="15">
        <v>0</v>
      </c>
      <c r="M862" s="13">
        <v>45146</v>
      </c>
      <c r="O862">
        <v>0</v>
      </c>
      <c r="P862">
        <v>0</v>
      </c>
      <c r="Q862">
        <v>0</v>
      </c>
      <c r="R862">
        <v>0</v>
      </c>
      <c r="S862">
        <v>49298.100743187446</v>
      </c>
      <c r="T862">
        <v>0</v>
      </c>
      <c r="U862">
        <v>0</v>
      </c>
      <c r="V862">
        <v>140842.89650169399</v>
      </c>
      <c r="W862">
        <v>0</v>
      </c>
      <c r="X862">
        <v>0</v>
      </c>
      <c r="Y862">
        <v>190140.99724488144</v>
      </c>
      <c r="Z862">
        <v>9859.0027551185794</v>
      </c>
      <c r="AA862">
        <v>200000.00000000003</v>
      </c>
      <c r="AB862" t="s">
        <v>242</v>
      </c>
      <c r="AC862">
        <v>0</v>
      </c>
      <c r="AD862">
        <v>0</v>
      </c>
      <c r="AE862">
        <v>0</v>
      </c>
      <c r="AF862">
        <v>0</v>
      </c>
      <c r="AG862">
        <v>0</v>
      </c>
      <c r="AH862" t="s">
        <v>72</v>
      </c>
    </row>
    <row r="863" spans="1:34" x14ac:dyDescent="0.3">
      <c r="A863" t="s">
        <v>798</v>
      </c>
      <c r="B863">
        <v>4132300357</v>
      </c>
      <c r="C863" t="s">
        <v>467</v>
      </c>
      <c r="D863" t="s">
        <v>540</v>
      </c>
      <c r="E863" t="s">
        <v>441</v>
      </c>
      <c r="F863" t="s">
        <v>430</v>
      </c>
      <c r="G863" t="s">
        <v>418</v>
      </c>
      <c r="H863" t="s">
        <v>236</v>
      </c>
      <c r="J863" t="s">
        <v>52</v>
      </c>
      <c r="K863" s="15">
        <v>200000</v>
      </c>
      <c r="L863" s="15">
        <v>0</v>
      </c>
      <c r="M863" s="13">
        <v>45146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">
        <v>242</v>
      </c>
      <c r="AC863">
        <v>1</v>
      </c>
      <c r="AD863">
        <v>200000</v>
      </c>
      <c r="AE863">
        <v>0</v>
      </c>
      <c r="AF863">
        <v>0</v>
      </c>
      <c r="AG863">
        <v>9859.0027551185922</v>
      </c>
      <c r="AH863" t="s">
        <v>58</v>
      </c>
    </row>
    <row r="864" spans="1:34" x14ac:dyDescent="0.3">
      <c r="A864" t="s">
        <v>798</v>
      </c>
      <c r="B864">
        <v>4142300518</v>
      </c>
      <c r="C864" t="s">
        <v>493</v>
      </c>
      <c r="D864" t="s">
        <v>565</v>
      </c>
      <c r="E864" t="s">
        <v>445</v>
      </c>
      <c r="F864" t="s">
        <v>430</v>
      </c>
      <c r="G864" t="s">
        <v>421</v>
      </c>
      <c r="H864" t="s">
        <v>234</v>
      </c>
      <c r="J864" t="s">
        <v>52</v>
      </c>
      <c r="K864" s="15">
        <v>530000</v>
      </c>
      <c r="L864" s="15">
        <v>0</v>
      </c>
      <c r="M864" s="13">
        <v>45146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">
        <v>242</v>
      </c>
      <c r="AC864">
        <v>1</v>
      </c>
      <c r="AD864">
        <v>530000</v>
      </c>
      <c r="AE864">
        <v>0</v>
      </c>
      <c r="AF864">
        <v>0</v>
      </c>
      <c r="AG864">
        <v>34672.897196261678</v>
      </c>
      <c r="AH864" t="s">
        <v>58</v>
      </c>
    </row>
    <row r="865" spans="1:34" x14ac:dyDescent="0.3">
      <c r="A865" t="s">
        <v>798</v>
      </c>
      <c r="B865">
        <v>42201151</v>
      </c>
      <c r="C865">
        <v>2759024152</v>
      </c>
      <c r="D865" t="s">
        <v>830</v>
      </c>
      <c r="E865" t="s">
        <v>439</v>
      </c>
      <c r="F865" t="s">
        <v>430</v>
      </c>
      <c r="G865" t="s">
        <v>230</v>
      </c>
      <c r="H865" t="s">
        <v>234</v>
      </c>
      <c r="J865" t="s">
        <v>52</v>
      </c>
      <c r="K865" s="15">
        <v>1500</v>
      </c>
      <c r="L865" s="15">
        <v>0</v>
      </c>
      <c r="M865" s="13">
        <v>45147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317418.25233644858</v>
      </c>
      <c r="Y865">
        <v>317418.25233644858</v>
      </c>
      <c r="Z865">
        <v>22219.277663551402</v>
      </c>
      <c r="AA865">
        <v>339637.52999999997</v>
      </c>
      <c r="AB865" t="s">
        <v>242</v>
      </c>
      <c r="AC865">
        <v>8</v>
      </c>
      <c r="AD865">
        <v>10500</v>
      </c>
      <c r="AE865">
        <v>0</v>
      </c>
      <c r="AF865">
        <v>0</v>
      </c>
      <c r="AG865">
        <v>686.91588785046793</v>
      </c>
      <c r="AH865" t="s">
        <v>58</v>
      </c>
    </row>
    <row r="866" spans="1:34" x14ac:dyDescent="0.3">
      <c r="A866" t="s">
        <v>798</v>
      </c>
      <c r="B866">
        <v>52201007</v>
      </c>
      <c r="C866">
        <v>25682794</v>
      </c>
      <c r="D866" t="s">
        <v>868</v>
      </c>
      <c r="E866" t="s">
        <v>438</v>
      </c>
      <c r="F866" t="s">
        <v>431</v>
      </c>
      <c r="G866" t="s">
        <v>82</v>
      </c>
      <c r="H866" t="s">
        <v>83</v>
      </c>
      <c r="J866" t="s">
        <v>52</v>
      </c>
      <c r="K866" s="15">
        <v>1587</v>
      </c>
      <c r="L866" s="15">
        <v>0</v>
      </c>
      <c r="M866" s="13">
        <v>45148</v>
      </c>
      <c r="O866">
        <v>0</v>
      </c>
      <c r="P866">
        <v>0</v>
      </c>
      <c r="Q866">
        <v>0</v>
      </c>
      <c r="R866">
        <v>1067.2551211036784</v>
      </c>
      <c r="S866">
        <v>36852.913255166284</v>
      </c>
      <c r="T866">
        <v>0</v>
      </c>
      <c r="U866">
        <v>0</v>
      </c>
      <c r="V866">
        <v>58098.249805478597</v>
      </c>
      <c r="W866">
        <v>0</v>
      </c>
      <c r="X866">
        <v>0</v>
      </c>
      <c r="Y866">
        <v>96018.418181748566</v>
      </c>
      <c r="Z866">
        <v>6646.5814142451418</v>
      </c>
      <c r="AA866">
        <v>102664.99959599371</v>
      </c>
      <c r="AB866" t="s">
        <v>242</v>
      </c>
      <c r="AC866">
        <v>4</v>
      </c>
      <c r="AD866">
        <v>6348</v>
      </c>
      <c r="AE866">
        <v>0</v>
      </c>
      <c r="AF866">
        <v>0</v>
      </c>
      <c r="AG866">
        <v>410.66154997874537</v>
      </c>
      <c r="AH866" t="s">
        <v>58</v>
      </c>
    </row>
    <row r="867" spans="1:34" x14ac:dyDescent="0.3">
      <c r="A867" t="s">
        <v>798</v>
      </c>
      <c r="B867">
        <v>4132300777</v>
      </c>
      <c r="C867">
        <v>9010149484</v>
      </c>
      <c r="D867" t="s">
        <v>907</v>
      </c>
      <c r="E867" t="s">
        <v>441</v>
      </c>
      <c r="F867" t="s">
        <v>430</v>
      </c>
      <c r="G867" t="s">
        <v>233</v>
      </c>
      <c r="H867" t="s">
        <v>231</v>
      </c>
      <c r="J867" t="s">
        <v>52</v>
      </c>
      <c r="K867" s="15">
        <v>1000</v>
      </c>
      <c r="L867" s="15">
        <v>0</v>
      </c>
      <c r="M867" s="13">
        <v>45148</v>
      </c>
      <c r="O867">
        <v>0</v>
      </c>
      <c r="P867">
        <v>3719.1769451082632</v>
      </c>
      <c r="Q867">
        <v>0</v>
      </c>
      <c r="R867">
        <v>0</v>
      </c>
      <c r="S867">
        <v>55105.479452054795</v>
      </c>
      <c r="T867">
        <v>95683.0122008334</v>
      </c>
      <c r="U867">
        <v>0</v>
      </c>
      <c r="V867">
        <v>0</v>
      </c>
      <c r="W867">
        <v>0</v>
      </c>
      <c r="X867">
        <v>0</v>
      </c>
      <c r="Y867">
        <v>154507.66859799647</v>
      </c>
      <c r="Z867">
        <v>6697.8108540583389</v>
      </c>
      <c r="AA867">
        <v>161205.4794520548</v>
      </c>
      <c r="AB867" t="s">
        <v>242</v>
      </c>
      <c r="AC867">
        <v>1</v>
      </c>
      <c r="AD867">
        <v>1000</v>
      </c>
      <c r="AE867">
        <v>0</v>
      </c>
      <c r="AF867">
        <v>0</v>
      </c>
      <c r="AG867">
        <v>40.506902951007874</v>
      </c>
      <c r="AH867" t="s">
        <v>72</v>
      </c>
    </row>
    <row r="868" spans="1:34" x14ac:dyDescent="0.3">
      <c r="A868" t="s">
        <v>798</v>
      </c>
      <c r="B868">
        <v>4142300652</v>
      </c>
      <c r="C868">
        <v>10289270</v>
      </c>
      <c r="D868" t="s">
        <v>203</v>
      </c>
      <c r="E868" t="s">
        <v>445</v>
      </c>
      <c r="F868" t="s">
        <v>430</v>
      </c>
      <c r="G868" t="s">
        <v>237</v>
      </c>
      <c r="H868" t="s">
        <v>234</v>
      </c>
      <c r="J868" t="s">
        <v>52</v>
      </c>
      <c r="K868" s="15">
        <v>5000</v>
      </c>
      <c r="L868" s="15">
        <v>0</v>
      </c>
      <c r="M868" s="13">
        <v>45148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53525.233644859814</v>
      </c>
      <c r="Y868">
        <v>53525.233644859814</v>
      </c>
      <c r="Z868">
        <v>3746.7663551401874</v>
      </c>
      <c r="AA868">
        <v>57272</v>
      </c>
      <c r="AB868" t="s">
        <v>242</v>
      </c>
      <c r="AC868">
        <v>1</v>
      </c>
      <c r="AD868">
        <v>5000</v>
      </c>
      <c r="AE868">
        <v>0</v>
      </c>
      <c r="AF868">
        <v>0</v>
      </c>
      <c r="AG868">
        <v>327.10280373831756</v>
      </c>
      <c r="AH868" t="s">
        <v>72</v>
      </c>
    </row>
    <row r="869" spans="1:34" x14ac:dyDescent="0.3">
      <c r="A869" t="s">
        <v>798</v>
      </c>
      <c r="B869">
        <v>4302300029</v>
      </c>
      <c r="C869">
        <v>901014004279</v>
      </c>
      <c r="D869" t="s">
        <v>226</v>
      </c>
      <c r="E869" t="s">
        <v>447</v>
      </c>
      <c r="F869" t="s">
        <v>433</v>
      </c>
      <c r="G869" t="s">
        <v>82</v>
      </c>
      <c r="H869" t="s">
        <v>83</v>
      </c>
      <c r="J869" t="s">
        <v>52</v>
      </c>
      <c r="K869" s="15">
        <v>4000</v>
      </c>
      <c r="L869" s="15">
        <v>0</v>
      </c>
      <c r="M869" s="13">
        <v>45148</v>
      </c>
      <c r="O869">
        <v>0</v>
      </c>
      <c r="P869">
        <v>0</v>
      </c>
      <c r="Q869">
        <v>25909.060427813925</v>
      </c>
      <c r="R869">
        <v>17136.900000000001</v>
      </c>
      <c r="S869">
        <v>74744.224646902891</v>
      </c>
      <c r="T869">
        <v>0</v>
      </c>
      <c r="U869">
        <v>0</v>
      </c>
      <c r="V869">
        <v>332423.83</v>
      </c>
      <c r="W869">
        <v>0</v>
      </c>
      <c r="X869">
        <v>0</v>
      </c>
      <c r="Y869">
        <v>450214.01507471682</v>
      </c>
      <c r="Z869">
        <v>28501.763825283204</v>
      </c>
      <c r="AA869">
        <v>478715.77890000003</v>
      </c>
      <c r="AB869" t="s">
        <v>242</v>
      </c>
      <c r="AC869">
        <v>2</v>
      </c>
      <c r="AD869">
        <v>8000</v>
      </c>
      <c r="AE869">
        <v>0</v>
      </c>
      <c r="AF869">
        <v>0</v>
      </c>
      <c r="AG869">
        <v>473.28507471679859</v>
      </c>
      <c r="AH869" t="s">
        <v>58</v>
      </c>
    </row>
    <row r="870" spans="1:34" x14ac:dyDescent="0.3">
      <c r="A870" t="s">
        <v>798</v>
      </c>
      <c r="B870">
        <v>4302300031</v>
      </c>
      <c r="C870">
        <v>901014009726</v>
      </c>
      <c r="D870" t="s">
        <v>226</v>
      </c>
      <c r="E870" t="s">
        <v>447</v>
      </c>
      <c r="F870" t="s">
        <v>433</v>
      </c>
      <c r="G870" t="s">
        <v>82</v>
      </c>
      <c r="H870" t="s">
        <v>83</v>
      </c>
      <c r="J870" t="s">
        <v>52</v>
      </c>
      <c r="K870" s="15">
        <v>4500</v>
      </c>
      <c r="L870" s="15">
        <v>0</v>
      </c>
      <c r="M870" s="13">
        <v>45148</v>
      </c>
      <c r="O870">
        <v>0</v>
      </c>
      <c r="P870">
        <v>0</v>
      </c>
      <c r="Q870">
        <v>25942.944379015051</v>
      </c>
      <c r="R870">
        <v>17745.22</v>
      </c>
      <c r="S870">
        <v>77950.654318677523</v>
      </c>
      <c r="T870">
        <v>0</v>
      </c>
      <c r="U870">
        <v>0</v>
      </c>
      <c r="V870">
        <v>367732.35</v>
      </c>
      <c r="W870">
        <v>0</v>
      </c>
      <c r="X870">
        <v>0</v>
      </c>
      <c r="Y870">
        <v>489371.16869769257</v>
      </c>
      <c r="Z870">
        <v>31197.810302307425</v>
      </c>
      <c r="AA870">
        <v>520568.97899999999</v>
      </c>
      <c r="AB870" t="s">
        <v>242</v>
      </c>
      <c r="AC870">
        <v>2</v>
      </c>
      <c r="AD870">
        <v>9000</v>
      </c>
      <c r="AE870">
        <v>0</v>
      </c>
      <c r="AF870">
        <v>0</v>
      </c>
      <c r="AG870">
        <v>536.17869769257368</v>
      </c>
      <c r="AH870" t="s">
        <v>58</v>
      </c>
    </row>
    <row r="871" spans="1:34" x14ac:dyDescent="0.3">
      <c r="A871" t="s">
        <v>798</v>
      </c>
      <c r="B871">
        <v>4302300032</v>
      </c>
      <c r="C871">
        <v>901014009730</v>
      </c>
      <c r="D871" t="s">
        <v>226</v>
      </c>
      <c r="E871" t="s">
        <v>447</v>
      </c>
      <c r="F871" t="s">
        <v>433</v>
      </c>
      <c r="G871" t="s">
        <v>82</v>
      </c>
      <c r="H871" t="s">
        <v>83</v>
      </c>
      <c r="J871" t="s">
        <v>52</v>
      </c>
      <c r="K871" s="15">
        <v>4500</v>
      </c>
      <c r="L871" s="15">
        <v>0</v>
      </c>
      <c r="M871" s="13">
        <v>45148</v>
      </c>
      <c r="O871">
        <v>0</v>
      </c>
      <c r="P871">
        <v>0</v>
      </c>
      <c r="Q871">
        <v>25915.454449600282</v>
      </c>
      <c r="R871">
        <v>16879.09</v>
      </c>
      <c r="S871">
        <v>77995.389953644582</v>
      </c>
      <c r="T871">
        <v>0</v>
      </c>
      <c r="U871">
        <v>0</v>
      </c>
      <c r="V871">
        <v>367159.58</v>
      </c>
      <c r="W871">
        <v>0</v>
      </c>
      <c r="X871">
        <v>0</v>
      </c>
      <c r="Y871">
        <v>487949.51440324489</v>
      </c>
      <c r="Z871">
        <v>31160.847896755127</v>
      </c>
      <c r="AA871">
        <v>519110.36230000004</v>
      </c>
      <c r="AB871" t="s">
        <v>242</v>
      </c>
      <c r="AC871">
        <v>2</v>
      </c>
      <c r="AD871">
        <v>9000</v>
      </c>
      <c r="AE871">
        <v>0</v>
      </c>
      <c r="AF871">
        <v>0</v>
      </c>
      <c r="AG871">
        <v>537.10440324487854</v>
      </c>
      <c r="AH871" t="s">
        <v>58</v>
      </c>
    </row>
    <row r="872" spans="1:34" x14ac:dyDescent="0.3">
      <c r="A872" t="s">
        <v>798</v>
      </c>
      <c r="B872">
        <v>4302300033</v>
      </c>
      <c r="C872">
        <v>901015003340</v>
      </c>
      <c r="D872" t="s">
        <v>226</v>
      </c>
      <c r="E872" t="s">
        <v>447</v>
      </c>
      <c r="F872" t="s">
        <v>433</v>
      </c>
      <c r="G872" t="s">
        <v>82</v>
      </c>
      <c r="H872" t="s">
        <v>83</v>
      </c>
      <c r="J872" t="s">
        <v>52</v>
      </c>
      <c r="K872" s="15">
        <v>15000</v>
      </c>
      <c r="L872" s="15">
        <v>0</v>
      </c>
      <c r="M872" s="13">
        <v>45148</v>
      </c>
      <c r="O872">
        <v>0</v>
      </c>
      <c r="P872">
        <v>0</v>
      </c>
      <c r="Q872">
        <v>87535.491096546291</v>
      </c>
      <c r="R872">
        <v>40974.17</v>
      </c>
      <c r="S872">
        <v>235276.14570416237</v>
      </c>
      <c r="T872">
        <v>0</v>
      </c>
      <c r="U872">
        <v>0</v>
      </c>
      <c r="V872">
        <v>1237914.08</v>
      </c>
      <c r="W872">
        <v>0</v>
      </c>
      <c r="X872">
        <v>0</v>
      </c>
      <c r="Y872">
        <v>1601699.8868007087</v>
      </c>
      <c r="Z872">
        <v>103123.31579929138</v>
      </c>
      <c r="AA872">
        <v>1704823.2026000002</v>
      </c>
      <c r="AB872" t="s">
        <v>242</v>
      </c>
      <c r="AC872">
        <v>2</v>
      </c>
      <c r="AD872">
        <v>30000</v>
      </c>
      <c r="AE872">
        <v>0</v>
      </c>
      <c r="AF872">
        <v>0</v>
      </c>
      <c r="AG872">
        <v>1805.0168007086359</v>
      </c>
      <c r="AH872" t="s">
        <v>58</v>
      </c>
    </row>
    <row r="873" spans="1:34" x14ac:dyDescent="0.3">
      <c r="A873" t="s">
        <v>798</v>
      </c>
      <c r="B873">
        <v>4302300034</v>
      </c>
      <c r="C873">
        <v>901015004122</v>
      </c>
      <c r="D873" t="s">
        <v>226</v>
      </c>
      <c r="E873" t="s">
        <v>447</v>
      </c>
      <c r="F873" t="s">
        <v>433</v>
      </c>
      <c r="G873" t="s">
        <v>82</v>
      </c>
      <c r="H873" t="s">
        <v>83</v>
      </c>
      <c r="J873" t="s">
        <v>52</v>
      </c>
      <c r="K873" s="15">
        <v>13000</v>
      </c>
      <c r="L873" s="15">
        <v>0</v>
      </c>
      <c r="M873" s="13">
        <v>45148</v>
      </c>
      <c r="O873">
        <v>0</v>
      </c>
      <c r="P873">
        <v>0</v>
      </c>
      <c r="Q873">
        <v>78059.163860536995</v>
      </c>
      <c r="R873">
        <v>28517.54</v>
      </c>
      <c r="S873">
        <v>208910.46826118039</v>
      </c>
      <c r="T873">
        <v>0</v>
      </c>
      <c r="U873">
        <v>0</v>
      </c>
      <c r="V873">
        <v>1103651.04</v>
      </c>
      <c r="W873">
        <v>0</v>
      </c>
      <c r="X873">
        <v>0</v>
      </c>
      <c r="Y873">
        <v>1419138.2121217174</v>
      </c>
      <c r="Z873">
        <v>91879.305578282641</v>
      </c>
      <c r="AA873">
        <v>1511017.5177</v>
      </c>
      <c r="AB873" t="s">
        <v>242</v>
      </c>
      <c r="AC873">
        <v>1</v>
      </c>
      <c r="AD873">
        <v>13000</v>
      </c>
      <c r="AE873">
        <v>0</v>
      </c>
      <c r="AF873">
        <v>0</v>
      </c>
      <c r="AG873">
        <v>786.56212171737388</v>
      </c>
      <c r="AH873" t="s">
        <v>72</v>
      </c>
    </row>
    <row r="874" spans="1:34" x14ac:dyDescent="0.3">
      <c r="A874" t="s">
        <v>798</v>
      </c>
      <c r="B874">
        <v>4302300035</v>
      </c>
      <c r="C874">
        <v>901015004175</v>
      </c>
      <c r="D874" t="s">
        <v>226</v>
      </c>
      <c r="E874" t="s">
        <v>447</v>
      </c>
      <c r="F874" t="s">
        <v>433</v>
      </c>
      <c r="G874" t="s">
        <v>82</v>
      </c>
      <c r="H874" t="s">
        <v>83</v>
      </c>
      <c r="J874" t="s">
        <v>52</v>
      </c>
      <c r="K874" s="15">
        <v>12000</v>
      </c>
      <c r="L874" s="15">
        <v>0</v>
      </c>
      <c r="M874" s="13">
        <v>45148</v>
      </c>
      <c r="O874">
        <v>0</v>
      </c>
      <c r="P874">
        <v>0</v>
      </c>
      <c r="Q874">
        <v>69890.976196894946</v>
      </c>
      <c r="R874">
        <v>21447.41</v>
      </c>
      <c r="S874">
        <v>165158.04280664024</v>
      </c>
      <c r="T874">
        <v>0</v>
      </c>
      <c r="U874">
        <v>0</v>
      </c>
      <c r="V874">
        <v>988232.46</v>
      </c>
      <c r="W874">
        <v>0</v>
      </c>
      <c r="X874">
        <v>0</v>
      </c>
      <c r="Y874">
        <v>1244728.8890035353</v>
      </c>
      <c r="Z874">
        <v>80737.335196464817</v>
      </c>
      <c r="AA874">
        <v>1325466.2242000001</v>
      </c>
      <c r="AB874" t="s">
        <v>242</v>
      </c>
      <c r="AC874">
        <v>2</v>
      </c>
      <c r="AD874">
        <v>24000</v>
      </c>
      <c r="AE874">
        <v>0</v>
      </c>
      <c r="AF874">
        <v>0</v>
      </c>
      <c r="AG874">
        <v>1454.7790035351827</v>
      </c>
      <c r="AH874" t="s">
        <v>58</v>
      </c>
    </row>
    <row r="875" spans="1:34" x14ac:dyDescent="0.3">
      <c r="A875" t="s">
        <v>798</v>
      </c>
      <c r="B875">
        <v>4302300037</v>
      </c>
      <c r="C875">
        <v>901016002166</v>
      </c>
      <c r="D875" t="s">
        <v>226</v>
      </c>
      <c r="E875" t="s">
        <v>447</v>
      </c>
      <c r="F875" t="s">
        <v>433</v>
      </c>
      <c r="G875" t="s">
        <v>82</v>
      </c>
      <c r="H875" t="s">
        <v>83</v>
      </c>
      <c r="J875" t="s">
        <v>52</v>
      </c>
      <c r="K875" s="15">
        <v>25000</v>
      </c>
      <c r="L875" s="15">
        <v>0</v>
      </c>
      <c r="M875" s="13">
        <v>45148</v>
      </c>
      <c r="O875">
        <v>0</v>
      </c>
      <c r="P875">
        <v>0</v>
      </c>
      <c r="Q875">
        <v>286734.21186358976</v>
      </c>
      <c r="R875">
        <v>131054.42</v>
      </c>
      <c r="S875">
        <v>608694.72311814036</v>
      </c>
      <c r="T875">
        <v>0</v>
      </c>
      <c r="U875">
        <v>0</v>
      </c>
      <c r="V875">
        <v>4045543.13</v>
      </c>
      <c r="W875">
        <v>0</v>
      </c>
      <c r="X875">
        <v>0</v>
      </c>
      <c r="Y875">
        <v>5072026.4849817296</v>
      </c>
      <c r="Z875">
        <v>325796.64971826982</v>
      </c>
      <c r="AA875">
        <v>5397823.1346999994</v>
      </c>
      <c r="AB875" t="s">
        <v>242</v>
      </c>
      <c r="AC875">
        <v>1</v>
      </c>
      <c r="AD875">
        <v>25000</v>
      </c>
      <c r="AE875">
        <v>0</v>
      </c>
      <c r="AF875">
        <v>0</v>
      </c>
      <c r="AG875">
        <v>1500.7549817301733</v>
      </c>
      <c r="AH875" t="s">
        <v>72</v>
      </c>
    </row>
    <row r="876" spans="1:34" x14ac:dyDescent="0.3">
      <c r="A876" t="s">
        <v>798</v>
      </c>
      <c r="B876">
        <v>4302300038</v>
      </c>
      <c r="C876">
        <v>901016002316</v>
      </c>
      <c r="D876" t="s">
        <v>226</v>
      </c>
      <c r="E876" t="s">
        <v>447</v>
      </c>
      <c r="F876" t="s">
        <v>433</v>
      </c>
      <c r="G876" t="s">
        <v>82</v>
      </c>
      <c r="H876" t="s">
        <v>83</v>
      </c>
      <c r="J876" t="s">
        <v>52</v>
      </c>
      <c r="K876" s="15">
        <v>3700</v>
      </c>
      <c r="L876" s="15">
        <v>0</v>
      </c>
      <c r="M876" s="13">
        <v>45148</v>
      </c>
      <c r="O876">
        <v>0</v>
      </c>
      <c r="P876">
        <v>0</v>
      </c>
      <c r="Q876">
        <v>20226.814606680629</v>
      </c>
      <c r="R876">
        <v>11130.72</v>
      </c>
      <c r="S876">
        <v>39495.484666653618</v>
      </c>
      <c r="T876">
        <v>0</v>
      </c>
      <c r="U876">
        <v>0</v>
      </c>
      <c r="V876">
        <v>290550.83</v>
      </c>
      <c r="W876">
        <v>0</v>
      </c>
      <c r="X876">
        <v>0</v>
      </c>
      <c r="Y876">
        <v>361403.84927333426</v>
      </c>
      <c r="Z876">
        <v>23103.242026665757</v>
      </c>
      <c r="AA876">
        <v>384507.09130000003</v>
      </c>
      <c r="AB876" t="s">
        <v>242</v>
      </c>
      <c r="AC876">
        <v>2</v>
      </c>
      <c r="AD876">
        <v>7400</v>
      </c>
      <c r="AE876">
        <v>0</v>
      </c>
      <c r="AF876">
        <v>0</v>
      </c>
      <c r="AG876">
        <v>442.06927333424665</v>
      </c>
      <c r="AH876" t="s">
        <v>58</v>
      </c>
    </row>
    <row r="877" spans="1:34" x14ac:dyDescent="0.3">
      <c r="A877" t="s">
        <v>798</v>
      </c>
      <c r="B877">
        <v>4302300041</v>
      </c>
      <c r="C877">
        <v>901016004670</v>
      </c>
      <c r="D877" t="s">
        <v>226</v>
      </c>
      <c r="E877" t="s">
        <v>447</v>
      </c>
      <c r="F877" t="s">
        <v>433</v>
      </c>
      <c r="G877" t="s">
        <v>82</v>
      </c>
      <c r="H877" t="s">
        <v>83</v>
      </c>
      <c r="J877" t="s">
        <v>52</v>
      </c>
      <c r="K877" s="15">
        <v>12000</v>
      </c>
      <c r="L877" s="15">
        <v>0</v>
      </c>
      <c r="M877" s="13">
        <v>45148</v>
      </c>
      <c r="O877">
        <v>0</v>
      </c>
      <c r="P877">
        <v>0</v>
      </c>
      <c r="Q877">
        <v>69517.398305930736</v>
      </c>
      <c r="R877">
        <v>26910.12</v>
      </c>
      <c r="S877">
        <v>138403.54485427035</v>
      </c>
      <c r="T877">
        <v>0</v>
      </c>
      <c r="U877">
        <v>0</v>
      </c>
      <c r="V877">
        <v>981107.15</v>
      </c>
      <c r="W877">
        <v>0</v>
      </c>
      <c r="X877">
        <v>0</v>
      </c>
      <c r="Y877">
        <v>1215938.213160201</v>
      </c>
      <c r="Z877">
        <v>78365.748639798941</v>
      </c>
      <c r="AA877">
        <v>1294303.9617999999</v>
      </c>
      <c r="AB877" t="s">
        <v>242</v>
      </c>
      <c r="AC877">
        <v>1</v>
      </c>
      <c r="AD877">
        <v>12000</v>
      </c>
      <c r="AE877">
        <v>0</v>
      </c>
      <c r="AF877">
        <v>0</v>
      </c>
      <c r="AG877">
        <v>722.75316020107675</v>
      </c>
      <c r="AH877" t="s">
        <v>72</v>
      </c>
    </row>
    <row r="878" spans="1:34" x14ac:dyDescent="0.3">
      <c r="A878" t="s">
        <v>798</v>
      </c>
      <c r="B878">
        <v>4302300039</v>
      </c>
      <c r="C878" t="s">
        <v>109</v>
      </c>
      <c r="D878" t="s">
        <v>226</v>
      </c>
      <c r="E878" t="s">
        <v>447</v>
      </c>
      <c r="F878" t="s">
        <v>433</v>
      </c>
      <c r="G878" t="s">
        <v>82</v>
      </c>
      <c r="H878" t="s">
        <v>83</v>
      </c>
      <c r="J878" t="s">
        <v>52</v>
      </c>
      <c r="K878" s="15">
        <v>3000</v>
      </c>
      <c r="L878" s="15">
        <v>0</v>
      </c>
      <c r="M878" s="13">
        <v>45148</v>
      </c>
      <c r="O878">
        <v>0</v>
      </c>
      <c r="P878">
        <v>0</v>
      </c>
      <c r="Q878">
        <v>16945.241525436551</v>
      </c>
      <c r="R878">
        <v>8959.7999999999993</v>
      </c>
      <c r="S878">
        <v>32596.757359405092</v>
      </c>
      <c r="T878">
        <v>0</v>
      </c>
      <c r="U878">
        <v>0</v>
      </c>
      <c r="V878">
        <v>243099.69</v>
      </c>
      <c r="W878">
        <v>0</v>
      </c>
      <c r="X878">
        <v>0</v>
      </c>
      <c r="Y878">
        <v>301601.48888484167</v>
      </c>
      <c r="Z878">
        <v>19298.751315158359</v>
      </c>
      <c r="AA878">
        <v>320900.24020000006</v>
      </c>
      <c r="AB878" t="s">
        <v>242</v>
      </c>
      <c r="AC878">
        <v>2</v>
      </c>
      <c r="AD878">
        <v>6000</v>
      </c>
      <c r="AE878">
        <v>0</v>
      </c>
      <c r="AF878">
        <v>0</v>
      </c>
      <c r="AG878">
        <v>358.7788848416435</v>
      </c>
      <c r="AH878" t="s">
        <v>58</v>
      </c>
    </row>
    <row r="879" spans="1:34" x14ac:dyDescent="0.3">
      <c r="A879" t="s">
        <v>798</v>
      </c>
      <c r="B879">
        <v>4302300040</v>
      </c>
      <c r="C879" t="s">
        <v>109</v>
      </c>
      <c r="D879" t="s">
        <v>226</v>
      </c>
      <c r="E879" t="s">
        <v>447</v>
      </c>
      <c r="F879" t="s">
        <v>433</v>
      </c>
      <c r="G879" t="s">
        <v>82</v>
      </c>
      <c r="H879" t="s">
        <v>83</v>
      </c>
      <c r="J879" t="s">
        <v>52</v>
      </c>
      <c r="K879" s="15">
        <v>3600</v>
      </c>
      <c r="L879" s="15">
        <v>0</v>
      </c>
      <c r="M879" s="13">
        <v>45148</v>
      </c>
      <c r="O879">
        <v>0</v>
      </c>
      <c r="P879">
        <v>0</v>
      </c>
      <c r="Q879">
        <v>20049.138513418002</v>
      </c>
      <c r="R879">
        <v>10168.799999999999</v>
      </c>
      <c r="S879">
        <v>39347.684473441113</v>
      </c>
      <c r="T879">
        <v>0</v>
      </c>
      <c r="U879">
        <v>0</v>
      </c>
      <c r="V879">
        <v>287619.63</v>
      </c>
      <c r="W879">
        <v>0</v>
      </c>
      <c r="X879">
        <v>0</v>
      </c>
      <c r="Y879">
        <v>357185.25298685912</v>
      </c>
      <c r="Z879">
        <v>22887.712013140881</v>
      </c>
      <c r="AA879">
        <v>380072.96500000003</v>
      </c>
      <c r="AB879" t="s">
        <v>242</v>
      </c>
      <c r="AC879">
        <v>2</v>
      </c>
      <c r="AD879">
        <v>7200</v>
      </c>
      <c r="AE879">
        <v>0</v>
      </c>
      <c r="AF879">
        <v>0</v>
      </c>
      <c r="AG879">
        <v>431.14298685912127</v>
      </c>
      <c r="AH879" t="s">
        <v>58</v>
      </c>
    </row>
    <row r="880" spans="1:34" x14ac:dyDescent="0.3">
      <c r="A880" t="s">
        <v>798</v>
      </c>
      <c r="B880">
        <v>52200238</v>
      </c>
      <c r="C880" t="s">
        <v>648</v>
      </c>
      <c r="D880" t="s">
        <v>647</v>
      </c>
      <c r="E880" t="s">
        <v>436</v>
      </c>
      <c r="F880" t="s">
        <v>431</v>
      </c>
      <c r="G880" t="s">
        <v>674</v>
      </c>
      <c r="H880" t="s">
        <v>83</v>
      </c>
      <c r="J880" t="s">
        <v>52</v>
      </c>
      <c r="K880" s="15">
        <v>1500</v>
      </c>
      <c r="M880" s="13">
        <v>45148</v>
      </c>
      <c r="O880">
        <v>0</v>
      </c>
      <c r="P880">
        <v>0</v>
      </c>
      <c r="Q880">
        <v>0</v>
      </c>
      <c r="R880">
        <v>746.18314300060786</v>
      </c>
      <c r="S880">
        <v>36840.468834823434</v>
      </c>
      <c r="T880">
        <v>0</v>
      </c>
      <c r="U880">
        <v>0</v>
      </c>
      <c r="V880">
        <v>76681.788968468842</v>
      </c>
      <c r="W880">
        <v>0</v>
      </c>
      <c r="X880">
        <v>0</v>
      </c>
      <c r="Y880">
        <v>114268.44094629289</v>
      </c>
      <c r="Z880">
        <v>7946.5580462304597</v>
      </c>
      <c r="AA880">
        <v>122214.99899252335</v>
      </c>
      <c r="AB880" t="s">
        <v>242</v>
      </c>
      <c r="AC880">
        <v>6</v>
      </c>
      <c r="AD880">
        <v>7000</v>
      </c>
      <c r="AE880">
        <v>0</v>
      </c>
      <c r="AF880">
        <v>0</v>
      </c>
      <c r="AG880">
        <v>454.94656075704921</v>
      </c>
      <c r="AH880" t="s">
        <v>58</v>
      </c>
    </row>
    <row r="881" spans="1:34" x14ac:dyDescent="0.3">
      <c r="A881" t="s">
        <v>798</v>
      </c>
      <c r="B881">
        <v>42201259</v>
      </c>
      <c r="C881">
        <v>2755016619</v>
      </c>
      <c r="D881" s="38" t="s">
        <v>268</v>
      </c>
      <c r="E881" t="s">
        <v>439</v>
      </c>
      <c r="F881" t="s">
        <v>430</v>
      </c>
      <c r="G881" t="s">
        <v>237</v>
      </c>
      <c r="H881" t="s">
        <v>234</v>
      </c>
      <c r="J881" s="37" t="s">
        <v>425</v>
      </c>
      <c r="K881">
        <v>110000</v>
      </c>
      <c r="L881" s="15">
        <v>54</v>
      </c>
      <c r="M881" s="13">
        <v>45149</v>
      </c>
      <c r="O881">
        <v>54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389811.21495327103</v>
      </c>
      <c r="Y881">
        <v>389865.21495327103</v>
      </c>
      <c r="Z881">
        <v>27286.785046728975</v>
      </c>
      <c r="AA881">
        <v>417152</v>
      </c>
      <c r="AB881" t="s">
        <v>242</v>
      </c>
      <c r="AC881">
        <v>0</v>
      </c>
      <c r="AD881">
        <v>0</v>
      </c>
      <c r="AE881">
        <v>0</v>
      </c>
      <c r="AF881">
        <v>117700</v>
      </c>
      <c r="AG881">
        <v>7700</v>
      </c>
      <c r="AH881" t="s">
        <v>72</v>
      </c>
    </row>
    <row r="882" spans="1:34" x14ac:dyDescent="0.3">
      <c r="A882" t="s">
        <v>798</v>
      </c>
      <c r="B882">
        <v>12200198</v>
      </c>
      <c r="C882">
        <v>21155200</v>
      </c>
      <c r="D882" t="s">
        <v>815</v>
      </c>
      <c r="E882" t="s">
        <v>438</v>
      </c>
      <c r="F882" t="s">
        <v>427</v>
      </c>
      <c r="G882" t="s">
        <v>82</v>
      </c>
      <c r="H882" t="s">
        <v>82</v>
      </c>
      <c r="J882" t="s">
        <v>52</v>
      </c>
      <c r="K882" s="15">
        <v>3000</v>
      </c>
      <c r="L882" s="15">
        <v>0</v>
      </c>
      <c r="M882" s="13">
        <v>45149</v>
      </c>
      <c r="O882">
        <v>0</v>
      </c>
      <c r="P882">
        <v>0</v>
      </c>
      <c r="Q882">
        <v>0</v>
      </c>
      <c r="R882">
        <v>0</v>
      </c>
      <c r="S882">
        <v>18252.267691327819</v>
      </c>
      <c r="T882">
        <v>0</v>
      </c>
      <c r="U882">
        <v>0</v>
      </c>
      <c r="V882">
        <v>142102.18304325169</v>
      </c>
      <c r="W882">
        <v>0</v>
      </c>
      <c r="X882">
        <v>0</v>
      </c>
      <c r="Y882">
        <v>160354.4507345795</v>
      </c>
      <c r="Z882">
        <v>0</v>
      </c>
      <c r="AA882">
        <v>160354.4507345795</v>
      </c>
      <c r="AB882" t="s">
        <v>242</v>
      </c>
      <c r="AC882">
        <v>8</v>
      </c>
      <c r="AD882">
        <v>21000</v>
      </c>
      <c r="AE882">
        <v>0</v>
      </c>
      <c r="AF882">
        <v>0</v>
      </c>
      <c r="AG882">
        <v>0</v>
      </c>
      <c r="AH882" t="s">
        <v>58</v>
      </c>
    </row>
    <row r="883" spans="1:34" x14ac:dyDescent="0.3">
      <c r="A883" t="s">
        <v>798</v>
      </c>
      <c r="B883">
        <v>22200050</v>
      </c>
      <c r="C883">
        <v>20757954</v>
      </c>
      <c r="D883" t="s">
        <v>120</v>
      </c>
      <c r="E883" t="s">
        <v>435</v>
      </c>
      <c r="F883" t="s">
        <v>428</v>
      </c>
      <c r="G883" t="s">
        <v>82</v>
      </c>
      <c r="H883" t="s">
        <v>82</v>
      </c>
      <c r="J883" t="s">
        <v>52</v>
      </c>
      <c r="K883" s="15">
        <v>500</v>
      </c>
      <c r="L883" s="15">
        <v>0</v>
      </c>
      <c r="M883" s="13">
        <v>45149</v>
      </c>
      <c r="O883">
        <v>0</v>
      </c>
      <c r="P883">
        <v>0</v>
      </c>
      <c r="Q883">
        <v>0</v>
      </c>
      <c r="R883">
        <v>0</v>
      </c>
      <c r="S883">
        <v>1432.2079698630132</v>
      </c>
      <c r="T883">
        <v>0</v>
      </c>
      <c r="U883">
        <v>0</v>
      </c>
      <c r="V883">
        <v>14084.08</v>
      </c>
      <c r="W883">
        <v>0</v>
      </c>
      <c r="X883">
        <v>0</v>
      </c>
      <c r="Y883">
        <v>15516.287969863013</v>
      </c>
      <c r="Z883">
        <v>0</v>
      </c>
      <c r="AA883">
        <v>15516.287969863013</v>
      </c>
      <c r="AB883" t="s">
        <v>242</v>
      </c>
      <c r="AC883">
        <v>7</v>
      </c>
      <c r="AD883">
        <v>4500</v>
      </c>
      <c r="AE883">
        <v>0</v>
      </c>
      <c r="AF883">
        <v>0</v>
      </c>
      <c r="AG883">
        <v>0</v>
      </c>
      <c r="AH883" t="s">
        <v>58</v>
      </c>
    </row>
    <row r="884" spans="1:34" x14ac:dyDescent="0.3">
      <c r="A884" t="s">
        <v>798</v>
      </c>
      <c r="B884">
        <v>32200045</v>
      </c>
      <c r="C884">
        <v>20758058</v>
      </c>
      <c r="D884" t="s">
        <v>120</v>
      </c>
      <c r="E884" t="s">
        <v>435</v>
      </c>
      <c r="F884" t="s">
        <v>429</v>
      </c>
      <c r="G884" t="s">
        <v>82</v>
      </c>
      <c r="H884" t="s">
        <v>82</v>
      </c>
      <c r="J884" t="s">
        <v>52</v>
      </c>
      <c r="K884" s="15">
        <v>500</v>
      </c>
      <c r="L884" s="15">
        <v>0</v>
      </c>
      <c r="M884" s="13">
        <v>45149</v>
      </c>
      <c r="O884">
        <v>0</v>
      </c>
      <c r="P884">
        <v>0</v>
      </c>
      <c r="Q884">
        <v>0</v>
      </c>
      <c r="R884">
        <v>0</v>
      </c>
      <c r="S884">
        <v>4924.0488810958905</v>
      </c>
      <c r="T884">
        <v>0</v>
      </c>
      <c r="U884">
        <v>0</v>
      </c>
      <c r="V884">
        <v>18314.54</v>
      </c>
      <c r="W884">
        <v>0</v>
      </c>
      <c r="X884">
        <v>0</v>
      </c>
      <c r="Y884">
        <v>23238.588881095893</v>
      </c>
      <c r="Z884">
        <v>0</v>
      </c>
      <c r="AA884">
        <v>23238.588881095893</v>
      </c>
      <c r="AB884" t="s">
        <v>242</v>
      </c>
      <c r="AC884">
        <v>5</v>
      </c>
      <c r="AD884">
        <v>2500</v>
      </c>
      <c r="AE884">
        <v>0</v>
      </c>
      <c r="AF884">
        <v>0</v>
      </c>
      <c r="AG884">
        <v>0</v>
      </c>
      <c r="AH884" t="s">
        <v>58</v>
      </c>
    </row>
    <row r="885" spans="1:34" x14ac:dyDescent="0.3">
      <c r="A885" t="s">
        <v>798</v>
      </c>
      <c r="B885">
        <v>32200123</v>
      </c>
      <c r="C885">
        <v>26112598</v>
      </c>
      <c r="D885" t="s">
        <v>815</v>
      </c>
      <c r="E885" t="s">
        <v>438</v>
      </c>
      <c r="F885" t="s">
        <v>429</v>
      </c>
      <c r="G885" t="s">
        <v>82</v>
      </c>
      <c r="H885" t="s">
        <v>82</v>
      </c>
      <c r="J885" t="s">
        <v>52</v>
      </c>
      <c r="K885" s="15">
        <v>2000</v>
      </c>
      <c r="L885" s="15">
        <v>0</v>
      </c>
      <c r="M885" s="13">
        <v>45149</v>
      </c>
      <c r="O885">
        <v>0</v>
      </c>
      <c r="P885">
        <v>0</v>
      </c>
      <c r="Q885">
        <v>0</v>
      </c>
      <c r="R885">
        <v>0</v>
      </c>
      <c r="S885">
        <v>1254.7013698630144</v>
      </c>
      <c r="T885">
        <v>0</v>
      </c>
      <c r="U885">
        <v>0</v>
      </c>
      <c r="V885">
        <v>18150</v>
      </c>
      <c r="W885">
        <v>0</v>
      </c>
      <c r="X885">
        <v>0</v>
      </c>
      <c r="Y885">
        <v>19404.701369863014</v>
      </c>
      <c r="Z885">
        <v>0</v>
      </c>
      <c r="AA885">
        <v>19404.701369863014</v>
      </c>
      <c r="AB885" t="s">
        <v>242</v>
      </c>
      <c r="AC885">
        <v>3</v>
      </c>
      <c r="AD885">
        <v>6000</v>
      </c>
      <c r="AE885">
        <v>0</v>
      </c>
      <c r="AF885">
        <v>0</v>
      </c>
      <c r="AG885">
        <v>0</v>
      </c>
      <c r="AH885" t="s">
        <v>58</v>
      </c>
    </row>
    <row r="886" spans="1:34" x14ac:dyDescent="0.3">
      <c r="A886" t="s">
        <v>798</v>
      </c>
      <c r="B886">
        <v>52201112</v>
      </c>
      <c r="C886">
        <v>24922982</v>
      </c>
      <c r="D886" t="s">
        <v>872</v>
      </c>
      <c r="E886" t="s">
        <v>438</v>
      </c>
      <c r="F886" t="s">
        <v>431</v>
      </c>
      <c r="G886" t="s">
        <v>82</v>
      </c>
      <c r="H886" t="s">
        <v>83</v>
      </c>
      <c r="J886" t="s">
        <v>52</v>
      </c>
      <c r="K886" s="15">
        <v>1700</v>
      </c>
      <c r="L886" s="15">
        <v>0</v>
      </c>
      <c r="M886" s="13">
        <v>45149</v>
      </c>
      <c r="O886">
        <v>0</v>
      </c>
      <c r="P886">
        <v>0</v>
      </c>
      <c r="Q886">
        <v>0</v>
      </c>
      <c r="R886">
        <v>1082.8953695710109</v>
      </c>
      <c r="S886">
        <v>17980.27998130742</v>
      </c>
      <c r="T886">
        <v>0</v>
      </c>
      <c r="U886">
        <v>0</v>
      </c>
      <c r="V886">
        <v>47915.145292130452</v>
      </c>
      <c r="W886">
        <v>0</v>
      </c>
      <c r="X886">
        <v>0</v>
      </c>
      <c r="Y886">
        <v>66978.32064300889</v>
      </c>
      <c r="Z886">
        <v>4612.6797691406509</v>
      </c>
      <c r="AA886">
        <v>71591.000412149544</v>
      </c>
      <c r="AB886" t="s">
        <v>242</v>
      </c>
      <c r="AC886">
        <v>2</v>
      </c>
      <c r="AD886">
        <v>3400</v>
      </c>
      <c r="AE886">
        <v>0</v>
      </c>
      <c r="AF886">
        <v>0</v>
      </c>
      <c r="AG886">
        <v>218.8249307195988</v>
      </c>
      <c r="AH886" t="s">
        <v>58</v>
      </c>
    </row>
    <row r="887" spans="1:34" x14ac:dyDescent="0.3">
      <c r="A887" t="s">
        <v>798</v>
      </c>
      <c r="B887">
        <v>52201187</v>
      </c>
      <c r="C887">
        <v>28167337</v>
      </c>
      <c r="D887" t="s">
        <v>873</v>
      </c>
      <c r="E887" t="s">
        <v>438</v>
      </c>
      <c r="F887" t="s">
        <v>431</v>
      </c>
      <c r="G887" t="s">
        <v>82</v>
      </c>
      <c r="H887" t="s">
        <v>83</v>
      </c>
      <c r="J887" t="s">
        <v>52</v>
      </c>
      <c r="K887" s="15">
        <v>700</v>
      </c>
      <c r="L887" s="15">
        <v>0</v>
      </c>
      <c r="M887" s="13">
        <v>45152</v>
      </c>
      <c r="O887">
        <v>0</v>
      </c>
      <c r="P887">
        <v>0</v>
      </c>
      <c r="Q887">
        <v>0</v>
      </c>
      <c r="R887">
        <v>1027.2436109270109</v>
      </c>
      <c r="S887">
        <v>17028.973443069859</v>
      </c>
      <c r="T887">
        <v>0</v>
      </c>
      <c r="U887">
        <v>0</v>
      </c>
      <c r="V887">
        <v>43153.041837136348</v>
      </c>
      <c r="W887">
        <v>0</v>
      </c>
      <c r="X887">
        <v>0</v>
      </c>
      <c r="Y887">
        <v>61209.258891133213</v>
      </c>
      <c r="Z887">
        <v>4212.7410696144352</v>
      </c>
      <c r="AA887">
        <v>65421.999960747649</v>
      </c>
      <c r="AB887" t="s">
        <v>242</v>
      </c>
      <c r="AC887">
        <v>1</v>
      </c>
      <c r="AD887">
        <v>700</v>
      </c>
      <c r="AE887">
        <v>0</v>
      </c>
      <c r="AF887">
        <v>0</v>
      </c>
      <c r="AG887">
        <v>45.025282957841796</v>
      </c>
      <c r="AH887" t="s">
        <v>72</v>
      </c>
    </row>
    <row r="888" spans="1:34" x14ac:dyDescent="0.3">
      <c r="A888" t="s">
        <v>798</v>
      </c>
      <c r="B888">
        <v>4142300652</v>
      </c>
      <c r="C888">
        <v>10289270</v>
      </c>
      <c r="D888" t="s">
        <v>203</v>
      </c>
      <c r="E888" t="s">
        <v>445</v>
      </c>
      <c r="F888" t="s">
        <v>430</v>
      </c>
      <c r="G888" t="s">
        <v>237</v>
      </c>
      <c r="H888" t="s">
        <v>234</v>
      </c>
      <c r="J888" t="s">
        <v>52</v>
      </c>
      <c r="K888" s="15">
        <v>5000</v>
      </c>
      <c r="L888" s="15">
        <v>0</v>
      </c>
      <c r="M888" s="13">
        <v>45152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48852.336448598129</v>
      </c>
      <c r="Y888">
        <v>48852.336448598129</v>
      </c>
      <c r="Z888">
        <v>3419.6635514018694</v>
      </c>
      <c r="AA888">
        <v>52272</v>
      </c>
      <c r="AB888" t="s">
        <v>242</v>
      </c>
      <c r="AC888">
        <v>2</v>
      </c>
      <c r="AD888">
        <v>10000</v>
      </c>
      <c r="AE888">
        <v>0</v>
      </c>
      <c r="AF888">
        <v>0</v>
      </c>
      <c r="AG888">
        <v>654.20560747663512</v>
      </c>
      <c r="AH888" t="s">
        <v>58</v>
      </c>
    </row>
    <row r="889" spans="1:34" x14ac:dyDescent="0.3">
      <c r="A889" t="s">
        <v>798</v>
      </c>
      <c r="B889">
        <v>12200168</v>
      </c>
      <c r="C889">
        <v>22304640</v>
      </c>
      <c r="D889" t="s">
        <v>116</v>
      </c>
      <c r="E889" t="s">
        <v>438</v>
      </c>
      <c r="F889" t="s">
        <v>427</v>
      </c>
      <c r="G889" t="s">
        <v>82</v>
      </c>
      <c r="H889" t="s">
        <v>82</v>
      </c>
      <c r="J889" t="s">
        <v>52</v>
      </c>
      <c r="K889" s="15">
        <v>2500</v>
      </c>
      <c r="L889" s="15">
        <v>0</v>
      </c>
      <c r="M889" s="13">
        <v>45153</v>
      </c>
      <c r="O889">
        <v>0</v>
      </c>
      <c r="P889">
        <v>0</v>
      </c>
      <c r="Q889">
        <v>0</v>
      </c>
      <c r="R889">
        <v>0</v>
      </c>
      <c r="S889">
        <v>32501.057465295118</v>
      </c>
      <c r="T889">
        <v>0</v>
      </c>
      <c r="U889">
        <v>0</v>
      </c>
      <c r="V889">
        <v>265200.49260584638</v>
      </c>
      <c r="W889">
        <v>0</v>
      </c>
      <c r="X889">
        <v>0</v>
      </c>
      <c r="Y889">
        <v>297701.55007114151</v>
      </c>
      <c r="Z889">
        <v>0</v>
      </c>
      <c r="AA889">
        <v>297701.55007114151</v>
      </c>
      <c r="AB889" t="s">
        <v>242</v>
      </c>
      <c r="AC889">
        <v>5</v>
      </c>
      <c r="AD889">
        <v>47500</v>
      </c>
      <c r="AE889">
        <v>0</v>
      </c>
      <c r="AF889">
        <v>0</v>
      </c>
      <c r="AG889">
        <v>0</v>
      </c>
      <c r="AH889" t="s">
        <v>58</v>
      </c>
    </row>
    <row r="890" spans="1:34" x14ac:dyDescent="0.3">
      <c r="A890" t="s">
        <v>798</v>
      </c>
      <c r="B890">
        <v>12200171</v>
      </c>
      <c r="C890">
        <v>25596188</v>
      </c>
      <c r="D890" t="s">
        <v>117</v>
      </c>
      <c r="E890" t="s">
        <v>438</v>
      </c>
      <c r="F890" t="s">
        <v>427</v>
      </c>
      <c r="G890" t="s">
        <v>82</v>
      </c>
      <c r="H890" t="s">
        <v>82</v>
      </c>
      <c r="J890" t="s">
        <v>52</v>
      </c>
      <c r="K890" s="15">
        <v>800</v>
      </c>
      <c r="L890" s="15">
        <v>0</v>
      </c>
      <c r="M890" s="13">
        <v>45153</v>
      </c>
      <c r="O890">
        <v>0</v>
      </c>
      <c r="P890">
        <v>0</v>
      </c>
      <c r="Q890">
        <v>0</v>
      </c>
      <c r="R890">
        <v>0</v>
      </c>
      <c r="S890">
        <v>32244.933781943517</v>
      </c>
      <c r="T890">
        <v>0</v>
      </c>
      <c r="U890">
        <v>0</v>
      </c>
      <c r="V890">
        <v>146895.79377429161</v>
      </c>
      <c r="W890">
        <v>0</v>
      </c>
      <c r="X890">
        <v>0</v>
      </c>
      <c r="Y890">
        <v>179140.72755623513</v>
      </c>
      <c r="Z890">
        <v>0</v>
      </c>
      <c r="AA890">
        <v>179140.72755623513</v>
      </c>
      <c r="AB890" t="s">
        <v>242</v>
      </c>
      <c r="AC890">
        <v>3</v>
      </c>
      <c r="AD890">
        <v>2800</v>
      </c>
      <c r="AE890">
        <v>0</v>
      </c>
      <c r="AF890">
        <v>0</v>
      </c>
      <c r="AG890">
        <v>0</v>
      </c>
      <c r="AH890" t="s">
        <v>58</v>
      </c>
    </row>
    <row r="891" spans="1:34" x14ac:dyDescent="0.3">
      <c r="A891" t="s">
        <v>798</v>
      </c>
      <c r="B891">
        <v>52200764</v>
      </c>
      <c r="C891">
        <v>29315611</v>
      </c>
      <c r="D891" t="s">
        <v>142</v>
      </c>
      <c r="E891" t="s">
        <v>438</v>
      </c>
      <c r="F891" t="s">
        <v>431</v>
      </c>
      <c r="G891" t="s">
        <v>82</v>
      </c>
      <c r="H891" t="s">
        <v>83</v>
      </c>
      <c r="J891" t="s">
        <v>52</v>
      </c>
      <c r="K891" s="15">
        <v>2256</v>
      </c>
      <c r="L891" s="15">
        <v>0</v>
      </c>
      <c r="M891" s="13">
        <v>45153</v>
      </c>
      <c r="O891">
        <v>0</v>
      </c>
      <c r="P891">
        <v>0</v>
      </c>
      <c r="Q891">
        <v>0</v>
      </c>
      <c r="R891">
        <v>881.6613897019638</v>
      </c>
      <c r="S891">
        <v>17159.354775979478</v>
      </c>
      <c r="T891">
        <v>0</v>
      </c>
      <c r="U891">
        <v>0</v>
      </c>
      <c r="V891">
        <v>50364.328598130844</v>
      </c>
      <c r="W891">
        <v>0</v>
      </c>
      <c r="X891">
        <v>0</v>
      </c>
      <c r="Y891">
        <v>68405.344763812289</v>
      </c>
      <c r="Z891">
        <v>4726.6578361877228</v>
      </c>
      <c r="AA891">
        <v>73132.002600000007</v>
      </c>
      <c r="AB891" t="s">
        <v>242</v>
      </c>
      <c r="AC891">
        <v>2</v>
      </c>
      <c r="AD891">
        <v>4512</v>
      </c>
      <c r="AE891">
        <v>0</v>
      </c>
      <c r="AF891">
        <v>0</v>
      </c>
      <c r="AG891">
        <v>291.36102549452107</v>
      </c>
      <c r="AH891" t="s">
        <v>58</v>
      </c>
    </row>
    <row r="892" spans="1:34" x14ac:dyDescent="0.3">
      <c r="A892" t="s">
        <v>798</v>
      </c>
      <c r="B892">
        <v>52201039</v>
      </c>
      <c r="C892">
        <v>29379502</v>
      </c>
      <c r="D892" t="s">
        <v>146</v>
      </c>
      <c r="E892" t="s">
        <v>438</v>
      </c>
      <c r="F892" t="s">
        <v>431</v>
      </c>
      <c r="G892" t="s">
        <v>82</v>
      </c>
      <c r="H892" t="s">
        <v>83</v>
      </c>
      <c r="J892" t="s">
        <v>52</v>
      </c>
      <c r="K892" s="15">
        <v>2500</v>
      </c>
      <c r="L892" s="15">
        <v>0</v>
      </c>
      <c r="M892" s="13">
        <v>45153</v>
      </c>
      <c r="O892">
        <v>0</v>
      </c>
      <c r="P892">
        <v>0</v>
      </c>
      <c r="Q892">
        <v>0</v>
      </c>
      <c r="R892">
        <v>923.27410587204952</v>
      </c>
      <c r="S892">
        <v>19310.162942743882</v>
      </c>
      <c r="T892">
        <v>0</v>
      </c>
      <c r="U892">
        <v>0</v>
      </c>
      <c r="V892">
        <v>49170.889355899591</v>
      </c>
      <c r="W892">
        <v>0</v>
      </c>
      <c r="X892">
        <v>0</v>
      </c>
      <c r="Y892">
        <v>69404.326404515523</v>
      </c>
      <c r="Z892">
        <v>4793.673660905044</v>
      </c>
      <c r="AA892">
        <v>74198.000065420565</v>
      </c>
      <c r="AB892" t="s">
        <v>242</v>
      </c>
      <c r="AC892">
        <v>3</v>
      </c>
      <c r="AD892">
        <v>5000</v>
      </c>
      <c r="AE892">
        <v>0</v>
      </c>
      <c r="AF892">
        <v>0</v>
      </c>
      <c r="AG892">
        <v>322.73755832807819</v>
      </c>
      <c r="AH892" t="s">
        <v>58</v>
      </c>
    </row>
    <row r="893" spans="1:34" x14ac:dyDescent="0.3">
      <c r="A893" t="s">
        <v>798</v>
      </c>
      <c r="B893">
        <v>52201063</v>
      </c>
      <c r="C893">
        <v>23710909</v>
      </c>
      <c r="D893" t="s">
        <v>147</v>
      </c>
      <c r="E893" t="s">
        <v>438</v>
      </c>
      <c r="F893" t="s">
        <v>431</v>
      </c>
      <c r="G893" t="s">
        <v>82</v>
      </c>
      <c r="H893" t="s">
        <v>83</v>
      </c>
      <c r="J893" t="s">
        <v>52</v>
      </c>
      <c r="K893" s="15">
        <v>1000</v>
      </c>
      <c r="L893" s="15">
        <v>0</v>
      </c>
      <c r="M893" s="13">
        <v>45153</v>
      </c>
      <c r="O893">
        <v>0</v>
      </c>
      <c r="P893">
        <v>0</v>
      </c>
      <c r="Q893">
        <v>0</v>
      </c>
      <c r="R893">
        <v>857.57841367924163</v>
      </c>
      <c r="S893">
        <v>26282.253846381111</v>
      </c>
      <c r="T893">
        <v>0</v>
      </c>
      <c r="U893">
        <v>0</v>
      </c>
      <c r="V893">
        <v>49966.73843998649</v>
      </c>
      <c r="W893">
        <v>0</v>
      </c>
      <c r="X893">
        <v>0</v>
      </c>
      <c r="Y893">
        <v>77106.570700046839</v>
      </c>
      <c r="Z893">
        <v>5337.4294600457324</v>
      </c>
      <c r="AA893">
        <v>82444.000160092575</v>
      </c>
      <c r="AB893" t="s">
        <v>242</v>
      </c>
      <c r="AC893">
        <v>3</v>
      </c>
      <c r="AD893">
        <v>3000</v>
      </c>
      <c r="AE893">
        <v>0</v>
      </c>
      <c r="AF893">
        <v>0</v>
      </c>
      <c r="AG893">
        <v>194.07522332481028</v>
      </c>
      <c r="AH893" t="s">
        <v>58</v>
      </c>
    </row>
    <row r="894" spans="1:34" x14ac:dyDescent="0.3">
      <c r="A894" t="s">
        <v>798</v>
      </c>
      <c r="B894">
        <v>52201342</v>
      </c>
      <c r="C894">
        <v>26280203</v>
      </c>
      <c r="D894" t="s">
        <v>879</v>
      </c>
      <c r="E894" t="s">
        <v>438</v>
      </c>
      <c r="F894" t="s">
        <v>431</v>
      </c>
      <c r="G894" t="s">
        <v>82</v>
      </c>
      <c r="H894" t="s">
        <v>83</v>
      </c>
      <c r="J894" t="s">
        <v>52</v>
      </c>
      <c r="K894" s="15">
        <v>500</v>
      </c>
      <c r="L894" s="15">
        <v>0</v>
      </c>
      <c r="M894" s="13">
        <v>45153</v>
      </c>
      <c r="O894">
        <v>0</v>
      </c>
      <c r="P894">
        <v>0</v>
      </c>
      <c r="Q894">
        <v>0</v>
      </c>
      <c r="R894">
        <v>1121.1668417149995</v>
      </c>
      <c r="S894">
        <v>18393.095274025636</v>
      </c>
      <c r="T894">
        <v>0</v>
      </c>
      <c r="U894">
        <v>0</v>
      </c>
      <c r="V894">
        <v>47138.524897487107</v>
      </c>
      <c r="W894">
        <v>0</v>
      </c>
      <c r="X894">
        <v>0</v>
      </c>
      <c r="Y894">
        <v>66652.787013227746</v>
      </c>
      <c r="Z894">
        <v>4587.2134120058918</v>
      </c>
      <c r="AA894">
        <v>71240.000425233637</v>
      </c>
      <c r="AB894" t="s">
        <v>242</v>
      </c>
      <c r="AC894">
        <v>2</v>
      </c>
      <c r="AD894">
        <v>1000</v>
      </c>
      <c r="AE894">
        <v>0</v>
      </c>
      <c r="AF894">
        <v>0</v>
      </c>
      <c r="AG894">
        <v>64.319326093504685</v>
      </c>
      <c r="AH894" t="s">
        <v>58</v>
      </c>
    </row>
    <row r="895" spans="1:34" x14ac:dyDescent="0.3">
      <c r="A895" t="s">
        <v>798</v>
      </c>
      <c r="B895">
        <v>52201692</v>
      </c>
      <c r="C895">
        <v>27357985</v>
      </c>
      <c r="D895" t="s">
        <v>883</v>
      </c>
      <c r="E895" t="s">
        <v>438</v>
      </c>
      <c r="F895" t="s">
        <v>431</v>
      </c>
      <c r="G895" t="s">
        <v>82</v>
      </c>
      <c r="H895" t="s">
        <v>83</v>
      </c>
      <c r="J895" t="s">
        <v>52</v>
      </c>
      <c r="K895" s="15">
        <v>1000</v>
      </c>
      <c r="L895" s="15">
        <v>0</v>
      </c>
      <c r="M895" s="13">
        <v>45153</v>
      </c>
      <c r="O895">
        <v>0</v>
      </c>
      <c r="P895">
        <v>0</v>
      </c>
      <c r="Q895">
        <v>0</v>
      </c>
      <c r="R895">
        <v>1013.325968100752</v>
      </c>
      <c r="S895">
        <v>4390.3878950049711</v>
      </c>
      <c r="T895">
        <v>0</v>
      </c>
      <c r="U895">
        <v>0</v>
      </c>
      <c r="V895">
        <v>34128.933727959658</v>
      </c>
      <c r="W895">
        <v>0</v>
      </c>
      <c r="X895">
        <v>0</v>
      </c>
      <c r="Y895">
        <v>39532.647591065383</v>
      </c>
      <c r="Z895">
        <v>2696.3525136075241</v>
      </c>
      <c r="AA895">
        <v>42229.000104672908</v>
      </c>
      <c r="AB895" t="s">
        <v>242</v>
      </c>
      <c r="AC895">
        <v>1</v>
      </c>
      <c r="AD895">
        <v>1000</v>
      </c>
      <c r="AE895">
        <v>0</v>
      </c>
      <c r="AF895">
        <v>0</v>
      </c>
      <c r="AG895">
        <v>63.740951184161304</v>
      </c>
      <c r="AH895" t="s">
        <v>72</v>
      </c>
    </row>
    <row r="896" spans="1:34" x14ac:dyDescent="0.3">
      <c r="A896" t="s">
        <v>798</v>
      </c>
      <c r="B896">
        <v>52201958</v>
      </c>
      <c r="C896">
        <v>31404770</v>
      </c>
      <c r="D896" t="s">
        <v>889</v>
      </c>
      <c r="E896" t="s">
        <v>438</v>
      </c>
      <c r="F896" t="s">
        <v>431</v>
      </c>
      <c r="G896" t="s">
        <v>82</v>
      </c>
      <c r="H896" t="s">
        <v>83</v>
      </c>
      <c r="J896" t="s">
        <v>52</v>
      </c>
      <c r="K896" s="15">
        <v>1680</v>
      </c>
      <c r="L896" s="15">
        <v>0</v>
      </c>
      <c r="M896" s="13">
        <v>45153</v>
      </c>
      <c r="O896">
        <v>0</v>
      </c>
      <c r="P896">
        <v>0</v>
      </c>
      <c r="Q896">
        <v>0</v>
      </c>
      <c r="R896">
        <v>821.76121158549722</v>
      </c>
      <c r="S896">
        <v>36335.737185434118</v>
      </c>
      <c r="T896">
        <v>0</v>
      </c>
      <c r="U896">
        <v>0</v>
      </c>
      <c r="V896">
        <v>56074.766355140193</v>
      </c>
      <c r="W896">
        <v>0</v>
      </c>
      <c r="X896">
        <v>0</v>
      </c>
      <c r="Y896">
        <v>93232.264752159812</v>
      </c>
      <c r="Z896">
        <v>6468.7352478402026</v>
      </c>
      <c r="AA896">
        <v>99701.000000000015</v>
      </c>
      <c r="AB896" t="s">
        <v>242</v>
      </c>
      <c r="AC896">
        <v>2</v>
      </c>
      <c r="AD896">
        <v>2180</v>
      </c>
      <c r="AE896">
        <v>0</v>
      </c>
      <c r="AF896">
        <v>0</v>
      </c>
      <c r="AG896">
        <v>141.35821010372422</v>
      </c>
      <c r="AH896" t="s">
        <v>58</v>
      </c>
    </row>
    <row r="897" spans="1:34" x14ac:dyDescent="0.3">
      <c r="A897" t="s">
        <v>798</v>
      </c>
      <c r="B897">
        <v>4142300600</v>
      </c>
      <c r="C897">
        <v>10261717</v>
      </c>
      <c r="D897" t="s">
        <v>202</v>
      </c>
      <c r="E897" t="s">
        <v>445</v>
      </c>
      <c r="F897" t="s">
        <v>430</v>
      </c>
      <c r="G897" t="s">
        <v>230</v>
      </c>
      <c r="H897" t="s">
        <v>234</v>
      </c>
      <c r="J897" t="s">
        <v>52</v>
      </c>
      <c r="K897" s="15">
        <v>10000</v>
      </c>
      <c r="L897" s="15">
        <v>0</v>
      </c>
      <c r="M897" s="13">
        <v>45153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236106.261682243</v>
      </c>
      <c r="Y897">
        <v>236106.261682243</v>
      </c>
      <c r="Z897">
        <v>16527.438317757013</v>
      </c>
      <c r="AA897">
        <v>252633.7</v>
      </c>
      <c r="AB897" t="s">
        <v>242</v>
      </c>
      <c r="AC897">
        <v>2</v>
      </c>
      <c r="AD897">
        <v>110000</v>
      </c>
      <c r="AE897">
        <v>0</v>
      </c>
      <c r="AF897">
        <v>0</v>
      </c>
      <c r="AG897">
        <v>7196.26168224299</v>
      </c>
      <c r="AH897" t="s">
        <v>58</v>
      </c>
    </row>
    <row r="898" spans="1:34" x14ac:dyDescent="0.3">
      <c r="A898" t="s">
        <v>798</v>
      </c>
      <c r="B898">
        <v>4242300005</v>
      </c>
      <c r="C898">
        <v>123246</v>
      </c>
      <c r="D898" t="s">
        <v>219</v>
      </c>
      <c r="E898" t="s">
        <v>444</v>
      </c>
      <c r="F898" t="s">
        <v>431</v>
      </c>
      <c r="G898" t="s">
        <v>237</v>
      </c>
      <c r="H898" t="s">
        <v>231</v>
      </c>
      <c r="J898" t="s">
        <v>52</v>
      </c>
      <c r="K898" s="15">
        <v>12200</v>
      </c>
      <c r="L898" s="15">
        <v>0</v>
      </c>
      <c r="M898" s="13">
        <v>45153</v>
      </c>
      <c r="O898">
        <v>0</v>
      </c>
      <c r="P898">
        <v>12078.300845515532</v>
      </c>
      <c r="Q898">
        <v>0</v>
      </c>
      <c r="R898">
        <v>0</v>
      </c>
      <c r="S898">
        <v>0</v>
      </c>
      <c r="T898">
        <v>17685.391733163051</v>
      </c>
      <c r="U898">
        <v>22429.906542056076</v>
      </c>
      <c r="V898">
        <v>0</v>
      </c>
      <c r="W898">
        <v>0</v>
      </c>
      <c r="X898">
        <v>0</v>
      </c>
      <c r="Y898">
        <v>52193.59912073466</v>
      </c>
      <c r="Z898">
        <v>2808.0708792653395</v>
      </c>
      <c r="AA898">
        <v>55001.67</v>
      </c>
      <c r="AB898" t="s">
        <v>242</v>
      </c>
      <c r="AC898">
        <v>1</v>
      </c>
      <c r="AD898">
        <v>12200</v>
      </c>
      <c r="AE898">
        <v>0</v>
      </c>
      <c r="AF898">
        <v>0</v>
      </c>
      <c r="AG898">
        <v>611.24398054774429</v>
      </c>
      <c r="AH898" t="s">
        <v>72</v>
      </c>
    </row>
    <row r="899" spans="1:34" x14ac:dyDescent="0.3">
      <c r="A899" t="s">
        <v>798</v>
      </c>
      <c r="B899">
        <v>4132300569</v>
      </c>
      <c r="C899" t="s">
        <v>363</v>
      </c>
      <c r="D899" t="s">
        <v>402</v>
      </c>
      <c r="E899" t="s">
        <v>441</v>
      </c>
      <c r="F899" t="s">
        <v>430</v>
      </c>
      <c r="G899" t="s">
        <v>419</v>
      </c>
      <c r="H899" t="s">
        <v>231</v>
      </c>
      <c r="J899" t="s">
        <v>52</v>
      </c>
      <c r="K899" s="15">
        <v>27276.560000000001</v>
      </c>
      <c r="L899" s="15">
        <v>0</v>
      </c>
      <c r="M899" s="13">
        <v>45153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">
        <v>242</v>
      </c>
      <c r="AC899">
        <v>1</v>
      </c>
      <c r="AD899">
        <v>27276.560000000001</v>
      </c>
      <c r="AE899">
        <v>0</v>
      </c>
      <c r="AF899">
        <v>0</v>
      </c>
      <c r="AG899">
        <v>1208.9722135449992</v>
      </c>
      <c r="AH899" t="s">
        <v>72</v>
      </c>
    </row>
    <row r="900" spans="1:34" x14ac:dyDescent="0.3">
      <c r="A900" t="s">
        <v>798</v>
      </c>
      <c r="B900">
        <v>4142301095</v>
      </c>
      <c r="C900" t="s">
        <v>510</v>
      </c>
      <c r="D900" t="s">
        <v>582</v>
      </c>
      <c r="E900" t="s">
        <v>445</v>
      </c>
      <c r="F900" t="s">
        <v>430</v>
      </c>
      <c r="G900" t="s">
        <v>230</v>
      </c>
      <c r="H900" t="s">
        <v>234</v>
      </c>
      <c r="J900" t="s">
        <v>416</v>
      </c>
      <c r="K900" s="15">
        <v>0.51650734854725089</v>
      </c>
      <c r="L900" s="15">
        <v>0</v>
      </c>
      <c r="M900" s="13">
        <v>45153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196261.68224299062</v>
      </c>
      <c r="Y900">
        <v>196261.68224299062</v>
      </c>
      <c r="Z900">
        <v>13738.317757009345</v>
      </c>
      <c r="AA900">
        <v>209999.99999999997</v>
      </c>
      <c r="AB900" t="s">
        <v>242</v>
      </c>
      <c r="AC900">
        <v>0</v>
      </c>
      <c r="AD900">
        <v>0</v>
      </c>
      <c r="AE900">
        <v>0</v>
      </c>
      <c r="AF900">
        <v>0</v>
      </c>
      <c r="AG900">
        <v>0</v>
      </c>
      <c r="AH900" t="s">
        <v>72</v>
      </c>
    </row>
    <row r="901" spans="1:34" x14ac:dyDescent="0.3">
      <c r="A901" t="s">
        <v>798</v>
      </c>
      <c r="B901">
        <v>4142301095</v>
      </c>
      <c r="C901" t="s">
        <v>510</v>
      </c>
      <c r="D901" t="s">
        <v>582</v>
      </c>
      <c r="E901" t="s">
        <v>445</v>
      </c>
      <c r="F901" t="s">
        <v>430</v>
      </c>
      <c r="G901" t="s">
        <v>421</v>
      </c>
      <c r="H901" t="s">
        <v>234</v>
      </c>
      <c r="J901" t="s">
        <v>52</v>
      </c>
      <c r="K901" s="15">
        <v>210000</v>
      </c>
      <c r="L901" s="15">
        <v>0</v>
      </c>
      <c r="M901" s="13">
        <v>45153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">
        <v>242</v>
      </c>
      <c r="AC901">
        <v>1</v>
      </c>
      <c r="AD901">
        <v>210000</v>
      </c>
      <c r="AE901">
        <v>0</v>
      </c>
      <c r="AF901">
        <v>0</v>
      </c>
      <c r="AG901">
        <v>13738.317757009354</v>
      </c>
      <c r="AH901" t="s">
        <v>58</v>
      </c>
    </row>
    <row r="902" spans="1:34" x14ac:dyDescent="0.3">
      <c r="A902" t="s">
        <v>798</v>
      </c>
      <c r="B902">
        <v>52200714</v>
      </c>
      <c r="C902">
        <v>30196144</v>
      </c>
      <c r="D902" t="s">
        <v>860</v>
      </c>
      <c r="E902" t="s">
        <v>438</v>
      </c>
      <c r="F902" t="s">
        <v>431</v>
      </c>
      <c r="G902" t="s">
        <v>82</v>
      </c>
      <c r="H902" t="s">
        <v>83</v>
      </c>
      <c r="J902" t="s">
        <v>52</v>
      </c>
      <c r="K902" s="15">
        <v>500</v>
      </c>
      <c r="L902" s="15">
        <v>0</v>
      </c>
      <c r="M902" s="13">
        <v>45154</v>
      </c>
      <c r="O902">
        <v>0</v>
      </c>
      <c r="P902">
        <v>0</v>
      </c>
      <c r="Q902">
        <v>0</v>
      </c>
      <c r="R902">
        <v>976.37525400084405</v>
      </c>
      <c r="S902">
        <v>24848.24742616744</v>
      </c>
      <c r="T902">
        <v>0</v>
      </c>
      <c r="U902">
        <v>0</v>
      </c>
      <c r="V902">
        <v>52336.448598130839</v>
      </c>
      <c r="W902">
        <v>0</v>
      </c>
      <c r="X902">
        <v>0</v>
      </c>
      <c r="Y902">
        <v>78161.071278299118</v>
      </c>
      <c r="Z902">
        <v>5402.9287217008796</v>
      </c>
      <c r="AA902">
        <v>83564</v>
      </c>
      <c r="AB902" t="s">
        <v>242</v>
      </c>
      <c r="AC902">
        <v>4</v>
      </c>
      <c r="AD902">
        <v>5000</v>
      </c>
      <c r="AE902">
        <v>0</v>
      </c>
      <c r="AF902">
        <v>0</v>
      </c>
      <c r="AG902">
        <v>323.00585773837304</v>
      </c>
      <c r="AH902" t="s">
        <v>58</v>
      </c>
    </row>
    <row r="903" spans="1:34" x14ac:dyDescent="0.3">
      <c r="A903" t="s">
        <v>798</v>
      </c>
      <c r="B903">
        <v>52201220</v>
      </c>
      <c r="C903">
        <v>25378599</v>
      </c>
      <c r="D903" t="s">
        <v>150</v>
      </c>
      <c r="E903" t="s">
        <v>438</v>
      </c>
      <c r="F903" t="s">
        <v>431</v>
      </c>
      <c r="G903" t="s">
        <v>82</v>
      </c>
      <c r="H903" t="s">
        <v>83</v>
      </c>
      <c r="J903" t="s">
        <v>52</v>
      </c>
      <c r="K903" s="15">
        <v>1000</v>
      </c>
      <c r="L903" s="15">
        <v>0</v>
      </c>
      <c r="M903" s="13">
        <v>45154</v>
      </c>
      <c r="O903">
        <v>0</v>
      </c>
      <c r="P903">
        <v>0</v>
      </c>
      <c r="Q903">
        <v>0</v>
      </c>
      <c r="R903">
        <v>703.61078982757374</v>
      </c>
      <c r="S903">
        <v>15547.403145945496</v>
      </c>
      <c r="T903">
        <v>0</v>
      </c>
      <c r="U903">
        <v>0</v>
      </c>
      <c r="V903">
        <v>79718.38097920474</v>
      </c>
      <c r="W903">
        <v>0</v>
      </c>
      <c r="X903">
        <v>0</v>
      </c>
      <c r="Y903">
        <v>95969.394914977805</v>
      </c>
      <c r="Z903">
        <v>6668.6048887605175</v>
      </c>
      <c r="AA903">
        <v>102637.99980373832</v>
      </c>
      <c r="AB903" t="s">
        <v>242</v>
      </c>
      <c r="AC903">
        <v>6</v>
      </c>
      <c r="AD903">
        <v>12000</v>
      </c>
      <c r="AE903">
        <v>0</v>
      </c>
      <c r="AF903">
        <v>0</v>
      </c>
      <c r="AG903">
        <v>779.26425727843946</v>
      </c>
      <c r="AH903" t="s">
        <v>58</v>
      </c>
    </row>
    <row r="904" spans="1:34" x14ac:dyDescent="0.3">
      <c r="A904" t="s">
        <v>798</v>
      </c>
      <c r="B904">
        <v>52201828</v>
      </c>
      <c r="C904">
        <v>25536725</v>
      </c>
      <c r="D904" t="s">
        <v>166</v>
      </c>
      <c r="E904" t="s">
        <v>438</v>
      </c>
      <c r="F904" t="s">
        <v>431</v>
      </c>
      <c r="G904" t="s">
        <v>82</v>
      </c>
      <c r="H904" t="s">
        <v>83</v>
      </c>
      <c r="J904" t="s">
        <v>52</v>
      </c>
      <c r="K904" s="15">
        <v>1500</v>
      </c>
      <c r="L904" s="15">
        <v>0</v>
      </c>
      <c r="M904" s="13">
        <v>45154</v>
      </c>
      <c r="O904">
        <v>0</v>
      </c>
      <c r="P904">
        <v>0</v>
      </c>
      <c r="Q904">
        <v>0</v>
      </c>
      <c r="R904">
        <v>882.47388167817257</v>
      </c>
      <c r="S904">
        <v>18085.40964412313</v>
      </c>
      <c r="T904">
        <v>0</v>
      </c>
      <c r="U904">
        <v>0</v>
      </c>
      <c r="V904">
        <v>46273.024665951423</v>
      </c>
      <c r="W904">
        <v>0</v>
      </c>
      <c r="X904">
        <v>0</v>
      </c>
      <c r="Y904">
        <v>65240.908191752722</v>
      </c>
      <c r="Z904">
        <v>4505.0904017052189</v>
      </c>
      <c r="AA904">
        <v>69745.998593457945</v>
      </c>
      <c r="AB904" t="s">
        <v>242</v>
      </c>
      <c r="AC904">
        <v>7</v>
      </c>
      <c r="AD904">
        <v>11500</v>
      </c>
      <c r="AE904">
        <v>0</v>
      </c>
      <c r="AF904">
        <v>0</v>
      </c>
      <c r="AG904">
        <v>742.09642216586167</v>
      </c>
      <c r="AH904" t="s">
        <v>58</v>
      </c>
    </row>
    <row r="905" spans="1:34" x14ac:dyDescent="0.3">
      <c r="A905" t="s">
        <v>798</v>
      </c>
      <c r="B905">
        <v>4302300048</v>
      </c>
      <c r="C905">
        <v>901020006420</v>
      </c>
      <c r="D905" t="s">
        <v>228</v>
      </c>
      <c r="E905" t="s">
        <v>447</v>
      </c>
      <c r="F905" t="s">
        <v>433</v>
      </c>
      <c r="G905" t="s">
        <v>82</v>
      </c>
      <c r="H905" t="s">
        <v>83</v>
      </c>
      <c r="J905" t="s">
        <v>52</v>
      </c>
      <c r="K905" s="15">
        <v>30701</v>
      </c>
      <c r="L905" s="15">
        <v>0</v>
      </c>
      <c r="M905" s="13">
        <v>45154</v>
      </c>
      <c r="O905">
        <v>0</v>
      </c>
      <c r="P905">
        <v>0</v>
      </c>
      <c r="Q905">
        <v>25703.537225747463</v>
      </c>
      <c r="R905">
        <v>2772.12</v>
      </c>
      <c r="S905">
        <v>0</v>
      </c>
      <c r="T905">
        <v>0</v>
      </c>
      <c r="U905">
        <v>0</v>
      </c>
      <c r="V905">
        <v>383122.79969556304</v>
      </c>
      <c r="W905">
        <v>0</v>
      </c>
      <c r="X905">
        <v>0</v>
      </c>
      <c r="Y905">
        <v>411598.45692131051</v>
      </c>
      <c r="Z905">
        <v>26818.595978689416</v>
      </c>
      <c r="AA905">
        <v>438417.05289999995</v>
      </c>
      <c r="AB905" t="s">
        <v>242</v>
      </c>
      <c r="AC905">
        <v>4</v>
      </c>
      <c r="AD905">
        <v>122804</v>
      </c>
      <c r="AE905">
        <v>0</v>
      </c>
      <c r="AF905">
        <v>0</v>
      </c>
      <c r="AG905">
        <v>7472.1269213105807</v>
      </c>
      <c r="AH905" t="s">
        <v>58</v>
      </c>
    </row>
    <row r="906" spans="1:34" x14ac:dyDescent="0.3">
      <c r="A906" t="s">
        <v>798</v>
      </c>
      <c r="B906">
        <v>42200850</v>
      </c>
      <c r="C906" t="s">
        <v>345</v>
      </c>
      <c r="D906" t="s">
        <v>384</v>
      </c>
      <c r="E906" t="s">
        <v>439</v>
      </c>
      <c r="F906" t="s">
        <v>430</v>
      </c>
      <c r="G906" t="s">
        <v>233</v>
      </c>
      <c r="H906" t="s">
        <v>234</v>
      </c>
      <c r="J906" t="s">
        <v>52</v>
      </c>
      <c r="K906" s="15">
        <v>1000</v>
      </c>
      <c r="L906" s="15">
        <v>0</v>
      </c>
      <c r="M906" s="13">
        <v>45154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54403.420560747662</v>
      </c>
      <c r="Y906">
        <v>54403.420560747662</v>
      </c>
      <c r="Z906">
        <v>3808.2394392523365</v>
      </c>
      <c r="AA906">
        <v>58211.659999999996</v>
      </c>
      <c r="AB906" t="s">
        <v>242</v>
      </c>
      <c r="AC906">
        <v>1</v>
      </c>
      <c r="AD906">
        <v>1000</v>
      </c>
      <c r="AE906">
        <v>0</v>
      </c>
      <c r="AF906">
        <v>0</v>
      </c>
      <c r="AG906">
        <v>65.420560747663558</v>
      </c>
      <c r="AH906" t="s">
        <v>72</v>
      </c>
    </row>
    <row r="907" spans="1:34" x14ac:dyDescent="0.3">
      <c r="A907" t="s">
        <v>798</v>
      </c>
      <c r="B907">
        <v>12200035</v>
      </c>
      <c r="C907" t="s">
        <v>632</v>
      </c>
      <c r="D907" t="s">
        <v>631</v>
      </c>
      <c r="E907" t="s">
        <v>435</v>
      </c>
      <c r="F907" t="s">
        <v>427</v>
      </c>
      <c r="G907" t="s">
        <v>230</v>
      </c>
      <c r="H907" t="s">
        <v>230</v>
      </c>
      <c r="J907" t="s">
        <v>52</v>
      </c>
      <c r="K907" s="15">
        <v>1500</v>
      </c>
      <c r="M907" s="13">
        <v>45154</v>
      </c>
      <c r="O907">
        <v>0</v>
      </c>
      <c r="P907">
        <v>0</v>
      </c>
      <c r="Q907">
        <v>0</v>
      </c>
      <c r="R907">
        <v>0</v>
      </c>
      <c r="S907">
        <v>69099.029999999984</v>
      </c>
      <c r="T907">
        <v>0</v>
      </c>
      <c r="U907">
        <v>0</v>
      </c>
      <c r="V907">
        <v>79907.710000000006</v>
      </c>
      <c r="W907">
        <v>0</v>
      </c>
      <c r="X907">
        <v>0</v>
      </c>
      <c r="Y907">
        <v>149006.74</v>
      </c>
      <c r="Z907">
        <v>0</v>
      </c>
      <c r="AA907">
        <v>149006.74</v>
      </c>
      <c r="AB907" t="s">
        <v>242</v>
      </c>
      <c r="AC907">
        <v>6</v>
      </c>
      <c r="AD907">
        <v>9000</v>
      </c>
      <c r="AE907">
        <v>0</v>
      </c>
      <c r="AF907">
        <v>0</v>
      </c>
      <c r="AG907">
        <v>0</v>
      </c>
      <c r="AH907" t="s">
        <v>58</v>
      </c>
    </row>
    <row r="908" spans="1:34" x14ac:dyDescent="0.3">
      <c r="A908" t="s">
        <v>798</v>
      </c>
      <c r="B908">
        <v>52200750</v>
      </c>
      <c r="C908">
        <v>26151957</v>
      </c>
      <c r="D908" t="s">
        <v>141</v>
      </c>
      <c r="E908" t="s">
        <v>438</v>
      </c>
      <c r="F908" t="s">
        <v>431</v>
      </c>
      <c r="G908" t="s">
        <v>82</v>
      </c>
      <c r="H908" t="s">
        <v>83</v>
      </c>
      <c r="J908" t="s">
        <v>52</v>
      </c>
      <c r="K908" s="15">
        <v>1000</v>
      </c>
      <c r="L908" s="15">
        <v>0</v>
      </c>
      <c r="M908" s="13">
        <v>45155</v>
      </c>
      <c r="O908">
        <v>0</v>
      </c>
      <c r="P908">
        <v>0</v>
      </c>
      <c r="Q908">
        <v>0</v>
      </c>
      <c r="R908">
        <v>881.47375181665893</v>
      </c>
      <c r="S908">
        <v>24779.866545454828</v>
      </c>
      <c r="T908">
        <v>0</v>
      </c>
      <c r="U908">
        <v>0</v>
      </c>
      <c r="V908">
        <v>47756.1392450563</v>
      </c>
      <c r="W908">
        <v>0</v>
      </c>
      <c r="X908">
        <v>0</v>
      </c>
      <c r="Y908">
        <v>73417.479542327783</v>
      </c>
      <c r="Z908">
        <v>5077.5204053357793</v>
      </c>
      <c r="AA908">
        <v>78494.999947663557</v>
      </c>
      <c r="AB908" t="s">
        <v>242</v>
      </c>
      <c r="AC908">
        <v>8</v>
      </c>
      <c r="AD908">
        <v>9000</v>
      </c>
      <c r="AE908">
        <v>0</v>
      </c>
      <c r="AF908">
        <v>0</v>
      </c>
      <c r="AG908">
        <v>581.68519871697788</v>
      </c>
      <c r="AH908" t="s">
        <v>58</v>
      </c>
    </row>
    <row r="909" spans="1:34" x14ac:dyDescent="0.3">
      <c r="A909" t="s">
        <v>798</v>
      </c>
      <c r="B909">
        <v>52201823</v>
      </c>
      <c r="C909">
        <v>26207055</v>
      </c>
      <c r="D909" t="s">
        <v>165</v>
      </c>
      <c r="E909" t="s">
        <v>438</v>
      </c>
      <c r="F909" t="s">
        <v>431</v>
      </c>
      <c r="G909" t="s">
        <v>82</v>
      </c>
      <c r="H909" t="s">
        <v>83</v>
      </c>
      <c r="J909" t="s">
        <v>52</v>
      </c>
      <c r="K909" s="15">
        <v>1000</v>
      </c>
      <c r="L909" s="15">
        <v>0</v>
      </c>
      <c r="M909" s="13">
        <v>45155</v>
      </c>
      <c r="O909">
        <v>0</v>
      </c>
      <c r="P909">
        <v>0</v>
      </c>
      <c r="Q909">
        <v>0</v>
      </c>
      <c r="R909">
        <v>876.16298730802021</v>
      </c>
      <c r="S909">
        <v>34721.606188453414</v>
      </c>
      <c r="T909">
        <v>0</v>
      </c>
      <c r="U909">
        <v>0</v>
      </c>
      <c r="V909">
        <v>82604.409809083882</v>
      </c>
      <c r="W909">
        <v>0</v>
      </c>
      <c r="X909">
        <v>0</v>
      </c>
      <c r="Y909">
        <v>118202.17898484532</v>
      </c>
      <c r="Z909">
        <v>8212.8211198276113</v>
      </c>
      <c r="AA909">
        <v>126415.00010467293</v>
      </c>
      <c r="AB909" t="s">
        <v>242</v>
      </c>
      <c r="AC909">
        <v>2</v>
      </c>
      <c r="AD909">
        <v>2000</v>
      </c>
      <c r="AE909">
        <v>0</v>
      </c>
      <c r="AF909">
        <v>0</v>
      </c>
      <c r="AG909">
        <v>129.87047580519754</v>
      </c>
      <c r="AH909" t="s">
        <v>58</v>
      </c>
    </row>
    <row r="910" spans="1:34" x14ac:dyDescent="0.3">
      <c r="A910" t="s">
        <v>798</v>
      </c>
      <c r="B910">
        <v>4132300528</v>
      </c>
      <c r="C910" t="s">
        <v>348</v>
      </c>
      <c r="D910" t="s">
        <v>387</v>
      </c>
      <c r="E910" t="s">
        <v>441</v>
      </c>
      <c r="F910" t="s">
        <v>430</v>
      </c>
      <c r="G910" t="s">
        <v>233</v>
      </c>
      <c r="H910" t="s">
        <v>231</v>
      </c>
      <c r="J910" t="s">
        <v>52</v>
      </c>
      <c r="K910" s="15">
        <v>2000</v>
      </c>
      <c r="L910" s="15">
        <v>0</v>
      </c>
      <c r="M910" s="13">
        <v>45155</v>
      </c>
      <c r="O910">
        <v>0</v>
      </c>
      <c r="P910">
        <v>3488.098020900351</v>
      </c>
      <c r="Q910">
        <v>0</v>
      </c>
      <c r="R910">
        <v>0</v>
      </c>
      <c r="S910">
        <v>9693.1479452054791</v>
      </c>
      <c r="T910">
        <v>29992.431756167898</v>
      </c>
      <c r="U910">
        <v>0</v>
      </c>
      <c r="V910">
        <v>0</v>
      </c>
      <c r="W910">
        <v>0</v>
      </c>
      <c r="X910">
        <v>0</v>
      </c>
      <c r="Y910">
        <v>43173.677722273729</v>
      </c>
      <c r="Z910">
        <v>2099.4702229317531</v>
      </c>
      <c r="AA910">
        <v>45273.147945205485</v>
      </c>
      <c r="AB910" t="s">
        <v>242</v>
      </c>
      <c r="AC910">
        <v>1</v>
      </c>
      <c r="AD910">
        <v>2000</v>
      </c>
      <c r="AE910">
        <v>0</v>
      </c>
      <c r="AF910">
        <v>0</v>
      </c>
      <c r="AG910">
        <v>90.810150900023018</v>
      </c>
      <c r="AH910" t="s">
        <v>72</v>
      </c>
    </row>
    <row r="911" spans="1:34" x14ac:dyDescent="0.3">
      <c r="A911" t="s">
        <v>798</v>
      </c>
      <c r="B911">
        <v>52200151</v>
      </c>
      <c r="C911" t="s">
        <v>605</v>
      </c>
      <c r="D911" t="s">
        <v>604</v>
      </c>
      <c r="E911" t="s">
        <v>436</v>
      </c>
      <c r="F911" t="s">
        <v>431</v>
      </c>
      <c r="G911" t="s">
        <v>82</v>
      </c>
      <c r="H911" t="s">
        <v>83</v>
      </c>
      <c r="J911" t="s">
        <v>52</v>
      </c>
      <c r="K911" s="15">
        <v>1500</v>
      </c>
      <c r="M911" s="13">
        <v>45155</v>
      </c>
      <c r="O911">
        <v>0</v>
      </c>
      <c r="P911">
        <v>0</v>
      </c>
      <c r="Q911">
        <v>0</v>
      </c>
      <c r="R911">
        <v>606.75336260973063</v>
      </c>
      <c r="S911">
        <v>16138.826163863734</v>
      </c>
      <c r="T911">
        <v>0</v>
      </c>
      <c r="U911">
        <v>0</v>
      </c>
      <c r="V911">
        <v>85797.853792470967</v>
      </c>
      <c r="W911">
        <v>0</v>
      </c>
      <c r="X911">
        <v>0</v>
      </c>
      <c r="Y911">
        <v>102543.43331894443</v>
      </c>
      <c r="Z911">
        <v>7135.5675969434296</v>
      </c>
      <c r="AA911">
        <v>109679.00091588785</v>
      </c>
      <c r="AB911" t="s">
        <v>242</v>
      </c>
      <c r="AC911">
        <v>6</v>
      </c>
      <c r="AD911">
        <v>14500</v>
      </c>
      <c r="AE911">
        <v>0</v>
      </c>
      <c r="AF911">
        <v>0</v>
      </c>
      <c r="AG911">
        <v>942.95582746044988</v>
      </c>
      <c r="AH911" t="s">
        <v>58</v>
      </c>
    </row>
    <row r="912" spans="1:34" x14ac:dyDescent="0.3">
      <c r="A912" t="s">
        <v>798</v>
      </c>
      <c r="B912">
        <v>12200136</v>
      </c>
      <c r="C912">
        <v>6001560014</v>
      </c>
      <c r="D912" t="s">
        <v>811</v>
      </c>
      <c r="E912" t="s">
        <v>437</v>
      </c>
      <c r="F912" t="s">
        <v>427</v>
      </c>
      <c r="G912" t="s">
        <v>82</v>
      </c>
      <c r="H912" t="s">
        <v>82</v>
      </c>
      <c r="J912" t="s">
        <v>52</v>
      </c>
      <c r="K912" s="15">
        <v>1500</v>
      </c>
      <c r="L912" s="15">
        <v>0</v>
      </c>
      <c r="M912" s="13">
        <v>45156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1067.4399999999996</v>
      </c>
      <c r="W912">
        <v>0</v>
      </c>
      <c r="X912">
        <v>0</v>
      </c>
      <c r="Y912">
        <v>1067.4399999999996</v>
      </c>
      <c r="Z912">
        <v>0</v>
      </c>
      <c r="AA912">
        <v>1067.4399999999996</v>
      </c>
      <c r="AB912" t="s">
        <v>242</v>
      </c>
      <c r="AC912">
        <v>3</v>
      </c>
      <c r="AD912">
        <v>4500</v>
      </c>
      <c r="AE912">
        <v>0</v>
      </c>
      <c r="AF912">
        <v>0</v>
      </c>
      <c r="AG912">
        <v>0</v>
      </c>
      <c r="AH912" t="s">
        <v>58</v>
      </c>
    </row>
    <row r="913" spans="1:34" x14ac:dyDescent="0.3">
      <c r="A913" t="s">
        <v>798</v>
      </c>
      <c r="B913">
        <v>4142300377</v>
      </c>
      <c r="C913">
        <v>10166278</v>
      </c>
      <c r="D913" t="s">
        <v>917</v>
      </c>
      <c r="E913" t="s">
        <v>445</v>
      </c>
      <c r="F913" t="s">
        <v>430</v>
      </c>
      <c r="G913" t="s">
        <v>230</v>
      </c>
      <c r="H913" t="s">
        <v>234</v>
      </c>
      <c r="J913" t="s">
        <v>52</v>
      </c>
      <c r="K913" s="15">
        <v>20000</v>
      </c>
      <c r="L913" s="15">
        <v>0</v>
      </c>
      <c r="M913" s="13">
        <v>45156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681982.07655869937</v>
      </c>
      <c r="Y913">
        <v>681982.07655869937</v>
      </c>
      <c r="Z913">
        <v>47738.745359108958</v>
      </c>
      <c r="AA913">
        <v>729720.82191780838</v>
      </c>
      <c r="AB913" t="s">
        <v>242</v>
      </c>
      <c r="AC913">
        <v>1</v>
      </c>
      <c r="AD913">
        <v>20000</v>
      </c>
      <c r="AE913">
        <v>0</v>
      </c>
      <c r="AF913">
        <v>0</v>
      </c>
      <c r="AG913">
        <v>1308.4112149532702</v>
      </c>
      <c r="AH913" t="s">
        <v>72</v>
      </c>
    </row>
    <row r="914" spans="1:34" x14ac:dyDescent="0.3">
      <c r="A914" t="s">
        <v>798</v>
      </c>
      <c r="B914">
        <v>4142301025</v>
      </c>
      <c r="C914">
        <v>10501272</v>
      </c>
      <c r="D914" t="s">
        <v>215</v>
      </c>
      <c r="E914" t="s">
        <v>445</v>
      </c>
      <c r="F914" t="s">
        <v>430</v>
      </c>
      <c r="G914" t="s">
        <v>230</v>
      </c>
      <c r="H914" t="s">
        <v>234</v>
      </c>
      <c r="J914" t="s">
        <v>52</v>
      </c>
      <c r="K914" s="15">
        <v>3500</v>
      </c>
      <c r="L914" s="15">
        <v>0</v>
      </c>
      <c r="M914" s="13">
        <v>45156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564872.73831775691</v>
      </c>
      <c r="Y914">
        <v>564872.73831775691</v>
      </c>
      <c r="Z914">
        <v>39541.091682242986</v>
      </c>
      <c r="AA914">
        <v>604413.82999999984</v>
      </c>
      <c r="AB914" t="s">
        <v>242</v>
      </c>
      <c r="AC914">
        <v>2</v>
      </c>
      <c r="AD914">
        <v>43500</v>
      </c>
      <c r="AE914">
        <v>0</v>
      </c>
      <c r="AF914">
        <v>0</v>
      </c>
      <c r="AG914">
        <v>2845.7943925233631</v>
      </c>
      <c r="AH914" t="s">
        <v>58</v>
      </c>
    </row>
    <row r="915" spans="1:34" x14ac:dyDescent="0.3">
      <c r="A915" t="s">
        <v>798</v>
      </c>
      <c r="B915">
        <v>4132300875</v>
      </c>
      <c r="C915" t="s">
        <v>353</v>
      </c>
      <c r="D915" t="s">
        <v>392</v>
      </c>
      <c r="E915" t="s">
        <v>441</v>
      </c>
      <c r="F915" t="s">
        <v>430</v>
      </c>
      <c r="G915" t="s">
        <v>233</v>
      </c>
      <c r="H915" t="s">
        <v>231</v>
      </c>
      <c r="J915" t="s">
        <v>416</v>
      </c>
      <c r="K915" s="15">
        <v>0.27554120421426609</v>
      </c>
      <c r="L915" s="15">
        <v>0</v>
      </c>
      <c r="M915" s="13">
        <v>45156</v>
      </c>
      <c r="O915">
        <v>0</v>
      </c>
      <c r="P915">
        <v>4745.2051123965575</v>
      </c>
      <c r="Q915">
        <v>0</v>
      </c>
      <c r="R915">
        <v>0</v>
      </c>
      <c r="S915">
        <v>31302.202280308491</v>
      </c>
      <c r="T915">
        <v>97151.955707752291</v>
      </c>
      <c r="U915">
        <v>0</v>
      </c>
      <c r="V915">
        <v>0</v>
      </c>
      <c r="W915">
        <v>0</v>
      </c>
      <c r="X915">
        <v>0</v>
      </c>
      <c r="Y915">
        <v>133199.36310045735</v>
      </c>
      <c r="Z915">
        <v>6800.636899542661</v>
      </c>
      <c r="AA915">
        <v>140000.00000000003</v>
      </c>
      <c r="AB915" t="s">
        <v>242</v>
      </c>
      <c r="AC915">
        <v>0</v>
      </c>
      <c r="AD915">
        <v>0</v>
      </c>
      <c r="AE915">
        <v>0</v>
      </c>
      <c r="AF915">
        <v>0</v>
      </c>
      <c r="AG915">
        <v>0</v>
      </c>
      <c r="AH915" t="s">
        <v>72</v>
      </c>
    </row>
    <row r="916" spans="1:34" x14ac:dyDescent="0.3">
      <c r="A916" t="s">
        <v>798</v>
      </c>
      <c r="B916">
        <v>4132300875</v>
      </c>
      <c r="C916" t="s">
        <v>353</v>
      </c>
      <c r="D916" t="s">
        <v>392</v>
      </c>
      <c r="E916" t="s">
        <v>441</v>
      </c>
      <c r="F916" t="s">
        <v>430</v>
      </c>
      <c r="G916" t="s">
        <v>419</v>
      </c>
      <c r="H916" t="s">
        <v>231</v>
      </c>
      <c r="J916" t="s">
        <v>52</v>
      </c>
      <c r="K916" s="15">
        <v>140000</v>
      </c>
      <c r="L916" s="15">
        <v>0</v>
      </c>
      <c r="M916" s="13">
        <v>45156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">
        <v>242</v>
      </c>
      <c r="AC916">
        <v>1</v>
      </c>
      <c r="AD916">
        <v>140000</v>
      </c>
      <c r="AE916">
        <v>0</v>
      </c>
      <c r="AF916">
        <v>0</v>
      </c>
      <c r="AG916">
        <v>6800.6368995426601</v>
      </c>
      <c r="AH916" t="s">
        <v>58</v>
      </c>
    </row>
    <row r="917" spans="1:34" x14ac:dyDescent="0.3">
      <c r="A917" t="s">
        <v>798</v>
      </c>
      <c r="B917">
        <v>42201151</v>
      </c>
      <c r="C917">
        <v>2759024152</v>
      </c>
      <c r="D917" t="s">
        <v>830</v>
      </c>
      <c r="E917" t="s">
        <v>439</v>
      </c>
      <c r="F917" t="s">
        <v>430</v>
      </c>
      <c r="G917" t="s">
        <v>230</v>
      </c>
      <c r="H917" t="s">
        <v>234</v>
      </c>
      <c r="J917" t="s">
        <v>52</v>
      </c>
      <c r="K917" s="15">
        <v>3500</v>
      </c>
      <c r="L917" s="15">
        <v>0</v>
      </c>
      <c r="M917" s="13">
        <v>45157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314147.22429906542</v>
      </c>
      <c r="Y917">
        <v>314147.22429906542</v>
      </c>
      <c r="Z917">
        <v>21990.305700934583</v>
      </c>
      <c r="AA917">
        <v>336137.53</v>
      </c>
      <c r="AB917" t="s">
        <v>242</v>
      </c>
      <c r="AC917">
        <v>9</v>
      </c>
      <c r="AD917">
        <v>14000</v>
      </c>
      <c r="AE917">
        <v>0</v>
      </c>
      <c r="AF917">
        <v>0</v>
      </c>
      <c r="AG917">
        <v>915.88785046729049</v>
      </c>
      <c r="AH917" t="s">
        <v>58</v>
      </c>
    </row>
    <row r="918" spans="1:34" x14ac:dyDescent="0.3">
      <c r="A918" t="s">
        <v>798</v>
      </c>
      <c r="B918">
        <v>52200766</v>
      </c>
      <c r="C918">
        <v>24621811</v>
      </c>
      <c r="D918" t="s">
        <v>862</v>
      </c>
      <c r="E918" t="s">
        <v>438</v>
      </c>
      <c r="F918" t="s">
        <v>431</v>
      </c>
      <c r="G918" t="s">
        <v>82</v>
      </c>
      <c r="H918" t="s">
        <v>83</v>
      </c>
      <c r="J918" t="s">
        <v>52</v>
      </c>
      <c r="K918" s="15">
        <v>1750</v>
      </c>
      <c r="L918" s="15">
        <v>0</v>
      </c>
      <c r="M918" s="13">
        <v>45158</v>
      </c>
      <c r="O918">
        <v>0</v>
      </c>
      <c r="P918">
        <v>0</v>
      </c>
      <c r="Q918">
        <v>0</v>
      </c>
      <c r="R918">
        <v>747.73352011066584</v>
      </c>
      <c r="S918">
        <v>10167.597022804004</v>
      </c>
      <c r="T918">
        <v>0</v>
      </c>
      <c r="U918">
        <v>0</v>
      </c>
      <c r="V918">
        <v>35671.904134049502</v>
      </c>
      <c r="W918">
        <v>0</v>
      </c>
      <c r="X918">
        <v>0</v>
      </c>
      <c r="Y918">
        <v>46587.234676964174</v>
      </c>
      <c r="Z918">
        <v>3208.7650809797456</v>
      </c>
      <c r="AA918">
        <v>49795.999757943922</v>
      </c>
      <c r="AB918" t="s">
        <v>242</v>
      </c>
      <c r="AC918">
        <v>2</v>
      </c>
      <c r="AD918">
        <v>2750</v>
      </c>
      <c r="AE918">
        <v>0</v>
      </c>
      <c r="AF918">
        <v>0</v>
      </c>
      <c r="AG918">
        <v>177.01060411938943</v>
      </c>
      <c r="AH918" t="s">
        <v>58</v>
      </c>
    </row>
    <row r="919" spans="1:34" x14ac:dyDescent="0.3">
      <c r="A919" t="s">
        <v>798</v>
      </c>
      <c r="B919">
        <v>4132300331</v>
      </c>
      <c r="C919">
        <v>9040040746</v>
      </c>
      <c r="D919" t="s">
        <v>174</v>
      </c>
      <c r="E919" t="s">
        <v>441</v>
      </c>
      <c r="F919" t="s">
        <v>430</v>
      </c>
      <c r="G919" t="s">
        <v>230</v>
      </c>
      <c r="H919" t="s">
        <v>231</v>
      </c>
      <c r="J919" t="s">
        <v>52</v>
      </c>
      <c r="K919" s="15">
        <v>2000</v>
      </c>
      <c r="L919" s="15">
        <v>0</v>
      </c>
      <c r="M919" s="13">
        <v>45158</v>
      </c>
      <c r="O919">
        <v>0</v>
      </c>
      <c r="P919">
        <v>9483.8036263487556</v>
      </c>
      <c r="Q919">
        <v>0</v>
      </c>
      <c r="R919">
        <v>0</v>
      </c>
      <c r="S919">
        <v>7733.8356164383558</v>
      </c>
      <c r="T919">
        <v>42431.024648272192</v>
      </c>
      <c r="U919">
        <v>0</v>
      </c>
      <c r="V919">
        <v>0</v>
      </c>
      <c r="W919">
        <v>168224.29906542055</v>
      </c>
      <c r="X919">
        <v>0</v>
      </c>
      <c r="Y919">
        <v>227872.96295647987</v>
      </c>
      <c r="Z919">
        <v>14745.872659958493</v>
      </c>
      <c r="AA919">
        <v>242618.83561643836</v>
      </c>
      <c r="AB919" t="s">
        <v>242</v>
      </c>
      <c r="AC919">
        <v>1</v>
      </c>
      <c r="AD919">
        <v>2000</v>
      </c>
      <c r="AE919">
        <v>0</v>
      </c>
      <c r="AF919">
        <v>0</v>
      </c>
      <c r="AG919">
        <v>120.94976994804938</v>
      </c>
      <c r="AH919" t="s">
        <v>72</v>
      </c>
    </row>
    <row r="920" spans="1:34" x14ac:dyDescent="0.3">
      <c r="A920" t="s">
        <v>798</v>
      </c>
      <c r="B920">
        <v>42201137</v>
      </c>
      <c r="C920">
        <v>2759030322</v>
      </c>
      <c r="D920" s="38" t="s">
        <v>269</v>
      </c>
      <c r="E920" t="s">
        <v>439</v>
      </c>
      <c r="F920" t="s">
        <v>430</v>
      </c>
      <c r="G920" t="s">
        <v>237</v>
      </c>
      <c r="H920" t="s">
        <v>234</v>
      </c>
      <c r="J920" s="37" t="s">
        <v>425</v>
      </c>
      <c r="K920">
        <v>79400</v>
      </c>
      <c r="L920" s="15">
        <v>75</v>
      </c>
      <c r="M920" s="13">
        <v>45159</v>
      </c>
      <c r="O920">
        <v>75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348730.84112149535</v>
      </c>
      <c r="Y920">
        <v>348805.84112149535</v>
      </c>
      <c r="Z920">
        <v>24411.158878504677</v>
      </c>
      <c r="AA920">
        <v>373217</v>
      </c>
      <c r="AB920" t="s">
        <v>242</v>
      </c>
      <c r="AC920">
        <v>0</v>
      </c>
      <c r="AD920">
        <v>0</v>
      </c>
      <c r="AE920">
        <v>0</v>
      </c>
      <c r="AF920">
        <v>84958</v>
      </c>
      <c r="AG920">
        <v>5558</v>
      </c>
      <c r="AH920" t="s">
        <v>72</v>
      </c>
    </row>
    <row r="921" spans="1:34" x14ac:dyDescent="0.3">
      <c r="A921" t="s">
        <v>798</v>
      </c>
      <c r="B921">
        <v>4142300129</v>
      </c>
      <c r="C921">
        <v>10018900</v>
      </c>
      <c r="D921" s="38" t="s">
        <v>266</v>
      </c>
      <c r="E921" t="s">
        <v>445</v>
      </c>
      <c r="F921" t="s">
        <v>430</v>
      </c>
      <c r="G921" t="s">
        <v>230</v>
      </c>
      <c r="H921" t="s">
        <v>234</v>
      </c>
      <c r="J921" s="37" t="s">
        <v>52</v>
      </c>
      <c r="K921">
        <v>15000</v>
      </c>
      <c r="L921" s="15">
        <v>0</v>
      </c>
      <c r="M921" s="13">
        <v>45159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33628.971962616823</v>
      </c>
      <c r="Y921">
        <v>33628.971962616823</v>
      </c>
      <c r="Z921">
        <v>2354.0280373831779</v>
      </c>
      <c r="AA921">
        <v>35983</v>
      </c>
      <c r="AB921" t="s">
        <v>242</v>
      </c>
      <c r="AC921">
        <v>2</v>
      </c>
      <c r="AD921">
        <v>18000</v>
      </c>
      <c r="AE921">
        <v>0</v>
      </c>
      <c r="AF921">
        <v>0</v>
      </c>
      <c r="AG921">
        <v>1177.5700934579445</v>
      </c>
      <c r="AH921" t="s">
        <v>58</v>
      </c>
    </row>
    <row r="922" spans="1:34" x14ac:dyDescent="0.3">
      <c r="A922" t="s">
        <v>798</v>
      </c>
      <c r="B922">
        <v>4142300320</v>
      </c>
      <c r="C922">
        <v>10149172</v>
      </c>
      <c r="D922" t="s">
        <v>270</v>
      </c>
      <c r="E922" t="s">
        <v>445</v>
      </c>
      <c r="F922" t="s">
        <v>430</v>
      </c>
      <c r="G922" t="s">
        <v>237</v>
      </c>
      <c r="H922" t="s">
        <v>234</v>
      </c>
      <c r="J922" t="s">
        <v>425</v>
      </c>
      <c r="K922" s="15">
        <v>420000</v>
      </c>
      <c r="L922" s="15">
        <v>89</v>
      </c>
      <c r="M922" s="13">
        <v>45159</v>
      </c>
      <c r="O922">
        <v>89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267175.9252336449</v>
      </c>
      <c r="Y922">
        <v>267264.9252336449</v>
      </c>
      <c r="Z922">
        <v>18702.314766355146</v>
      </c>
      <c r="AA922">
        <v>285967.24000000005</v>
      </c>
      <c r="AB922" t="s">
        <v>242</v>
      </c>
      <c r="AC922">
        <v>0</v>
      </c>
      <c r="AD922">
        <v>0</v>
      </c>
      <c r="AE922">
        <v>0</v>
      </c>
      <c r="AF922">
        <v>449400</v>
      </c>
      <c r="AG922">
        <v>29400</v>
      </c>
      <c r="AH922" t="s">
        <v>72</v>
      </c>
    </row>
    <row r="923" spans="1:34" x14ac:dyDescent="0.3">
      <c r="A923" t="s">
        <v>798</v>
      </c>
      <c r="B923">
        <v>4142300783</v>
      </c>
      <c r="C923">
        <v>10360209</v>
      </c>
      <c r="D923" t="s">
        <v>271</v>
      </c>
      <c r="E923" t="s">
        <v>445</v>
      </c>
      <c r="F923" t="s">
        <v>430</v>
      </c>
      <c r="G923" t="s">
        <v>237</v>
      </c>
      <c r="H923" t="s">
        <v>234</v>
      </c>
      <c r="J923" t="s">
        <v>425</v>
      </c>
      <c r="K923" s="15">
        <v>130800</v>
      </c>
      <c r="L923" s="15">
        <v>90</v>
      </c>
      <c r="M923" s="13">
        <v>45159</v>
      </c>
      <c r="O923">
        <v>90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301108.58878504671</v>
      </c>
      <c r="Y923">
        <v>301198.58878504671</v>
      </c>
      <c r="Z923">
        <v>21077.601214953273</v>
      </c>
      <c r="AA923">
        <v>322276.19</v>
      </c>
      <c r="AB923" t="s">
        <v>242</v>
      </c>
      <c r="AC923">
        <v>0</v>
      </c>
      <c r="AD923">
        <v>0</v>
      </c>
      <c r="AE923">
        <v>0</v>
      </c>
      <c r="AF923">
        <v>139956</v>
      </c>
      <c r="AG923">
        <v>9156</v>
      </c>
      <c r="AH923" t="s">
        <v>72</v>
      </c>
    </row>
    <row r="924" spans="1:34" x14ac:dyDescent="0.3">
      <c r="A924" t="s">
        <v>798</v>
      </c>
      <c r="B924">
        <v>4142301029</v>
      </c>
      <c r="C924">
        <v>10508462</v>
      </c>
      <c r="D924" t="s">
        <v>272</v>
      </c>
      <c r="E924" t="s">
        <v>445</v>
      </c>
      <c r="F924" t="s">
        <v>430</v>
      </c>
      <c r="G924" t="s">
        <v>237</v>
      </c>
      <c r="H924" t="s">
        <v>234</v>
      </c>
      <c r="J924" t="s">
        <v>425</v>
      </c>
      <c r="K924" s="15">
        <v>93400</v>
      </c>
      <c r="L924" s="15">
        <v>2066</v>
      </c>
      <c r="M924" s="13">
        <v>45159</v>
      </c>
      <c r="O924">
        <v>2066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321026.57943925232</v>
      </c>
      <c r="Y924">
        <v>323092.57943925232</v>
      </c>
      <c r="Z924">
        <v>22471.860560747664</v>
      </c>
      <c r="AA924">
        <v>345564.44</v>
      </c>
      <c r="AB924" t="s">
        <v>242</v>
      </c>
      <c r="AC924">
        <v>0</v>
      </c>
      <c r="AD924">
        <v>0</v>
      </c>
      <c r="AE924">
        <v>0</v>
      </c>
      <c r="AF924">
        <v>99938</v>
      </c>
      <c r="AG924">
        <v>6538</v>
      </c>
      <c r="AH924" t="s">
        <v>72</v>
      </c>
    </row>
    <row r="925" spans="1:34" x14ac:dyDescent="0.3">
      <c r="A925" t="s">
        <v>798</v>
      </c>
      <c r="B925">
        <v>12200047</v>
      </c>
      <c r="C925">
        <v>25275500</v>
      </c>
      <c r="D925" t="s">
        <v>88</v>
      </c>
      <c r="E925" t="s">
        <v>436</v>
      </c>
      <c r="F925" t="s">
        <v>427</v>
      </c>
      <c r="G925" t="s">
        <v>82</v>
      </c>
      <c r="H925" t="s">
        <v>82</v>
      </c>
      <c r="J925" t="s">
        <v>52</v>
      </c>
      <c r="K925" s="15">
        <v>500</v>
      </c>
      <c r="L925" s="15">
        <v>0</v>
      </c>
      <c r="M925" s="13">
        <v>45159</v>
      </c>
      <c r="O925">
        <v>0</v>
      </c>
      <c r="P925">
        <v>0</v>
      </c>
      <c r="Q925">
        <v>0</v>
      </c>
      <c r="R925">
        <v>0</v>
      </c>
      <c r="S925">
        <v>55801.279504387319</v>
      </c>
      <c r="T925">
        <v>0</v>
      </c>
      <c r="U925">
        <v>0</v>
      </c>
      <c r="V925">
        <v>278431.83561643836</v>
      </c>
      <c r="W925">
        <v>0</v>
      </c>
      <c r="X925">
        <v>0</v>
      </c>
      <c r="Y925">
        <v>334233.11512082571</v>
      </c>
      <c r="Z925">
        <v>0</v>
      </c>
      <c r="AA925">
        <v>334233.11512082571</v>
      </c>
      <c r="AB925" t="s">
        <v>242</v>
      </c>
      <c r="AC925">
        <v>4</v>
      </c>
      <c r="AD925">
        <v>3500</v>
      </c>
      <c r="AE925">
        <v>0</v>
      </c>
      <c r="AF925">
        <v>0</v>
      </c>
      <c r="AG925">
        <v>0</v>
      </c>
      <c r="AH925" t="s">
        <v>58</v>
      </c>
    </row>
    <row r="926" spans="1:34" x14ac:dyDescent="0.3">
      <c r="A926" t="s">
        <v>798</v>
      </c>
      <c r="B926">
        <v>52200247</v>
      </c>
      <c r="C926">
        <v>23477201</v>
      </c>
      <c r="D926" t="s">
        <v>135</v>
      </c>
      <c r="E926" t="s">
        <v>436</v>
      </c>
      <c r="F926" t="s">
        <v>431</v>
      </c>
      <c r="G926" t="s">
        <v>82</v>
      </c>
      <c r="H926" t="s">
        <v>83</v>
      </c>
      <c r="J926" t="s">
        <v>52</v>
      </c>
      <c r="K926" s="15">
        <v>1000</v>
      </c>
      <c r="L926" s="15">
        <v>0</v>
      </c>
      <c r="M926" s="13">
        <v>45159</v>
      </c>
      <c r="O926">
        <v>0</v>
      </c>
      <c r="P926">
        <v>0</v>
      </c>
      <c r="Q926">
        <v>0</v>
      </c>
      <c r="R926">
        <v>619.74723576874931</v>
      </c>
      <c r="S926">
        <v>7511.7627423595432</v>
      </c>
      <c r="T926">
        <v>0</v>
      </c>
      <c r="U926">
        <v>0</v>
      </c>
      <c r="V926">
        <v>46605.297542143431</v>
      </c>
      <c r="W926">
        <v>0</v>
      </c>
      <c r="X926">
        <v>0</v>
      </c>
      <c r="Y926">
        <v>54736.807520271723</v>
      </c>
      <c r="Z926">
        <v>3788.1942199152086</v>
      </c>
      <c r="AA926">
        <v>58525.001740186934</v>
      </c>
      <c r="AB926" t="s">
        <v>242</v>
      </c>
      <c r="AC926">
        <v>4</v>
      </c>
      <c r="AD926">
        <v>15000</v>
      </c>
      <c r="AE926">
        <v>0</v>
      </c>
      <c r="AF926">
        <v>0</v>
      </c>
      <c r="AG926">
        <v>970.03953878861046</v>
      </c>
      <c r="AH926" t="s">
        <v>58</v>
      </c>
    </row>
    <row r="927" spans="1:34" x14ac:dyDescent="0.3">
      <c r="A927" t="s">
        <v>798</v>
      </c>
      <c r="B927">
        <v>52200714</v>
      </c>
      <c r="C927">
        <v>30196144</v>
      </c>
      <c r="D927" t="s">
        <v>860</v>
      </c>
      <c r="E927" t="s">
        <v>438</v>
      </c>
      <c r="F927" t="s">
        <v>431</v>
      </c>
      <c r="G927" t="s">
        <v>82</v>
      </c>
      <c r="H927" t="s">
        <v>83</v>
      </c>
      <c r="J927" t="s">
        <v>52</v>
      </c>
      <c r="K927" s="15">
        <v>500</v>
      </c>
      <c r="L927" s="15">
        <v>0</v>
      </c>
      <c r="M927" s="13">
        <v>45159</v>
      </c>
      <c r="O927">
        <v>0</v>
      </c>
      <c r="P927">
        <v>0</v>
      </c>
      <c r="Q927">
        <v>0</v>
      </c>
      <c r="R927">
        <v>970.12933619270416</v>
      </c>
      <c r="S927">
        <v>24386.795012904018</v>
      </c>
      <c r="T927">
        <v>0</v>
      </c>
      <c r="U927">
        <v>0</v>
      </c>
      <c r="V927">
        <v>52336.448598130839</v>
      </c>
      <c r="W927">
        <v>0</v>
      </c>
      <c r="X927">
        <v>0</v>
      </c>
      <c r="Y927">
        <v>77693.372947227559</v>
      </c>
      <c r="Z927">
        <v>5370.62705277244</v>
      </c>
      <c r="AA927">
        <v>83064</v>
      </c>
      <c r="AB927" t="s">
        <v>242</v>
      </c>
      <c r="AC927">
        <v>5</v>
      </c>
      <c r="AD927">
        <v>5500</v>
      </c>
      <c r="AE927">
        <v>0</v>
      </c>
      <c r="AF927">
        <v>0</v>
      </c>
      <c r="AG927">
        <v>355.30752666681246</v>
      </c>
      <c r="AH927" t="s">
        <v>58</v>
      </c>
    </row>
    <row r="928" spans="1:34" x14ac:dyDescent="0.3">
      <c r="A928" t="s">
        <v>798</v>
      </c>
      <c r="B928">
        <v>52200770</v>
      </c>
      <c r="C928">
        <v>26747789</v>
      </c>
      <c r="D928" t="s">
        <v>863</v>
      </c>
      <c r="E928" t="s">
        <v>438</v>
      </c>
      <c r="F928" t="s">
        <v>431</v>
      </c>
      <c r="G928" t="s">
        <v>82</v>
      </c>
      <c r="H928" t="s">
        <v>83</v>
      </c>
      <c r="J928" t="s">
        <v>52</v>
      </c>
      <c r="K928" s="15">
        <v>500</v>
      </c>
      <c r="L928" s="15">
        <v>0</v>
      </c>
      <c r="M928" s="13">
        <v>45159</v>
      </c>
      <c r="O928">
        <v>0</v>
      </c>
      <c r="P928">
        <v>0</v>
      </c>
      <c r="Q928">
        <v>0</v>
      </c>
      <c r="R928">
        <v>1061.7820001811172</v>
      </c>
      <c r="S928">
        <v>14981.596881995838</v>
      </c>
      <c r="T928">
        <v>0</v>
      </c>
      <c r="U928">
        <v>0</v>
      </c>
      <c r="V928">
        <v>42546.644545033792</v>
      </c>
      <c r="W928">
        <v>0</v>
      </c>
      <c r="X928">
        <v>0</v>
      </c>
      <c r="Y928">
        <v>58590.023427210748</v>
      </c>
      <c r="Z928">
        <v>4026.9768998920745</v>
      </c>
      <c r="AA928">
        <v>62617.000327102825</v>
      </c>
      <c r="AB928" t="s">
        <v>242</v>
      </c>
      <c r="AC928">
        <v>2</v>
      </c>
      <c r="AD928">
        <v>1500</v>
      </c>
      <c r="AE928">
        <v>0</v>
      </c>
      <c r="AF928">
        <v>0</v>
      </c>
      <c r="AG928">
        <v>96.350224310914257</v>
      </c>
      <c r="AH928" t="s">
        <v>58</v>
      </c>
    </row>
    <row r="929" spans="1:34" x14ac:dyDescent="0.3">
      <c r="A929" t="s">
        <v>798</v>
      </c>
      <c r="B929">
        <v>52201746</v>
      </c>
      <c r="C929">
        <v>27419275</v>
      </c>
      <c r="D929" t="s">
        <v>885</v>
      </c>
      <c r="E929" t="s">
        <v>438</v>
      </c>
      <c r="F929" t="s">
        <v>431</v>
      </c>
      <c r="G929" t="s">
        <v>82</v>
      </c>
      <c r="H929" t="s">
        <v>83</v>
      </c>
      <c r="J929" t="s">
        <v>52</v>
      </c>
      <c r="K929" s="15">
        <v>500</v>
      </c>
      <c r="L929" s="15">
        <v>0</v>
      </c>
      <c r="M929" s="13">
        <v>45159</v>
      </c>
      <c r="O929">
        <v>0</v>
      </c>
      <c r="P929">
        <v>0</v>
      </c>
      <c r="Q929">
        <v>0</v>
      </c>
      <c r="R929">
        <v>869.0312335381318</v>
      </c>
      <c r="S929">
        <v>62886.032091618057</v>
      </c>
      <c r="T929">
        <v>0</v>
      </c>
      <c r="U929">
        <v>0</v>
      </c>
      <c r="V929">
        <v>90697.116269910635</v>
      </c>
      <c r="W929">
        <v>0</v>
      </c>
      <c r="X929">
        <v>0</v>
      </c>
      <c r="Y929">
        <v>154452.17959506682</v>
      </c>
      <c r="Z929">
        <v>10750.82038530701</v>
      </c>
      <c r="AA929">
        <v>165202.99998037383</v>
      </c>
      <c r="AB929" t="s">
        <v>242</v>
      </c>
      <c r="AC929">
        <v>3</v>
      </c>
      <c r="AD929">
        <v>3900</v>
      </c>
      <c r="AE929">
        <v>0</v>
      </c>
      <c r="AF929">
        <v>0</v>
      </c>
      <c r="AG929">
        <v>253.70297789501819</v>
      </c>
      <c r="AH929" t="s">
        <v>58</v>
      </c>
    </row>
    <row r="930" spans="1:34" x14ac:dyDescent="0.3">
      <c r="A930" t="s">
        <v>798</v>
      </c>
      <c r="B930">
        <v>4142300939</v>
      </c>
      <c r="C930">
        <v>10449473</v>
      </c>
      <c r="D930" t="s">
        <v>214</v>
      </c>
      <c r="E930" t="s">
        <v>445</v>
      </c>
      <c r="F930" t="s">
        <v>430</v>
      </c>
      <c r="G930" t="s">
        <v>230</v>
      </c>
      <c r="H930" t="s">
        <v>234</v>
      </c>
      <c r="J930" t="s">
        <v>52</v>
      </c>
      <c r="K930" s="15">
        <v>1000</v>
      </c>
      <c r="L930" s="15">
        <v>0</v>
      </c>
      <c r="M930" s="13">
        <v>45159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334956.08411214955</v>
      </c>
      <c r="Y930">
        <v>334956.08411214955</v>
      </c>
      <c r="Z930">
        <v>23446.92588785047</v>
      </c>
      <c r="AA930">
        <v>358403.01</v>
      </c>
      <c r="AB930" t="s">
        <v>242</v>
      </c>
      <c r="AC930">
        <v>2</v>
      </c>
      <c r="AD930">
        <v>1500</v>
      </c>
      <c r="AE930">
        <v>0</v>
      </c>
      <c r="AF930">
        <v>0</v>
      </c>
      <c r="AG930">
        <v>98.130841121495337</v>
      </c>
      <c r="AH930" t="s">
        <v>58</v>
      </c>
    </row>
    <row r="931" spans="1:34" x14ac:dyDescent="0.3">
      <c r="A931" t="s">
        <v>798</v>
      </c>
      <c r="B931">
        <v>4132300862</v>
      </c>
      <c r="C931" t="s">
        <v>351</v>
      </c>
      <c r="D931" t="s">
        <v>390</v>
      </c>
      <c r="E931" t="s">
        <v>441</v>
      </c>
      <c r="F931" t="s">
        <v>430</v>
      </c>
      <c r="G931" t="s">
        <v>238</v>
      </c>
      <c r="H931" t="s">
        <v>236</v>
      </c>
      <c r="J931" t="s">
        <v>52</v>
      </c>
      <c r="K931" s="15">
        <v>3000</v>
      </c>
      <c r="L931" s="15">
        <v>0</v>
      </c>
      <c r="M931" s="13">
        <v>45159</v>
      </c>
      <c r="O931">
        <v>0</v>
      </c>
      <c r="P931">
        <v>0</v>
      </c>
      <c r="Q931">
        <v>0</v>
      </c>
      <c r="R931">
        <v>0</v>
      </c>
      <c r="S931">
        <v>14436.837679710465</v>
      </c>
      <c r="T931">
        <v>0</v>
      </c>
      <c r="U931">
        <v>0</v>
      </c>
      <c r="V931">
        <v>40270.590825517043</v>
      </c>
      <c r="W931">
        <v>0</v>
      </c>
      <c r="X931">
        <v>0</v>
      </c>
      <c r="Y931">
        <v>54707.428505227508</v>
      </c>
      <c r="Z931">
        <v>2818.9413577861933</v>
      </c>
      <c r="AA931">
        <v>57526.369863013701</v>
      </c>
      <c r="AB931" t="s">
        <v>242</v>
      </c>
      <c r="AC931">
        <v>2</v>
      </c>
      <c r="AD931">
        <v>6000</v>
      </c>
      <c r="AE931">
        <v>0</v>
      </c>
      <c r="AF931">
        <v>0</v>
      </c>
      <c r="AG931">
        <v>288.53527772782581</v>
      </c>
      <c r="AH931" t="s">
        <v>58</v>
      </c>
    </row>
    <row r="932" spans="1:34" x14ac:dyDescent="0.3">
      <c r="A932" t="s">
        <v>798</v>
      </c>
      <c r="B932">
        <v>4142300200</v>
      </c>
      <c r="C932" t="s">
        <v>482</v>
      </c>
      <c r="D932" t="s">
        <v>554</v>
      </c>
      <c r="E932" t="s">
        <v>445</v>
      </c>
      <c r="F932" t="s">
        <v>430</v>
      </c>
      <c r="G932" t="s">
        <v>421</v>
      </c>
      <c r="H932" t="s">
        <v>234</v>
      </c>
      <c r="J932" t="s">
        <v>450</v>
      </c>
      <c r="K932" s="15">
        <v>250000</v>
      </c>
      <c r="L932" s="15">
        <v>0</v>
      </c>
      <c r="M932" s="13">
        <v>45159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109770.09345794396</v>
      </c>
      <c r="Y932">
        <v>109770.09345794396</v>
      </c>
      <c r="Z932">
        <v>7683.9065420560783</v>
      </c>
      <c r="AA932">
        <v>117454.00000000004</v>
      </c>
      <c r="AB932" t="s">
        <v>242</v>
      </c>
      <c r="AC932">
        <v>0</v>
      </c>
      <c r="AD932">
        <v>0</v>
      </c>
      <c r="AE932">
        <v>0</v>
      </c>
      <c r="AF932">
        <v>250000</v>
      </c>
      <c r="AG932">
        <v>16355.140186915902</v>
      </c>
      <c r="AH932" t="s">
        <v>72</v>
      </c>
    </row>
    <row r="933" spans="1:34" x14ac:dyDescent="0.3">
      <c r="A933" t="s">
        <v>798</v>
      </c>
      <c r="B933">
        <v>4142300258</v>
      </c>
      <c r="C933" t="s">
        <v>483</v>
      </c>
      <c r="D933" t="s">
        <v>555</v>
      </c>
      <c r="E933" t="s">
        <v>445</v>
      </c>
      <c r="F933" t="s">
        <v>430</v>
      </c>
      <c r="G933" t="s">
        <v>421</v>
      </c>
      <c r="H933" t="s">
        <v>234</v>
      </c>
      <c r="J933" t="s">
        <v>450</v>
      </c>
      <c r="K933" s="15">
        <v>900000</v>
      </c>
      <c r="L933" s="15">
        <v>2000</v>
      </c>
      <c r="M933" s="13">
        <v>45159</v>
      </c>
      <c r="O933">
        <v>2000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234050.73831775703</v>
      </c>
      <c r="Y933">
        <v>236050.73831775703</v>
      </c>
      <c r="Z933">
        <v>16383.551682242995</v>
      </c>
      <c r="AA933">
        <v>252434.29000000004</v>
      </c>
      <c r="AB933" t="s">
        <v>242</v>
      </c>
      <c r="AC933">
        <v>0</v>
      </c>
      <c r="AD933">
        <v>0</v>
      </c>
      <c r="AE933">
        <v>0</v>
      </c>
      <c r="AF933">
        <v>900000</v>
      </c>
      <c r="AG933">
        <v>58878.504672897165</v>
      </c>
      <c r="AH933" t="s">
        <v>72</v>
      </c>
    </row>
    <row r="934" spans="1:34" x14ac:dyDescent="0.3">
      <c r="A934" t="s">
        <v>798</v>
      </c>
      <c r="B934">
        <v>4142300579</v>
      </c>
      <c r="C934" t="s">
        <v>494</v>
      </c>
      <c r="D934" t="s">
        <v>566</v>
      </c>
      <c r="E934" t="s">
        <v>445</v>
      </c>
      <c r="F934" t="s">
        <v>430</v>
      </c>
      <c r="G934" t="s">
        <v>421</v>
      </c>
      <c r="H934" t="s">
        <v>234</v>
      </c>
      <c r="J934" t="s">
        <v>450</v>
      </c>
      <c r="K934" s="15">
        <v>60000</v>
      </c>
      <c r="L934" s="15">
        <v>0</v>
      </c>
      <c r="M934" s="13">
        <v>45159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164800.82186915888</v>
      </c>
      <c r="Y934">
        <v>164800.82186915888</v>
      </c>
      <c r="Z934">
        <v>11536.057530841123</v>
      </c>
      <c r="AA934">
        <v>176336.87940000001</v>
      </c>
      <c r="AB934" t="s">
        <v>242</v>
      </c>
      <c r="AC934">
        <v>0</v>
      </c>
      <c r="AD934">
        <v>0</v>
      </c>
      <c r="AE934">
        <v>0</v>
      </c>
      <c r="AF934">
        <v>60000</v>
      </c>
      <c r="AG934">
        <v>3925.2336448598144</v>
      </c>
      <c r="AH934" t="s">
        <v>72</v>
      </c>
    </row>
    <row r="935" spans="1:34" x14ac:dyDescent="0.3">
      <c r="A935" t="s">
        <v>798</v>
      </c>
      <c r="B935">
        <v>4142300836</v>
      </c>
      <c r="C935" t="s">
        <v>500</v>
      </c>
      <c r="D935" t="s">
        <v>572</v>
      </c>
      <c r="E935" t="s">
        <v>445</v>
      </c>
      <c r="F935" t="s">
        <v>430</v>
      </c>
      <c r="G935" t="s">
        <v>421</v>
      </c>
      <c r="H935" t="s">
        <v>234</v>
      </c>
      <c r="J935" t="s">
        <v>450</v>
      </c>
      <c r="K935" s="15">
        <v>70000</v>
      </c>
      <c r="L935" s="15">
        <v>0</v>
      </c>
      <c r="M935" s="13">
        <v>45159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131609.93457943926</v>
      </c>
      <c r="Y935">
        <v>131609.93457943926</v>
      </c>
      <c r="Z935">
        <v>9212.695420560749</v>
      </c>
      <c r="AA935">
        <v>140822.63</v>
      </c>
      <c r="AB935" t="s">
        <v>242</v>
      </c>
      <c r="AC935">
        <v>0</v>
      </c>
      <c r="AD935">
        <v>0</v>
      </c>
      <c r="AE935">
        <v>0</v>
      </c>
      <c r="AF935">
        <v>70000</v>
      </c>
      <c r="AG935">
        <v>4579.4392523364513</v>
      </c>
      <c r="AH935" t="s">
        <v>72</v>
      </c>
    </row>
    <row r="936" spans="1:34" x14ac:dyDescent="0.3">
      <c r="A936" t="s">
        <v>798</v>
      </c>
      <c r="B936">
        <v>4142300844</v>
      </c>
      <c r="C936" t="s">
        <v>501</v>
      </c>
      <c r="D936" t="s">
        <v>573</v>
      </c>
      <c r="E936" t="s">
        <v>445</v>
      </c>
      <c r="F936" t="s">
        <v>430</v>
      </c>
      <c r="G936" t="s">
        <v>421</v>
      </c>
      <c r="H936" t="s">
        <v>234</v>
      </c>
      <c r="J936" t="s">
        <v>450</v>
      </c>
      <c r="K936" s="15">
        <v>96500</v>
      </c>
      <c r="L936" s="15">
        <v>2000</v>
      </c>
      <c r="M936" s="13">
        <v>45159</v>
      </c>
      <c r="O936">
        <v>2000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134925.10280373832</v>
      </c>
      <c r="Y936">
        <v>136925.10280373832</v>
      </c>
      <c r="Z936">
        <v>9444.7571962616839</v>
      </c>
      <c r="AA936">
        <v>146369.86000000002</v>
      </c>
      <c r="AB936" t="s">
        <v>242</v>
      </c>
      <c r="AC936">
        <v>0</v>
      </c>
      <c r="AD936">
        <v>0</v>
      </c>
      <c r="AE936">
        <v>0</v>
      </c>
      <c r="AF936">
        <v>96500</v>
      </c>
      <c r="AG936">
        <v>6313.0841121495323</v>
      </c>
      <c r="AH936" t="s">
        <v>72</v>
      </c>
    </row>
    <row r="937" spans="1:34" x14ac:dyDescent="0.3">
      <c r="A937" t="s">
        <v>798</v>
      </c>
      <c r="B937">
        <v>4142300932</v>
      </c>
      <c r="C937" t="s">
        <v>503</v>
      </c>
      <c r="D937" t="s">
        <v>575</v>
      </c>
      <c r="E937" t="s">
        <v>445</v>
      </c>
      <c r="F937" t="s">
        <v>430</v>
      </c>
      <c r="G937" t="s">
        <v>421</v>
      </c>
      <c r="H937" t="s">
        <v>234</v>
      </c>
      <c r="J937" t="s">
        <v>450</v>
      </c>
      <c r="K937" s="15">
        <v>190000</v>
      </c>
      <c r="L937" s="15">
        <v>0</v>
      </c>
      <c r="M937" s="13">
        <v>45159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302616.17757009348</v>
      </c>
      <c r="Y937">
        <v>302616.17757009348</v>
      </c>
      <c r="Z937">
        <v>21183.132429906545</v>
      </c>
      <c r="AA937">
        <v>323799.31000000006</v>
      </c>
      <c r="AB937" t="s">
        <v>242</v>
      </c>
      <c r="AC937">
        <v>0</v>
      </c>
      <c r="AD937">
        <v>0</v>
      </c>
      <c r="AE937">
        <v>0</v>
      </c>
      <c r="AF937">
        <v>190000</v>
      </c>
      <c r="AG937">
        <v>12429.906542056066</v>
      </c>
      <c r="AH937" t="s">
        <v>72</v>
      </c>
    </row>
    <row r="938" spans="1:34" x14ac:dyDescent="0.3">
      <c r="A938" t="s">
        <v>798</v>
      </c>
      <c r="B938">
        <v>4142300935</v>
      </c>
      <c r="C938" t="s">
        <v>504</v>
      </c>
      <c r="D938" t="s">
        <v>576</v>
      </c>
      <c r="E938" t="s">
        <v>445</v>
      </c>
      <c r="F938" t="s">
        <v>430</v>
      </c>
      <c r="G938" t="s">
        <v>421</v>
      </c>
      <c r="H938" t="s">
        <v>234</v>
      </c>
      <c r="J938" t="s">
        <v>450</v>
      </c>
      <c r="K938" s="15">
        <v>80000</v>
      </c>
      <c r="L938" s="15">
        <v>0</v>
      </c>
      <c r="M938" s="13">
        <v>45159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267979.73831775703</v>
      </c>
      <c r="Y938">
        <v>267979.73831775703</v>
      </c>
      <c r="Z938">
        <v>18758.581682242995</v>
      </c>
      <c r="AA938">
        <v>286738.32</v>
      </c>
      <c r="AB938" t="s">
        <v>242</v>
      </c>
      <c r="AC938">
        <v>0</v>
      </c>
      <c r="AD938">
        <v>0</v>
      </c>
      <c r="AE938">
        <v>0</v>
      </c>
      <c r="AF938">
        <v>80000</v>
      </c>
      <c r="AG938">
        <v>5233.644859813081</v>
      </c>
      <c r="AH938" t="s">
        <v>72</v>
      </c>
    </row>
    <row r="939" spans="1:34" x14ac:dyDescent="0.3">
      <c r="A939" t="s">
        <v>798</v>
      </c>
      <c r="B939">
        <v>4142300940</v>
      </c>
      <c r="C939" t="s">
        <v>505</v>
      </c>
      <c r="D939" t="s">
        <v>577</v>
      </c>
      <c r="E939" t="s">
        <v>445</v>
      </c>
      <c r="F939" t="s">
        <v>430</v>
      </c>
      <c r="G939" t="s">
        <v>421</v>
      </c>
      <c r="H939" t="s">
        <v>234</v>
      </c>
      <c r="J939" t="s">
        <v>450</v>
      </c>
      <c r="K939" s="15">
        <v>250000</v>
      </c>
      <c r="L939" s="15">
        <v>0</v>
      </c>
      <c r="M939" s="13">
        <v>45159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350924.10280373832</v>
      </c>
      <c r="Y939">
        <v>350924.10280373832</v>
      </c>
      <c r="Z939">
        <v>24564.687196261686</v>
      </c>
      <c r="AA939">
        <v>375488.79000000004</v>
      </c>
      <c r="AB939" t="s">
        <v>242</v>
      </c>
      <c r="AC939">
        <v>0</v>
      </c>
      <c r="AD939">
        <v>0</v>
      </c>
      <c r="AE939">
        <v>0</v>
      </c>
      <c r="AF939">
        <v>250000</v>
      </c>
      <c r="AG939">
        <v>16355.140186915902</v>
      </c>
      <c r="AH939" t="s">
        <v>72</v>
      </c>
    </row>
    <row r="940" spans="1:34" x14ac:dyDescent="0.3">
      <c r="A940" t="s">
        <v>798</v>
      </c>
      <c r="B940">
        <v>4142300964</v>
      </c>
      <c r="C940" t="s">
        <v>506</v>
      </c>
      <c r="D940" t="s">
        <v>578</v>
      </c>
      <c r="E940" t="s">
        <v>445</v>
      </c>
      <c r="F940" t="s">
        <v>430</v>
      </c>
      <c r="G940" t="s">
        <v>421</v>
      </c>
      <c r="H940" t="s">
        <v>234</v>
      </c>
      <c r="J940" t="s">
        <v>450</v>
      </c>
      <c r="K940" s="15">
        <v>80000</v>
      </c>
      <c r="L940" s="15">
        <v>0</v>
      </c>
      <c r="M940" s="13">
        <v>45159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227088.08411214955</v>
      </c>
      <c r="Y940">
        <v>227088.08411214955</v>
      </c>
      <c r="Z940">
        <v>15896.16588785047</v>
      </c>
      <c r="AA940">
        <v>242984.25000000003</v>
      </c>
      <c r="AB940" t="s">
        <v>242</v>
      </c>
      <c r="AC940">
        <v>0</v>
      </c>
      <c r="AD940">
        <v>0</v>
      </c>
      <c r="AE940">
        <v>0</v>
      </c>
      <c r="AF940">
        <v>80000</v>
      </c>
      <c r="AG940">
        <v>5233.644859813081</v>
      </c>
      <c r="AH940" t="s">
        <v>72</v>
      </c>
    </row>
    <row r="941" spans="1:34" x14ac:dyDescent="0.3">
      <c r="A941" t="s">
        <v>798</v>
      </c>
      <c r="B941">
        <v>4142301038</v>
      </c>
      <c r="C941" t="s">
        <v>508</v>
      </c>
      <c r="D941" t="s">
        <v>580</v>
      </c>
      <c r="E941" t="s">
        <v>445</v>
      </c>
      <c r="F941" t="s">
        <v>430</v>
      </c>
      <c r="G941" t="s">
        <v>421</v>
      </c>
      <c r="H941" t="s">
        <v>234</v>
      </c>
      <c r="J941" t="s">
        <v>450</v>
      </c>
      <c r="K941" s="15">
        <v>150000</v>
      </c>
      <c r="L941" s="15">
        <v>0</v>
      </c>
      <c r="M941" s="13">
        <v>45159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212443.98130841122</v>
      </c>
      <c r="Y941">
        <v>212443.98130841122</v>
      </c>
      <c r="Z941">
        <v>14871.078691588787</v>
      </c>
      <c r="AA941">
        <v>227315.06</v>
      </c>
      <c r="AB941" t="s">
        <v>242</v>
      </c>
      <c r="AC941">
        <v>0</v>
      </c>
      <c r="AD941">
        <v>0</v>
      </c>
      <c r="AE941">
        <v>0</v>
      </c>
      <c r="AF941">
        <v>150000</v>
      </c>
      <c r="AG941">
        <v>9813.0841121495469</v>
      </c>
      <c r="AH941" t="s">
        <v>72</v>
      </c>
    </row>
    <row r="942" spans="1:34" x14ac:dyDescent="0.3">
      <c r="A942" t="s">
        <v>798</v>
      </c>
      <c r="B942">
        <v>52200055</v>
      </c>
      <c r="C942" t="s">
        <v>603</v>
      </c>
      <c r="D942" t="s">
        <v>602</v>
      </c>
      <c r="E942" t="s">
        <v>435</v>
      </c>
      <c r="F942" t="s">
        <v>431</v>
      </c>
      <c r="G942" t="s">
        <v>230</v>
      </c>
      <c r="H942" t="s">
        <v>231</v>
      </c>
      <c r="J942" t="s">
        <v>672</v>
      </c>
      <c r="M942" s="13">
        <v>45159</v>
      </c>
      <c r="O942">
        <v>5300</v>
      </c>
      <c r="P942">
        <v>0</v>
      </c>
      <c r="Q942">
        <v>0</v>
      </c>
      <c r="R942">
        <v>0</v>
      </c>
      <c r="S942">
        <v>0</v>
      </c>
      <c r="T942">
        <v>46728.971962616823</v>
      </c>
      <c r="U942">
        <v>0</v>
      </c>
      <c r="V942">
        <v>0</v>
      </c>
      <c r="W942">
        <v>84112.149532710275</v>
      </c>
      <c r="X942">
        <v>0</v>
      </c>
      <c r="Y942">
        <v>136141.1214953271</v>
      </c>
      <c r="Z942">
        <v>9158.8785046728972</v>
      </c>
      <c r="AA942">
        <v>145300</v>
      </c>
      <c r="AB942" t="s">
        <v>242</v>
      </c>
      <c r="AC942">
        <v>1</v>
      </c>
      <c r="AD942">
        <v>2455</v>
      </c>
      <c r="AE942">
        <v>0</v>
      </c>
      <c r="AF942">
        <v>0</v>
      </c>
      <c r="AG942">
        <v>159.88931346046593</v>
      </c>
      <c r="AH942" t="s">
        <v>58</v>
      </c>
    </row>
    <row r="943" spans="1:34" x14ac:dyDescent="0.3">
      <c r="A943" t="s">
        <v>798</v>
      </c>
      <c r="B943">
        <v>52200619</v>
      </c>
      <c r="C943">
        <v>6102060118</v>
      </c>
      <c r="D943" t="s">
        <v>138</v>
      </c>
      <c r="E943" t="s">
        <v>437</v>
      </c>
      <c r="F943" t="s">
        <v>431</v>
      </c>
      <c r="G943" t="s">
        <v>82</v>
      </c>
      <c r="H943" t="s">
        <v>83</v>
      </c>
      <c r="J943" t="s">
        <v>52</v>
      </c>
      <c r="K943" s="15">
        <v>700</v>
      </c>
      <c r="L943" s="15">
        <v>0</v>
      </c>
      <c r="M943" s="13">
        <v>45160</v>
      </c>
      <c r="O943">
        <v>0</v>
      </c>
      <c r="P943">
        <v>0</v>
      </c>
      <c r="Q943">
        <v>0</v>
      </c>
      <c r="R943">
        <v>0</v>
      </c>
      <c r="S943">
        <v>2360.4485981308412</v>
      </c>
      <c r="T943">
        <v>0</v>
      </c>
      <c r="U943">
        <v>0</v>
      </c>
      <c r="V943">
        <v>10196.728971962617</v>
      </c>
      <c r="W943">
        <v>0</v>
      </c>
      <c r="X943">
        <v>0</v>
      </c>
      <c r="Y943">
        <v>12557.177570093458</v>
      </c>
      <c r="Z943">
        <v>879.00242990654215</v>
      </c>
      <c r="AA943">
        <v>13436.18</v>
      </c>
      <c r="AB943" t="s">
        <v>242</v>
      </c>
      <c r="AC943">
        <v>8</v>
      </c>
      <c r="AD943">
        <v>4500</v>
      </c>
      <c r="AE943">
        <v>0</v>
      </c>
      <c r="AF943">
        <v>0</v>
      </c>
      <c r="AG943">
        <v>294.39252336448601</v>
      </c>
      <c r="AH943" t="s">
        <v>58</v>
      </c>
    </row>
    <row r="944" spans="1:34" x14ac:dyDescent="0.3">
      <c r="A944" t="s">
        <v>798</v>
      </c>
      <c r="B944">
        <v>52201188</v>
      </c>
      <c r="C944" t="s">
        <v>463</v>
      </c>
      <c r="D944" t="s">
        <v>531</v>
      </c>
      <c r="E944" t="s">
        <v>438</v>
      </c>
      <c r="F944" t="s">
        <v>431</v>
      </c>
      <c r="G944" t="s">
        <v>82</v>
      </c>
      <c r="H944" t="s">
        <v>83</v>
      </c>
      <c r="J944" t="s">
        <v>52</v>
      </c>
      <c r="K944" s="15">
        <v>1692</v>
      </c>
      <c r="L944" s="15">
        <v>0</v>
      </c>
      <c r="M944" s="13">
        <v>45160</v>
      </c>
      <c r="O944">
        <v>0</v>
      </c>
      <c r="P944">
        <v>0</v>
      </c>
      <c r="Q944">
        <v>0</v>
      </c>
      <c r="R944">
        <v>700.83910508039946</v>
      </c>
      <c r="S944">
        <v>25906.099294352927</v>
      </c>
      <c r="T944">
        <v>0</v>
      </c>
      <c r="U944">
        <v>0</v>
      </c>
      <c r="V944">
        <v>51829.564677665592</v>
      </c>
      <c r="W944">
        <v>0</v>
      </c>
      <c r="X944">
        <v>0</v>
      </c>
      <c r="Y944">
        <v>78436.503077098925</v>
      </c>
      <c r="Z944">
        <v>5441.4964780412965</v>
      </c>
      <c r="AA944">
        <v>83877.999555140224</v>
      </c>
      <c r="AB944" t="s">
        <v>242</v>
      </c>
      <c r="AC944">
        <v>5</v>
      </c>
      <c r="AD944">
        <v>10152</v>
      </c>
      <c r="AE944">
        <v>0</v>
      </c>
      <c r="AF944">
        <v>0</v>
      </c>
      <c r="AG944">
        <v>658.18573584638148</v>
      </c>
      <c r="AH944" t="s">
        <v>58</v>
      </c>
    </row>
    <row r="945" spans="1:34" x14ac:dyDescent="0.3">
      <c r="A945" t="s">
        <v>798</v>
      </c>
      <c r="B945">
        <v>52200671</v>
      </c>
      <c r="C945">
        <v>27488939</v>
      </c>
      <c r="D945" t="s">
        <v>857</v>
      </c>
      <c r="E945" t="s">
        <v>438</v>
      </c>
      <c r="F945" t="s">
        <v>431</v>
      </c>
      <c r="G945" t="s">
        <v>82</v>
      </c>
      <c r="H945" t="s">
        <v>83</v>
      </c>
      <c r="J945" t="s">
        <v>52</v>
      </c>
      <c r="K945" s="15">
        <v>1000</v>
      </c>
      <c r="L945" s="15">
        <v>0</v>
      </c>
      <c r="M945" s="13">
        <v>45161</v>
      </c>
      <c r="O945">
        <v>0</v>
      </c>
      <c r="P945">
        <v>0</v>
      </c>
      <c r="Q945">
        <v>0</v>
      </c>
      <c r="R945">
        <v>894.890703107484</v>
      </c>
      <c r="S945">
        <v>25927.37679800496</v>
      </c>
      <c r="T945">
        <v>0</v>
      </c>
      <c r="U945">
        <v>0</v>
      </c>
      <c r="V945">
        <v>53483.939690487481</v>
      </c>
      <c r="W945">
        <v>0</v>
      </c>
      <c r="X945">
        <v>0</v>
      </c>
      <c r="Y945">
        <v>80306.207191599926</v>
      </c>
      <c r="Z945">
        <v>5558.7921541944715</v>
      </c>
      <c r="AA945">
        <v>85864.999345794393</v>
      </c>
      <c r="AB945" t="s">
        <v>242</v>
      </c>
      <c r="AC945">
        <v>5</v>
      </c>
      <c r="AD945">
        <v>8500</v>
      </c>
      <c r="AE945">
        <v>0</v>
      </c>
      <c r="AF945">
        <v>0</v>
      </c>
      <c r="AG945">
        <v>549.85266282011617</v>
      </c>
      <c r="AH945" t="s">
        <v>58</v>
      </c>
    </row>
    <row r="946" spans="1:34" x14ac:dyDescent="0.3">
      <c r="A946" t="s">
        <v>798</v>
      </c>
      <c r="B946">
        <v>52201541</v>
      </c>
      <c r="C946">
        <v>28683740</v>
      </c>
      <c r="D946" t="s">
        <v>160</v>
      </c>
      <c r="E946" t="s">
        <v>438</v>
      </c>
      <c r="F946" t="s">
        <v>431</v>
      </c>
      <c r="G946" t="s">
        <v>82</v>
      </c>
      <c r="H946" t="s">
        <v>83</v>
      </c>
      <c r="J946" t="s">
        <v>52</v>
      </c>
      <c r="K946" s="15">
        <v>2000</v>
      </c>
      <c r="L946" s="15">
        <v>0</v>
      </c>
      <c r="M946" s="13">
        <v>45161</v>
      </c>
      <c r="O946">
        <v>0</v>
      </c>
      <c r="P946">
        <v>0</v>
      </c>
      <c r="Q946">
        <v>0</v>
      </c>
      <c r="R946">
        <v>1067.5114470982799</v>
      </c>
      <c r="S946">
        <v>13829.44313934126</v>
      </c>
      <c r="T946">
        <v>0</v>
      </c>
      <c r="U946">
        <v>0</v>
      </c>
      <c r="V946">
        <v>84588.770761090957</v>
      </c>
      <c r="W946">
        <v>0</v>
      </c>
      <c r="X946">
        <v>0</v>
      </c>
      <c r="Y946">
        <v>99485.725347530504</v>
      </c>
      <c r="Z946">
        <v>6889.2749730302567</v>
      </c>
      <c r="AA946">
        <v>106375.00032056076</v>
      </c>
      <c r="AB946" t="s">
        <v>242</v>
      </c>
      <c r="AC946">
        <v>1</v>
      </c>
      <c r="AD946">
        <v>2000</v>
      </c>
      <c r="AE946">
        <v>0</v>
      </c>
      <c r="AF946">
        <v>0</v>
      </c>
      <c r="AG946">
        <v>129.43532831484072</v>
      </c>
      <c r="AH946" t="s">
        <v>72</v>
      </c>
    </row>
    <row r="947" spans="1:34" x14ac:dyDescent="0.3">
      <c r="A947" t="s">
        <v>798</v>
      </c>
      <c r="B947">
        <v>42200251</v>
      </c>
      <c r="C947" t="s">
        <v>253</v>
      </c>
      <c r="D947" t="s">
        <v>324</v>
      </c>
      <c r="E947" t="s">
        <v>439</v>
      </c>
      <c r="F947" t="s">
        <v>430</v>
      </c>
      <c r="G947" t="s">
        <v>328</v>
      </c>
      <c r="H947" t="s">
        <v>71</v>
      </c>
      <c r="J947" t="s">
        <v>52</v>
      </c>
      <c r="K947" s="15">
        <v>3157.94</v>
      </c>
      <c r="L947" s="15">
        <v>0</v>
      </c>
      <c r="M947" s="13">
        <v>45161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">
        <v>242</v>
      </c>
      <c r="AC947">
        <v>1</v>
      </c>
      <c r="AD947">
        <v>3157.94</v>
      </c>
      <c r="AE947">
        <v>0</v>
      </c>
      <c r="AF947">
        <v>0</v>
      </c>
      <c r="AG947">
        <v>206.59420560747685</v>
      </c>
      <c r="AH947" t="s">
        <v>72</v>
      </c>
    </row>
    <row r="948" spans="1:34" x14ac:dyDescent="0.3">
      <c r="A948" t="s">
        <v>798</v>
      </c>
      <c r="B948">
        <v>4132301147</v>
      </c>
      <c r="C948">
        <v>3100025875</v>
      </c>
      <c r="D948" t="s">
        <v>180</v>
      </c>
      <c r="E948" t="s">
        <v>441</v>
      </c>
      <c r="F948" t="s">
        <v>430</v>
      </c>
      <c r="G948" t="s">
        <v>233</v>
      </c>
      <c r="H948" t="s">
        <v>231</v>
      </c>
      <c r="J948" t="s">
        <v>52</v>
      </c>
      <c r="K948" s="15">
        <v>1000</v>
      </c>
      <c r="L948" s="15">
        <v>0</v>
      </c>
      <c r="M948" s="13">
        <v>45162</v>
      </c>
      <c r="O948">
        <v>0</v>
      </c>
      <c r="P948">
        <v>2971.327548798914</v>
      </c>
      <c r="Q948">
        <v>0</v>
      </c>
      <c r="R948">
        <v>0</v>
      </c>
      <c r="S948">
        <v>1065.7191780821918</v>
      </c>
      <c r="T948">
        <v>3157.6378048608285</v>
      </c>
      <c r="U948">
        <v>0</v>
      </c>
      <c r="V948">
        <v>0</v>
      </c>
      <c r="W948">
        <v>0</v>
      </c>
      <c r="X948">
        <v>0</v>
      </c>
      <c r="Y948">
        <v>7194.6845317419338</v>
      </c>
      <c r="Z948">
        <v>221.03464634025801</v>
      </c>
      <c r="AA948">
        <v>7415.7191780821922</v>
      </c>
      <c r="AB948" t="s">
        <v>242</v>
      </c>
      <c r="AC948">
        <v>2</v>
      </c>
      <c r="AD948">
        <v>2000</v>
      </c>
      <c r="AE948">
        <v>0</v>
      </c>
      <c r="AF948">
        <v>0</v>
      </c>
      <c r="AG948">
        <v>57.002736837312113</v>
      </c>
      <c r="AH948" t="s">
        <v>58</v>
      </c>
    </row>
    <row r="949" spans="1:34" x14ac:dyDescent="0.3">
      <c r="A949" t="s">
        <v>798</v>
      </c>
      <c r="B949">
        <v>12200153</v>
      </c>
      <c r="C949">
        <v>19444639</v>
      </c>
      <c r="D949" t="s">
        <v>114</v>
      </c>
      <c r="E949" t="s">
        <v>438</v>
      </c>
      <c r="F949" t="s">
        <v>427</v>
      </c>
      <c r="G949" t="s">
        <v>82</v>
      </c>
      <c r="H949" t="s">
        <v>82</v>
      </c>
      <c r="J949" t="s">
        <v>52</v>
      </c>
      <c r="K949" s="15">
        <v>13700</v>
      </c>
      <c r="L949" s="15">
        <v>0</v>
      </c>
      <c r="M949" s="13">
        <v>45163</v>
      </c>
      <c r="O949">
        <v>0</v>
      </c>
      <c r="P949">
        <v>0</v>
      </c>
      <c r="Q949">
        <v>0</v>
      </c>
      <c r="R949">
        <v>0</v>
      </c>
      <c r="S949">
        <v>12506.334853957611</v>
      </c>
      <c r="T949">
        <v>0</v>
      </c>
      <c r="U949">
        <v>0</v>
      </c>
      <c r="V949">
        <v>128346.39254936486</v>
      </c>
      <c r="W949">
        <v>0</v>
      </c>
      <c r="X949">
        <v>0</v>
      </c>
      <c r="Y949">
        <v>140852.72740332247</v>
      </c>
      <c r="Z949">
        <v>0</v>
      </c>
      <c r="AA949">
        <v>140852.72740332247</v>
      </c>
      <c r="AB949" t="s">
        <v>242</v>
      </c>
      <c r="AC949">
        <v>3</v>
      </c>
      <c r="AD949">
        <v>33700</v>
      </c>
      <c r="AE949">
        <v>0</v>
      </c>
      <c r="AF949">
        <v>0</v>
      </c>
      <c r="AG949">
        <v>0</v>
      </c>
      <c r="AH949" t="s">
        <v>58</v>
      </c>
    </row>
    <row r="950" spans="1:34" x14ac:dyDescent="0.3">
      <c r="A950" t="s">
        <v>798</v>
      </c>
      <c r="B950">
        <v>52200938</v>
      </c>
      <c r="C950">
        <v>26269572</v>
      </c>
      <c r="D950" t="s">
        <v>144</v>
      </c>
      <c r="E950" t="s">
        <v>438</v>
      </c>
      <c r="F950" t="s">
        <v>431</v>
      </c>
      <c r="G950" t="s">
        <v>82</v>
      </c>
      <c r="H950" t="s">
        <v>83</v>
      </c>
      <c r="J950" t="s">
        <v>52</v>
      </c>
      <c r="K950" s="15">
        <v>3000</v>
      </c>
      <c r="L950" s="15">
        <v>0</v>
      </c>
      <c r="M950" s="13">
        <v>45163</v>
      </c>
      <c r="O950">
        <v>0</v>
      </c>
      <c r="P950">
        <v>0</v>
      </c>
      <c r="Q950">
        <v>0</v>
      </c>
      <c r="R950">
        <v>1004.9946532200839</v>
      </c>
      <c r="S950">
        <v>19404.078070700918</v>
      </c>
      <c r="T950">
        <v>0</v>
      </c>
      <c r="U950">
        <v>0</v>
      </c>
      <c r="V950">
        <v>47963.216707056527</v>
      </c>
      <c r="W950">
        <v>0</v>
      </c>
      <c r="X950">
        <v>0</v>
      </c>
      <c r="Y950">
        <v>68372.289430977529</v>
      </c>
      <c r="Z950">
        <v>4715.7106344430213</v>
      </c>
      <c r="AA950">
        <v>73088.000065420551</v>
      </c>
      <c r="AB950" t="s">
        <v>242</v>
      </c>
      <c r="AC950">
        <v>4</v>
      </c>
      <c r="AD950">
        <v>9000</v>
      </c>
      <c r="AE950">
        <v>0</v>
      </c>
      <c r="AF950">
        <v>0</v>
      </c>
      <c r="AG950">
        <v>580.0837623601924</v>
      </c>
      <c r="AH950" t="s">
        <v>58</v>
      </c>
    </row>
    <row r="951" spans="1:34" x14ac:dyDescent="0.3">
      <c r="A951" t="s">
        <v>798</v>
      </c>
      <c r="B951">
        <v>52201645</v>
      </c>
      <c r="C951">
        <v>26580827</v>
      </c>
      <c r="D951" t="s">
        <v>163</v>
      </c>
      <c r="E951" t="s">
        <v>438</v>
      </c>
      <c r="F951" t="s">
        <v>431</v>
      </c>
      <c r="G951" t="s">
        <v>82</v>
      </c>
      <c r="H951" t="s">
        <v>83</v>
      </c>
      <c r="J951" t="s">
        <v>52</v>
      </c>
      <c r="K951" s="15">
        <v>2000</v>
      </c>
      <c r="L951" s="15">
        <v>0</v>
      </c>
      <c r="M951" s="13">
        <v>45163</v>
      </c>
      <c r="O951">
        <v>0</v>
      </c>
      <c r="P951">
        <v>0</v>
      </c>
      <c r="Q951">
        <v>0</v>
      </c>
      <c r="R951">
        <v>759.50373281631494</v>
      </c>
      <c r="S951">
        <v>44742.825562228289</v>
      </c>
      <c r="T951">
        <v>0</v>
      </c>
      <c r="U951">
        <v>0</v>
      </c>
      <c r="V951">
        <v>88638.947347097012</v>
      </c>
      <c r="W951">
        <v>0</v>
      </c>
      <c r="X951">
        <v>0</v>
      </c>
      <c r="Y951">
        <v>134141.27664214163</v>
      </c>
      <c r="Z951">
        <v>9336.7241036527721</v>
      </c>
      <c r="AA951">
        <v>143478.00074579442</v>
      </c>
      <c r="AB951" t="s">
        <v>242</v>
      </c>
      <c r="AC951">
        <v>3</v>
      </c>
      <c r="AD951">
        <v>23000</v>
      </c>
      <c r="AE951">
        <v>0</v>
      </c>
      <c r="AF951">
        <v>0</v>
      </c>
      <c r="AG951">
        <v>1496.0703376608815</v>
      </c>
      <c r="AH951" t="s">
        <v>58</v>
      </c>
    </row>
    <row r="952" spans="1:34" x14ac:dyDescent="0.3">
      <c r="A952" t="s">
        <v>798</v>
      </c>
      <c r="B952">
        <v>4132300713</v>
      </c>
      <c r="C952" t="s">
        <v>247</v>
      </c>
      <c r="D952" t="s">
        <v>318</v>
      </c>
      <c r="E952" t="s">
        <v>441</v>
      </c>
      <c r="F952" t="s">
        <v>430</v>
      </c>
      <c r="G952" t="s">
        <v>233</v>
      </c>
      <c r="H952" t="s">
        <v>231</v>
      </c>
      <c r="J952" t="s">
        <v>52</v>
      </c>
      <c r="K952" s="15">
        <v>2000</v>
      </c>
      <c r="L952" s="15">
        <v>0</v>
      </c>
      <c r="M952" s="13">
        <v>45163</v>
      </c>
      <c r="O952">
        <v>0</v>
      </c>
      <c r="P952">
        <v>0</v>
      </c>
      <c r="Q952">
        <v>0</v>
      </c>
      <c r="R952">
        <v>0</v>
      </c>
      <c r="S952">
        <v>5453.5616438356165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5453.5616438356165</v>
      </c>
      <c r="Z952">
        <v>0</v>
      </c>
      <c r="AA952">
        <v>5453.5616438356165</v>
      </c>
      <c r="AB952" t="s">
        <v>242</v>
      </c>
      <c r="AC952">
        <v>3</v>
      </c>
      <c r="AD952">
        <v>6000</v>
      </c>
      <c r="AE952">
        <v>0</v>
      </c>
      <c r="AF952">
        <v>0</v>
      </c>
      <c r="AG952">
        <v>0</v>
      </c>
      <c r="AH952" t="s">
        <v>58</v>
      </c>
    </row>
    <row r="953" spans="1:34" x14ac:dyDescent="0.3">
      <c r="A953" t="s">
        <v>798</v>
      </c>
      <c r="B953">
        <v>4132300725</v>
      </c>
      <c r="C953" t="s">
        <v>350</v>
      </c>
      <c r="D953" t="s">
        <v>389</v>
      </c>
      <c r="E953" t="s">
        <v>441</v>
      </c>
      <c r="F953" t="s">
        <v>430</v>
      </c>
      <c r="G953" t="s">
        <v>233</v>
      </c>
      <c r="H953" t="s">
        <v>231</v>
      </c>
      <c r="J953" t="s">
        <v>416</v>
      </c>
      <c r="K953" s="15">
        <v>0.44198476083313964</v>
      </c>
      <c r="L953" s="15">
        <v>0</v>
      </c>
      <c r="M953" s="13">
        <v>45163</v>
      </c>
      <c r="O953">
        <v>0</v>
      </c>
      <c r="P953">
        <v>2287.8624805841273</v>
      </c>
      <c r="Q953">
        <v>0</v>
      </c>
      <c r="R953">
        <v>0</v>
      </c>
      <c r="S953">
        <v>1675.8802881498966</v>
      </c>
      <c r="T953">
        <v>43024.539468472882</v>
      </c>
      <c r="U953">
        <v>0</v>
      </c>
      <c r="V953">
        <v>0</v>
      </c>
      <c r="W953">
        <v>0</v>
      </c>
      <c r="X953">
        <v>0</v>
      </c>
      <c r="Y953">
        <v>46988.282237206906</v>
      </c>
      <c r="Z953">
        <v>3011.7177627931019</v>
      </c>
      <c r="AA953">
        <v>50000.000000000007</v>
      </c>
      <c r="AB953" t="s">
        <v>242</v>
      </c>
      <c r="AC953">
        <v>0</v>
      </c>
      <c r="AD953">
        <v>0</v>
      </c>
      <c r="AE953">
        <v>0</v>
      </c>
      <c r="AF953">
        <v>0</v>
      </c>
      <c r="AG953">
        <v>0</v>
      </c>
      <c r="AH953" t="s">
        <v>72</v>
      </c>
    </row>
    <row r="954" spans="1:34" x14ac:dyDescent="0.3">
      <c r="A954" t="s">
        <v>798</v>
      </c>
      <c r="B954">
        <v>4132300725</v>
      </c>
      <c r="C954" t="s">
        <v>350</v>
      </c>
      <c r="D954" t="s">
        <v>389</v>
      </c>
      <c r="E954" t="s">
        <v>441</v>
      </c>
      <c r="F954" t="s">
        <v>430</v>
      </c>
      <c r="G954" t="s">
        <v>419</v>
      </c>
      <c r="H954" t="s">
        <v>231</v>
      </c>
      <c r="J954" t="s">
        <v>52</v>
      </c>
      <c r="K954" s="15">
        <v>50000</v>
      </c>
      <c r="L954" s="15">
        <v>0</v>
      </c>
      <c r="M954" s="13">
        <v>45163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">
        <v>242</v>
      </c>
      <c r="AC954">
        <v>1</v>
      </c>
      <c r="AD954">
        <v>50000</v>
      </c>
      <c r="AE954">
        <v>0</v>
      </c>
      <c r="AF954">
        <v>0</v>
      </c>
      <c r="AG954">
        <v>3011.7177627931014</v>
      </c>
      <c r="AH954" t="s">
        <v>58</v>
      </c>
    </row>
    <row r="955" spans="1:34" x14ac:dyDescent="0.3">
      <c r="A955" t="s">
        <v>798</v>
      </c>
      <c r="B955">
        <v>4142300384</v>
      </c>
      <c r="C955" t="s">
        <v>489</v>
      </c>
      <c r="D955" t="s">
        <v>561</v>
      </c>
      <c r="E955" t="s">
        <v>445</v>
      </c>
      <c r="F955" t="s">
        <v>430</v>
      </c>
      <c r="G955" t="s">
        <v>230</v>
      </c>
      <c r="H955" t="s">
        <v>234</v>
      </c>
      <c r="J955" t="s">
        <v>416</v>
      </c>
      <c r="K955" s="15">
        <v>0.33868323672801104</v>
      </c>
      <c r="L955" s="15">
        <v>0</v>
      </c>
      <c r="M955" s="13">
        <v>45163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607476.63551401859</v>
      </c>
      <c r="Y955">
        <v>607476.63551401859</v>
      </c>
      <c r="Z955">
        <v>42523.364485981307</v>
      </c>
      <c r="AA955">
        <v>649999.99999999988</v>
      </c>
      <c r="AB955" t="s">
        <v>242</v>
      </c>
      <c r="AC955">
        <v>0</v>
      </c>
      <c r="AD955">
        <v>0</v>
      </c>
      <c r="AE955">
        <v>0</v>
      </c>
      <c r="AF955">
        <v>0</v>
      </c>
      <c r="AG955">
        <v>0</v>
      </c>
      <c r="AH955" t="s">
        <v>72</v>
      </c>
    </row>
    <row r="956" spans="1:34" x14ac:dyDescent="0.3">
      <c r="A956" t="s">
        <v>798</v>
      </c>
      <c r="B956">
        <v>4142300384</v>
      </c>
      <c r="C956" t="s">
        <v>489</v>
      </c>
      <c r="D956" t="s">
        <v>561</v>
      </c>
      <c r="E956" t="s">
        <v>445</v>
      </c>
      <c r="F956" t="s">
        <v>430</v>
      </c>
      <c r="G956" t="s">
        <v>421</v>
      </c>
      <c r="H956" t="s">
        <v>234</v>
      </c>
      <c r="J956" t="s">
        <v>52</v>
      </c>
      <c r="K956" s="15">
        <v>650000</v>
      </c>
      <c r="L956" s="15">
        <v>0</v>
      </c>
      <c r="M956" s="13">
        <v>45163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">
        <v>242</v>
      </c>
      <c r="AC956">
        <v>1</v>
      </c>
      <c r="AD956">
        <v>650000</v>
      </c>
      <c r="AE956">
        <v>0</v>
      </c>
      <c r="AF956">
        <v>0</v>
      </c>
      <c r="AG956">
        <v>42523.364485981292</v>
      </c>
      <c r="AH956" t="s">
        <v>58</v>
      </c>
    </row>
    <row r="957" spans="1:34" x14ac:dyDescent="0.3">
      <c r="A957" t="s">
        <v>798</v>
      </c>
      <c r="B957">
        <v>4142300470</v>
      </c>
      <c r="C957" t="s">
        <v>492</v>
      </c>
      <c r="D957" t="s">
        <v>564</v>
      </c>
      <c r="E957" t="s">
        <v>445</v>
      </c>
      <c r="F957" t="s">
        <v>430</v>
      </c>
      <c r="G957" t="s">
        <v>421</v>
      </c>
      <c r="H957" t="s">
        <v>234</v>
      </c>
      <c r="J957" t="s">
        <v>450</v>
      </c>
      <c r="K957" s="15">
        <v>80000</v>
      </c>
      <c r="L957" s="15">
        <v>0</v>
      </c>
      <c r="M957" s="13">
        <v>45163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231300.93457943929</v>
      </c>
      <c r="Y957">
        <v>231300.93457943929</v>
      </c>
      <c r="Z957">
        <v>16191.065420560752</v>
      </c>
      <c r="AA957">
        <v>247492.00000000003</v>
      </c>
      <c r="AB957" t="s">
        <v>242</v>
      </c>
      <c r="AC957">
        <v>0</v>
      </c>
      <c r="AD957">
        <v>0</v>
      </c>
      <c r="AE957">
        <v>0</v>
      </c>
      <c r="AF957">
        <v>80000</v>
      </c>
      <c r="AG957">
        <v>5233.644859813081</v>
      </c>
      <c r="AH957" t="s">
        <v>72</v>
      </c>
    </row>
    <row r="958" spans="1:34" x14ac:dyDescent="0.3">
      <c r="A958" t="s">
        <v>798</v>
      </c>
      <c r="B958">
        <v>2200001</v>
      </c>
      <c r="C958" t="s">
        <v>630</v>
      </c>
      <c r="D958" t="s">
        <v>407</v>
      </c>
      <c r="E958" t="s">
        <v>435</v>
      </c>
      <c r="F958" t="s">
        <v>675</v>
      </c>
      <c r="G958" t="s">
        <v>235</v>
      </c>
      <c r="H958" t="s">
        <v>235</v>
      </c>
      <c r="J958" t="s">
        <v>52</v>
      </c>
      <c r="K958" s="15">
        <v>3000</v>
      </c>
      <c r="M958" s="13">
        <v>45163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48246.990000000005</v>
      </c>
      <c r="W958">
        <v>0</v>
      </c>
      <c r="X958">
        <v>0</v>
      </c>
      <c r="Y958">
        <v>48246.990000000005</v>
      </c>
      <c r="Z958">
        <v>0</v>
      </c>
      <c r="AA958">
        <v>48246.990000000005</v>
      </c>
      <c r="AB958" t="s">
        <v>242</v>
      </c>
      <c r="AC958">
        <v>7</v>
      </c>
      <c r="AD958">
        <v>21000</v>
      </c>
      <c r="AE958">
        <v>0</v>
      </c>
      <c r="AF958">
        <v>0</v>
      </c>
      <c r="AG958">
        <v>0</v>
      </c>
      <c r="AH958" t="s">
        <v>58</v>
      </c>
    </row>
    <row r="959" spans="1:34" x14ac:dyDescent="0.3">
      <c r="A959" t="s">
        <v>798</v>
      </c>
      <c r="B959">
        <v>52200044</v>
      </c>
      <c r="C959" t="s">
        <v>669</v>
      </c>
      <c r="D959" t="s">
        <v>383</v>
      </c>
      <c r="E959" t="s">
        <v>435</v>
      </c>
      <c r="F959" t="s">
        <v>431</v>
      </c>
      <c r="G959" t="s">
        <v>235</v>
      </c>
      <c r="H959" t="s">
        <v>236</v>
      </c>
      <c r="J959" t="s">
        <v>52</v>
      </c>
      <c r="K959" s="15">
        <v>5000</v>
      </c>
      <c r="M959" s="13">
        <v>45163</v>
      </c>
      <c r="O959">
        <v>4900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143977.57009345794</v>
      </c>
      <c r="W959">
        <v>0</v>
      </c>
      <c r="X959">
        <v>0</v>
      </c>
      <c r="Y959">
        <v>148877.57009345794</v>
      </c>
      <c r="Z959">
        <v>10078.429906542056</v>
      </c>
      <c r="AA959">
        <v>158956</v>
      </c>
      <c r="AB959" t="s">
        <v>242</v>
      </c>
      <c r="AC959">
        <v>1</v>
      </c>
      <c r="AD959">
        <v>5000</v>
      </c>
      <c r="AE959">
        <v>0</v>
      </c>
      <c r="AF959">
        <v>0</v>
      </c>
      <c r="AG959">
        <v>323.16124133617268</v>
      </c>
      <c r="AH959" t="s">
        <v>58</v>
      </c>
    </row>
    <row r="960" spans="1:34" x14ac:dyDescent="0.3">
      <c r="A960" t="s">
        <v>798</v>
      </c>
      <c r="B960">
        <v>4142301022</v>
      </c>
      <c r="C960">
        <v>10499356</v>
      </c>
      <c r="D960" t="s">
        <v>273</v>
      </c>
      <c r="E960" t="s">
        <v>445</v>
      </c>
      <c r="F960" t="s">
        <v>430</v>
      </c>
      <c r="G960" t="s">
        <v>237</v>
      </c>
      <c r="H960" t="s">
        <v>234</v>
      </c>
      <c r="J960" t="s">
        <v>425</v>
      </c>
      <c r="K960" s="15">
        <v>250000</v>
      </c>
      <c r="L960" s="15">
        <v>75</v>
      </c>
      <c r="M960" s="13">
        <v>45164</v>
      </c>
      <c r="O960">
        <v>75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272444.48598130839</v>
      </c>
      <c r="Y960">
        <v>272519.48598130839</v>
      </c>
      <c r="Z960">
        <v>19071.114018691587</v>
      </c>
      <c r="AA960">
        <v>291590.59999999998</v>
      </c>
      <c r="AB960" t="s">
        <v>242</v>
      </c>
      <c r="AC960">
        <v>0</v>
      </c>
      <c r="AD960">
        <v>0</v>
      </c>
      <c r="AE960">
        <v>0</v>
      </c>
      <c r="AF960">
        <v>267500</v>
      </c>
      <c r="AG960">
        <v>17500</v>
      </c>
      <c r="AH960" t="s">
        <v>72</v>
      </c>
    </row>
    <row r="961" spans="1:34" x14ac:dyDescent="0.3">
      <c r="A961" t="s">
        <v>798</v>
      </c>
      <c r="B961">
        <v>52200152</v>
      </c>
      <c r="C961">
        <v>27277111</v>
      </c>
      <c r="D961" t="s">
        <v>838</v>
      </c>
      <c r="E961" t="s">
        <v>436</v>
      </c>
      <c r="F961" t="s">
        <v>431</v>
      </c>
      <c r="G961" t="s">
        <v>82</v>
      </c>
      <c r="H961" t="s">
        <v>83</v>
      </c>
      <c r="J961" t="s">
        <v>52</v>
      </c>
      <c r="K961" s="15">
        <v>3000</v>
      </c>
      <c r="L961" s="15">
        <v>0</v>
      </c>
      <c r="M961" s="13">
        <v>45164</v>
      </c>
      <c r="O961">
        <v>0</v>
      </c>
      <c r="P961">
        <v>0</v>
      </c>
      <c r="Q961">
        <v>0</v>
      </c>
      <c r="R961">
        <v>895.66059725530886</v>
      </c>
      <c r="S961">
        <v>11095.644301630553</v>
      </c>
      <c r="T961">
        <v>0</v>
      </c>
      <c r="U961">
        <v>0</v>
      </c>
      <c r="V961">
        <v>54801.8691588785</v>
      </c>
      <c r="W961">
        <v>0</v>
      </c>
      <c r="X961">
        <v>0</v>
      </c>
      <c r="Y961">
        <v>66793.174057764365</v>
      </c>
      <c r="Z961">
        <v>4612.8259422356341</v>
      </c>
      <c r="AA961">
        <v>71406</v>
      </c>
      <c r="AB961" t="s">
        <v>242</v>
      </c>
      <c r="AC961">
        <v>2</v>
      </c>
      <c r="AD961">
        <v>7000</v>
      </c>
      <c r="AE961">
        <v>0</v>
      </c>
      <c r="AF961">
        <v>0</v>
      </c>
      <c r="AG961">
        <v>451.77218860548737</v>
      </c>
      <c r="AH961" t="s">
        <v>58</v>
      </c>
    </row>
    <row r="962" spans="1:34" x14ac:dyDescent="0.3">
      <c r="A962" t="s">
        <v>798</v>
      </c>
      <c r="B962">
        <v>52200217</v>
      </c>
      <c r="C962">
        <v>27002024</v>
      </c>
      <c r="D962" t="s">
        <v>134</v>
      </c>
      <c r="E962" t="s">
        <v>436</v>
      </c>
      <c r="F962" t="s">
        <v>431</v>
      </c>
      <c r="G962" t="s">
        <v>82</v>
      </c>
      <c r="H962" t="s">
        <v>83</v>
      </c>
      <c r="J962" t="s">
        <v>52</v>
      </c>
      <c r="K962" s="15">
        <v>3000</v>
      </c>
      <c r="L962" s="15">
        <v>0</v>
      </c>
      <c r="M962" s="13">
        <v>45164</v>
      </c>
      <c r="O962">
        <v>0</v>
      </c>
      <c r="P962">
        <v>0</v>
      </c>
      <c r="Q962">
        <v>0</v>
      </c>
      <c r="R962">
        <v>808.16728263784262</v>
      </c>
      <c r="S962">
        <v>6598.9090816468743</v>
      </c>
      <c r="T962">
        <v>0</v>
      </c>
      <c r="U962">
        <v>0</v>
      </c>
      <c r="V962">
        <v>45794.392523364484</v>
      </c>
      <c r="W962">
        <v>0</v>
      </c>
      <c r="X962">
        <v>0</v>
      </c>
      <c r="Y962">
        <v>53201.4688876492</v>
      </c>
      <c r="Z962">
        <v>3667.5311123507954</v>
      </c>
      <c r="AA962">
        <v>56868.999999999993</v>
      </c>
      <c r="AB962" t="s">
        <v>242</v>
      </c>
      <c r="AC962">
        <v>3</v>
      </c>
      <c r="AD962">
        <v>15000</v>
      </c>
      <c r="AE962">
        <v>0</v>
      </c>
      <c r="AF962">
        <v>0</v>
      </c>
      <c r="AG962">
        <v>966.20720540621392</v>
      </c>
      <c r="AH962" t="s">
        <v>58</v>
      </c>
    </row>
    <row r="963" spans="1:34" x14ac:dyDescent="0.3">
      <c r="A963" t="s">
        <v>798</v>
      </c>
      <c r="B963">
        <v>52201017</v>
      </c>
      <c r="C963">
        <v>28653036</v>
      </c>
      <c r="D963" t="s">
        <v>870</v>
      </c>
      <c r="E963" t="s">
        <v>438</v>
      </c>
      <c r="F963" t="s">
        <v>431</v>
      </c>
      <c r="G963" t="s">
        <v>82</v>
      </c>
      <c r="H963" t="s">
        <v>83</v>
      </c>
      <c r="J963" t="s">
        <v>52</v>
      </c>
      <c r="K963" s="15">
        <v>1000</v>
      </c>
      <c r="L963" s="15">
        <v>0</v>
      </c>
      <c r="M963" s="13">
        <v>45164</v>
      </c>
      <c r="O963">
        <v>0</v>
      </c>
      <c r="P963">
        <v>0</v>
      </c>
      <c r="Q963">
        <v>0</v>
      </c>
      <c r="R963">
        <v>870.35923759089349</v>
      </c>
      <c r="S963">
        <v>31309.882698326921</v>
      </c>
      <c r="T963">
        <v>0</v>
      </c>
      <c r="U963">
        <v>0</v>
      </c>
      <c r="V963">
        <v>52250.529461492923</v>
      </c>
      <c r="W963">
        <v>0</v>
      </c>
      <c r="X963">
        <v>0</v>
      </c>
      <c r="Y963">
        <v>84430.771397410732</v>
      </c>
      <c r="Z963">
        <v>5849.2288511873894</v>
      </c>
      <c r="AA963">
        <v>90280.000248598124</v>
      </c>
      <c r="AB963" t="s">
        <v>242</v>
      </c>
      <c r="AC963">
        <v>2</v>
      </c>
      <c r="AD963">
        <v>2000</v>
      </c>
      <c r="AE963">
        <v>0</v>
      </c>
      <c r="AF963">
        <v>0</v>
      </c>
      <c r="AG963">
        <v>129.49079124426407</v>
      </c>
      <c r="AH963" t="s">
        <v>58</v>
      </c>
    </row>
    <row r="964" spans="1:34" x14ac:dyDescent="0.3">
      <c r="A964" t="s">
        <v>798</v>
      </c>
      <c r="B964">
        <v>52201061</v>
      </c>
      <c r="C964">
        <v>28773198</v>
      </c>
      <c r="D964" t="s">
        <v>871</v>
      </c>
      <c r="E964" t="s">
        <v>438</v>
      </c>
      <c r="F964" t="s">
        <v>431</v>
      </c>
      <c r="G964" t="s">
        <v>82</v>
      </c>
      <c r="H964" t="s">
        <v>83</v>
      </c>
      <c r="J964" t="s">
        <v>52</v>
      </c>
      <c r="K964" s="15">
        <v>1000</v>
      </c>
      <c r="L964" s="15">
        <v>0</v>
      </c>
      <c r="M964" s="13">
        <v>45164</v>
      </c>
      <c r="O964">
        <v>0</v>
      </c>
      <c r="P964">
        <v>0</v>
      </c>
      <c r="Q964">
        <v>0</v>
      </c>
      <c r="R964">
        <v>837.31842938434045</v>
      </c>
      <c r="S964">
        <v>26772.577777392005</v>
      </c>
      <c r="T964">
        <v>0</v>
      </c>
      <c r="U964">
        <v>0</v>
      </c>
      <c r="V964">
        <v>42760.769466523408</v>
      </c>
      <c r="W964">
        <v>0</v>
      </c>
      <c r="X964">
        <v>0</v>
      </c>
      <c r="Y964">
        <v>70370.665673299751</v>
      </c>
      <c r="Z964">
        <v>4867.3343070740793</v>
      </c>
      <c r="AA964">
        <v>75237.999980373832</v>
      </c>
      <c r="AB964" t="s">
        <v>242</v>
      </c>
      <c r="AC964">
        <v>4</v>
      </c>
      <c r="AD964">
        <v>4500</v>
      </c>
      <c r="AE964">
        <v>0</v>
      </c>
      <c r="AF964">
        <v>0</v>
      </c>
      <c r="AG964">
        <v>290.88064491299428</v>
      </c>
      <c r="AH964" t="s">
        <v>58</v>
      </c>
    </row>
    <row r="965" spans="1:34" x14ac:dyDescent="0.3">
      <c r="A965" t="s">
        <v>798</v>
      </c>
      <c r="B965">
        <v>4142300192</v>
      </c>
      <c r="C965">
        <v>10067571</v>
      </c>
      <c r="D965" t="s">
        <v>192</v>
      </c>
      <c r="E965" t="s">
        <v>445</v>
      </c>
      <c r="F965" t="s">
        <v>430</v>
      </c>
      <c r="G965" t="s">
        <v>233</v>
      </c>
      <c r="H965" t="s">
        <v>234</v>
      </c>
      <c r="J965" t="s">
        <v>52</v>
      </c>
      <c r="K965" s="15">
        <v>5000</v>
      </c>
      <c r="L965" s="15">
        <v>0</v>
      </c>
      <c r="M965" s="13">
        <v>45164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289272.83177570091</v>
      </c>
      <c r="Y965">
        <v>289272.83177570091</v>
      </c>
      <c r="Z965">
        <v>20249.098224299065</v>
      </c>
      <c r="AA965">
        <v>309521.93</v>
      </c>
      <c r="AB965" t="s">
        <v>242</v>
      </c>
      <c r="AC965">
        <v>1</v>
      </c>
      <c r="AD965">
        <v>5000</v>
      </c>
      <c r="AE965">
        <v>0</v>
      </c>
      <c r="AF965">
        <v>0</v>
      </c>
      <c r="AG965">
        <v>327.10280373831756</v>
      </c>
      <c r="AH965" t="s">
        <v>72</v>
      </c>
    </row>
    <row r="966" spans="1:34" x14ac:dyDescent="0.3">
      <c r="A966" t="s">
        <v>798</v>
      </c>
      <c r="B966">
        <v>52200012</v>
      </c>
      <c r="C966" t="s">
        <v>638</v>
      </c>
      <c r="D966" t="s">
        <v>637</v>
      </c>
      <c r="E966" t="s">
        <v>435</v>
      </c>
      <c r="F966" t="s">
        <v>431</v>
      </c>
      <c r="G966" t="s">
        <v>230</v>
      </c>
      <c r="H966" t="s">
        <v>231</v>
      </c>
      <c r="J966" t="s">
        <v>52</v>
      </c>
      <c r="K966" s="15">
        <v>800</v>
      </c>
      <c r="M966" s="13">
        <v>45164</v>
      </c>
      <c r="O966">
        <v>4873.5308727146657</v>
      </c>
      <c r="P966">
        <v>0</v>
      </c>
      <c r="Q966">
        <v>0</v>
      </c>
      <c r="R966">
        <v>0</v>
      </c>
      <c r="S966">
        <v>0</v>
      </c>
      <c r="T966">
        <v>25202.30759559376</v>
      </c>
      <c r="U966">
        <v>0</v>
      </c>
      <c r="V966">
        <v>0</v>
      </c>
      <c r="W966">
        <v>42990.654205607476</v>
      </c>
      <c r="X966">
        <v>0</v>
      </c>
      <c r="Y966">
        <v>73066.492673915898</v>
      </c>
      <c r="Z966">
        <v>4773.5073260840873</v>
      </c>
      <c r="AA966">
        <v>77839.999999999985</v>
      </c>
      <c r="AB966" t="s">
        <v>242</v>
      </c>
      <c r="AC966">
        <v>6</v>
      </c>
      <c r="AD966">
        <v>13800</v>
      </c>
      <c r="AE966">
        <v>0</v>
      </c>
      <c r="AF966">
        <v>0</v>
      </c>
      <c r="AG966">
        <v>842.19360849535178</v>
      </c>
      <c r="AH966" t="s">
        <v>58</v>
      </c>
    </row>
    <row r="967" spans="1:34" x14ac:dyDescent="0.3">
      <c r="A967" t="s">
        <v>798</v>
      </c>
      <c r="B967">
        <v>52200770</v>
      </c>
      <c r="C967">
        <v>26747789</v>
      </c>
      <c r="D967" t="s">
        <v>863</v>
      </c>
      <c r="E967" t="s">
        <v>438</v>
      </c>
      <c r="F967" t="s">
        <v>431</v>
      </c>
      <c r="G967" t="s">
        <v>82</v>
      </c>
      <c r="H967" t="s">
        <v>83</v>
      </c>
      <c r="J967" t="s">
        <v>52</v>
      </c>
      <c r="K967" s="15">
        <v>500</v>
      </c>
      <c r="L967" s="15">
        <v>0</v>
      </c>
      <c r="M967" s="13">
        <v>45165</v>
      </c>
      <c r="O967">
        <v>0</v>
      </c>
      <c r="P967">
        <v>0</v>
      </c>
      <c r="Q967">
        <v>0</v>
      </c>
      <c r="R967">
        <v>1052.720884157668</v>
      </c>
      <c r="S967">
        <v>14522.775495101865</v>
      </c>
      <c r="T967">
        <v>0</v>
      </c>
      <c r="U967">
        <v>0</v>
      </c>
      <c r="V967">
        <v>42546.644545033792</v>
      </c>
      <c r="W967">
        <v>0</v>
      </c>
      <c r="X967">
        <v>0</v>
      </c>
      <c r="Y967">
        <v>58122.14092429333</v>
      </c>
      <c r="Z967">
        <v>3994.8594028094963</v>
      </c>
      <c r="AA967">
        <v>62117.000327102825</v>
      </c>
      <c r="AB967" t="s">
        <v>242</v>
      </c>
      <c r="AC967">
        <v>3</v>
      </c>
      <c r="AD967">
        <v>2000</v>
      </c>
      <c r="AE967">
        <v>0</v>
      </c>
      <c r="AF967">
        <v>0</v>
      </c>
      <c r="AG967">
        <v>128.46772139349235</v>
      </c>
      <c r="AH967" t="s">
        <v>58</v>
      </c>
    </row>
    <row r="968" spans="1:34" x14ac:dyDescent="0.3">
      <c r="A968" t="s">
        <v>798</v>
      </c>
      <c r="B968">
        <v>52201809</v>
      </c>
      <c r="C968">
        <v>28380987</v>
      </c>
      <c r="D968" t="s">
        <v>164</v>
      </c>
      <c r="E968" t="s">
        <v>438</v>
      </c>
      <c r="F968" t="s">
        <v>431</v>
      </c>
      <c r="G968" t="s">
        <v>82</v>
      </c>
      <c r="H968" t="s">
        <v>83</v>
      </c>
      <c r="J968" t="s">
        <v>52</v>
      </c>
      <c r="K968" s="15">
        <v>500</v>
      </c>
      <c r="L968" s="15">
        <v>0</v>
      </c>
      <c r="M968" s="13">
        <v>45165</v>
      </c>
      <c r="O968">
        <v>0</v>
      </c>
      <c r="P968">
        <v>0</v>
      </c>
      <c r="Q968">
        <v>0</v>
      </c>
      <c r="R968">
        <v>966.11484898398623</v>
      </c>
      <c r="S968">
        <v>30899.581540398351</v>
      </c>
      <c r="T968">
        <v>0</v>
      </c>
      <c r="U968">
        <v>0</v>
      </c>
      <c r="V968">
        <v>51867.600635850336</v>
      </c>
      <c r="W968">
        <v>0</v>
      </c>
      <c r="X968">
        <v>0</v>
      </c>
      <c r="Y968">
        <v>83733.297025232678</v>
      </c>
      <c r="Z968">
        <v>5793.702752337409</v>
      </c>
      <c r="AA968">
        <v>89526.99977757009</v>
      </c>
      <c r="AB968" t="s">
        <v>242</v>
      </c>
      <c r="AC968">
        <v>10</v>
      </c>
      <c r="AD968">
        <v>6300</v>
      </c>
      <c r="AE968">
        <v>0</v>
      </c>
      <c r="AF968">
        <v>0</v>
      </c>
      <c r="AG968">
        <v>407.3813452606347</v>
      </c>
      <c r="AH968" t="s">
        <v>58</v>
      </c>
    </row>
    <row r="969" spans="1:34" x14ac:dyDescent="0.3">
      <c r="A969" t="s">
        <v>798</v>
      </c>
      <c r="B969">
        <v>4132301072</v>
      </c>
      <c r="C969">
        <v>1120077615</v>
      </c>
      <c r="D969" t="s">
        <v>910</v>
      </c>
      <c r="E969" t="s">
        <v>441</v>
      </c>
      <c r="F969" t="s">
        <v>430</v>
      </c>
      <c r="G969" t="s">
        <v>233</v>
      </c>
      <c r="H969" t="s">
        <v>231</v>
      </c>
      <c r="J969" t="s">
        <v>52</v>
      </c>
      <c r="K969" s="15">
        <v>3000</v>
      </c>
      <c r="L969" s="15">
        <v>0</v>
      </c>
      <c r="M969" s="13">
        <v>45165</v>
      </c>
      <c r="O969">
        <v>0</v>
      </c>
      <c r="P969">
        <v>2106.5752272537848</v>
      </c>
      <c r="Q969">
        <v>0</v>
      </c>
      <c r="R969">
        <v>0</v>
      </c>
      <c r="S969">
        <v>2451.8589041095888</v>
      </c>
      <c r="T969">
        <v>6970.4904418188926</v>
      </c>
      <c r="U969">
        <v>0</v>
      </c>
      <c r="V969">
        <v>0</v>
      </c>
      <c r="W969">
        <v>0</v>
      </c>
      <c r="X969">
        <v>0</v>
      </c>
      <c r="Y969">
        <v>11528.924573182267</v>
      </c>
      <c r="Z969">
        <v>487.93433092732255</v>
      </c>
      <c r="AA969">
        <v>12016.858904109589</v>
      </c>
      <c r="AB969" t="s">
        <v>242</v>
      </c>
      <c r="AC969">
        <v>1</v>
      </c>
      <c r="AD969">
        <v>3000</v>
      </c>
      <c r="AE969">
        <v>0</v>
      </c>
      <c r="AF969">
        <v>0</v>
      </c>
      <c r="AG969">
        <v>117.86006159604199</v>
      </c>
      <c r="AH969" t="s">
        <v>72</v>
      </c>
    </row>
    <row r="970" spans="1:34" x14ac:dyDescent="0.3">
      <c r="A970" t="s">
        <v>798</v>
      </c>
      <c r="B970">
        <v>4142300721</v>
      </c>
      <c r="C970">
        <v>10326060</v>
      </c>
      <c r="D970" t="s">
        <v>274</v>
      </c>
      <c r="E970" t="s">
        <v>445</v>
      </c>
      <c r="F970" t="s">
        <v>430</v>
      </c>
      <c r="G970" t="s">
        <v>237</v>
      </c>
      <c r="H970" t="s">
        <v>234</v>
      </c>
      <c r="J970" t="s">
        <v>425</v>
      </c>
      <c r="K970" s="15">
        <v>100000</v>
      </c>
      <c r="L970" s="15">
        <v>75</v>
      </c>
      <c r="M970" s="13">
        <v>45166</v>
      </c>
      <c r="O970">
        <v>75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69275.317757009354</v>
      </c>
      <c r="Y970">
        <v>69350.317757009354</v>
      </c>
      <c r="Z970">
        <v>4849.2722429906553</v>
      </c>
      <c r="AA970">
        <v>74199.590000000011</v>
      </c>
      <c r="AB970" t="s">
        <v>242</v>
      </c>
      <c r="AC970">
        <v>0</v>
      </c>
      <c r="AD970">
        <v>0</v>
      </c>
      <c r="AE970">
        <v>0</v>
      </c>
      <c r="AF970">
        <v>107000</v>
      </c>
      <c r="AG970">
        <v>7000</v>
      </c>
      <c r="AH970" t="s">
        <v>72</v>
      </c>
    </row>
    <row r="971" spans="1:34" x14ac:dyDescent="0.3">
      <c r="A971" t="s">
        <v>798</v>
      </c>
      <c r="B971">
        <v>52200358</v>
      </c>
      <c r="C971">
        <v>26358634</v>
      </c>
      <c r="D971" t="s">
        <v>851</v>
      </c>
      <c r="E971" t="s">
        <v>436</v>
      </c>
      <c r="F971" t="s">
        <v>431</v>
      </c>
      <c r="G971" t="s">
        <v>82</v>
      </c>
      <c r="H971" t="s">
        <v>83</v>
      </c>
      <c r="J971" t="s">
        <v>52</v>
      </c>
      <c r="K971" s="15">
        <v>3000</v>
      </c>
      <c r="L971" s="15">
        <v>0</v>
      </c>
      <c r="M971" s="13">
        <v>45166</v>
      </c>
      <c r="O971">
        <v>0</v>
      </c>
      <c r="P971">
        <v>0</v>
      </c>
      <c r="Q971">
        <v>0</v>
      </c>
      <c r="R971">
        <v>876.4806630159801</v>
      </c>
      <c r="S971">
        <v>18708.115039368418</v>
      </c>
      <c r="T971">
        <v>0</v>
      </c>
      <c r="U971">
        <v>0</v>
      </c>
      <c r="V971">
        <v>42723.211920691763</v>
      </c>
      <c r="W971">
        <v>0</v>
      </c>
      <c r="X971">
        <v>0</v>
      </c>
      <c r="Y971">
        <v>62307.807623076165</v>
      </c>
      <c r="Z971">
        <v>4300.1928872042126</v>
      </c>
      <c r="AA971">
        <v>66608.000510280384</v>
      </c>
      <c r="AB971" t="s">
        <v>242</v>
      </c>
      <c r="AC971">
        <v>4</v>
      </c>
      <c r="AD971">
        <v>4500</v>
      </c>
      <c r="AE971">
        <v>0</v>
      </c>
      <c r="AF971">
        <v>0</v>
      </c>
      <c r="AG971">
        <v>290.23705272067178</v>
      </c>
      <c r="AH971" t="s">
        <v>58</v>
      </c>
    </row>
    <row r="972" spans="1:34" x14ac:dyDescent="0.3">
      <c r="A972" t="s">
        <v>798</v>
      </c>
      <c r="B972">
        <v>52200733</v>
      </c>
      <c r="C972">
        <v>29713647</v>
      </c>
      <c r="D972" t="s">
        <v>140</v>
      </c>
      <c r="E972" t="s">
        <v>438</v>
      </c>
      <c r="F972" t="s">
        <v>431</v>
      </c>
      <c r="G972" t="s">
        <v>82</v>
      </c>
      <c r="H972" t="s">
        <v>83</v>
      </c>
      <c r="J972" t="s">
        <v>52</v>
      </c>
      <c r="K972" s="15">
        <v>3437</v>
      </c>
      <c r="L972" s="15">
        <v>0</v>
      </c>
      <c r="M972" s="13">
        <v>45166</v>
      </c>
      <c r="O972">
        <v>0</v>
      </c>
      <c r="P972">
        <v>0</v>
      </c>
      <c r="Q972">
        <v>0</v>
      </c>
      <c r="R972">
        <v>901.74813987147627</v>
      </c>
      <c r="S972">
        <v>7132.0110842322702</v>
      </c>
      <c r="T972">
        <v>0</v>
      </c>
      <c r="U972">
        <v>0</v>
      </c>
      <c r="V972">
        <v>58878.504672897187</v>
      </c>
      <c r="W972">
        <v>0</v>
      </c>
      <c r="X972">
        <v>0</v>
      </c>
      <c r="Y972">
        <v>66912.263897000928</v>
      </c>
      <c r="Z972">
        <v>4620.7361029990625</v>
      </c>
      <c r="AA972">
        <v>71532.999999999985</v>
      </c>
      <c r="AB972" t="s">
        <v>242</v>
      </c>
      <c r="AC972">
        <v>4</v>
      </c>
      <c r="AD972">
        <v>17337</v>
      </c>
      <c r="AE972">
        <v>0</v>
      </c>
      <c r="AF972">
        <v>0</v>
      </c>
      <c r="AG972">
        <v>1118.7405325149557</v>
      </c>
      <c r="AH972" t="s">
        <v>58</v>
      </c>
    </row>
    <row r="973" spans="1:34" x14ac:dyDescent="0.3">
      <c r="A973" t="s">
        <v>798</v>
      </c>
      <c r="B973">
        <v>62200025</v>
      </c>
      <c r="C973">
        <v>9001302</v>
      </c>
      <c r="D973" t="s">
        <v>79</v>
      </c>
      <c r="E973" t="s">
        <v>435</v>
      </c>
      <c r="F973" t="s">
        <v>432</v>
      </c>
      <c r="G973" t="s">
        <v>82</v>
      </c>
      <c r="H973" t="s">
        <v>82</v>
      </c>
      <c r="J973" t="s">
        <v>52</v>
      </c>
      <c r="K973" s="15">
        <v>1000</v>
      </c>
      <c r="L973" s="15">
        <v>0</v>
      </c>
      <c r="M973" s="13">
        <v>45166</v>
      </c>
      <c r="O973">
        <v>0</v>
      </c>
      <c r="P973">
        <v>0</v>
      </c>
      <c r="Q973">
        <v>0</v>
      </c>
      <c r="R973">
        <v>0</v>
      </c>
      <c r="S973">
        <v>1185.2332638356165</v>
      </c>
      <c r="T973">
        <v>0</v>
      </c>
      <c r="U973">
        <v>0</v>
      </c>
      <c r="V973">
        <v>16839.61</v>
      </c>
      <c r="W973">
        <v>0</v>
      </c>
      <c r="X973">
        <v>0</v>
      </c>
      <c r="Y973">
        <v>18024.843263835617</v>
      </c>
      <c r="Z973">
        <v>0</v>
      </c>
      <c r="AA973">
        <v>18024.843263835617</v>
      </c>
      <c r="AB973" t="s">
        <v>242</v>
      </c>
      <c r="AC973">
        <v>12</v>
      </c>
      <c r="AD973">
        <v>12170</v>
      </c>
      <c r="AE973">
        <v>0</v>
      </c>
      <c r="AF973">
        <v>0</v>
      </c>
      <c r="AG973">
        <v>0</v>
      </c>
      <c r="AH973" t="s">
        <v>58</v>
      </c>
    </row>
    <row r="974" spans="1:34" x14ac:dyDescent="0.3">
      <c r="A974" t="s">
        <v>798</v>
      </c>
      <c r="B974">
        <v>62200115</v>
      </c>
      <c r="C974">
        <v>25275925</v>
      </c>
      <c r="D974" t="s">
        <v>88</v>
      </c>
      <c r="E974" t="s">
        <v>436</v>
      </c>
      <c r="F974" t="s">
        <v>432</v>
      </c>
      <c r="G974" t="s">
        <v>82</v>
      </c>
      <c r="H974" t="s">
        <v>82</v>
      </c>
      <c r="J974" t="s">
        <v>52</v>
      </c>
      <c r="K974" s="15">
        <v>500</v>
      </c>
      <c r="L974" s="15">
        <v>0</v>
      </c>
      <c r="M974" s="13">
        <v>45166</v>
      </c>
      <c r="O974">
        <v>0</v>
      </c>
      <c r="P974">
        <v>0</v>
      </c>
      <c r="Q974">
        <v>0</v>
      </c>
      <c r="R974">
        <v>0</v>
      </c>
      <c r="S974">
        <v>5304.74114699457</v>
      </c>
      <c r="T974">
        <v>0</v>
      </c>
      <c r="U974">
        <v>0</v>
      </c>
      <c r="V974">
        <v>29072.994912695332</v>
      </c>
      <c r="W974">
        <v>0</v>
      </c>
      <c r="X974">
        <v>0</v>
      </c>
      <c r="Y974">
        <v>34377.736059689902</v>
      </c>
      <c r="Z974">
        <v>0</v>
      </c>
      <c r="AA974">
        <v>34377.736059689902</v>
      </c>
      <c r="AB974" t="s">
        <v>242</v>
      </c>
      <c r="AC974">
        <v>7</v>
      </c>
      <c r="AD974">
        <v>4000</v>
      </c>
      <c r="AE974">
        <v>0</v>
      </c>
      <c r="AF974">
        <v>0</v>
      </c>
      <c r="AG974">
        <v>0</v>
      </c>
      <c r="AH974" t="s">
        <v>58</v>
      </c>
    </row>
    <row r="975" spans="1:34" x14ac:dyDescent="0.3">
      <c r="A975" t="s">
        <v>798</v>
      </c>
      <c r="B975">
        <v>4142300724</v>
      </c>
      <c r="C975">
        <v>10329637</v>
      </c>
      <c r="D975" t="s">
        <v>206</v>
      </c>
      <c r="E975" t="s">
        <v>445</v>
      </c>
      <c r="F975" t="s">
        <v>430</v>
      </c>
      <c r="G975" t="s">
        <v>230</v>
      </c>
      <c r="H975" t="s">
        <v>234</v>
      </c>
      <c r="J975" t="s">
        <v>52</v>
      </c>
      <c r="K975" s="15">
        <v>1000</v>
      </c>
      <c r="L975" s="15">
        <v>0</v>
      </c>
      <c r="M975" s="13">
        <v>45166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414599.66713609011</v>
      </c>
      <c r="Y975">
        <v>414599.66713609011</v>
      </c>
      <c r="Z975">
        <v>29021.976699526309</v>
      </c>
      <c r="AA975">
        <v>443621.64383561641</v>
      </c>
      <c r="AB975" t="s">
        <v>242</v>
      </c>
      <c r="AC975">
        <v>1</v>
      </c>
      <c r="AD975">
        <v>1000</v>
      </c>
      <c r="AE975">
        <v>0</v>
      </c>
      <c r="AF975">
        <v>0</v>
      </c>
      <c r="AG975">
        <v>65.420560747663558</v>
      </c>
      <c r="AH975" t="s">
        <v>72</v>
      </c>
    </row>
    <row r="976" spans="1:34" x14ac:dyDescent="0.3">
      <c r="A976" t="s">
        <v>798</v>
      </c>
      <c r="B976">
        <v>4142300842</v>
      </c>
      <c r="C976">
        <v>10382588</v>
      </c>
      <c r="D976" t="s">
        <v>211</v>
      </c>
      <c r="E976" t="s">
        <v>445</v>
      </c>
      <c r="F976" t="s">
        <v>430</v>
      </c>
      <c r="G976" t="s">
        <v>230</v>
      </c>
      <c r="H976" t="s">
        <v>234</v>
      </c>
      <c r="J976" t="s">
        <v>52</v>
      </c>
      <c r="K976" s="15">
        <v>1000</v>
      </c>
      <c r="L976" s="15">
        <v>0</v>
      </c>
      <c r="M976" s="13">
        <v>45166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122928.17757009344</v>
      </c>
      <c r="Y976">
        <v>122928.17757009344</v>
      </c>
      <c r="Z976">
        <v>8604.9724299065419</v>
      </c>
      <c r="AA976">
        <v>131533.14999999997</v>
      </c>
      <c r="AB976" t="s">
        <v>242</v>
      </c>
      <c r="AC976">
        <v>3</v>
      </c>
      <c r="AD976">
        <v>5000</v>
      </c>
      <c r="AE976">
        <v>0</v>
      </c>
      <c r="AF976">
        <v>0</v>
      </c>
      <c r="AG976">
        <v>327.10280373831779</v>
      </c>
      <c r="AH976" t="s">
        <v>58</v>
      </c>
    </row>
    <row r="977" spans="1:34" x14ac:dyDescent="0.3">
      <c r="A977" t="s">
        <v>798</v>
      </c>
      <c r="B977">
        <v>62200104</v>
      </c>
      <c r="C977" t="s">
        <v>245</v>
      </c>
      <c r="D977" t="s">
        <v>316</v>
      </c>
      <c r="E977" t="s">
        <v>435</v>
      </c>
      <c r="F977" t="s">
        <v>432</v>
      </c>
      <c r="G977" t="s">
        <v>82</v>
      </c>
      <c r="H977" t="s">
        <v>82</v>
      </c>
      <c r="J977" t="s">
        <v>52</v>
      </c>
      <c r="K977" s="15">
        <v>3000</v>
      </c>
      <c r="L977" s="15">
        <v>0</v>
      </c>
      <c r="M977" s="13">
        <v>45166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8594.8866788080632</v>
      </c>
      <c r="W977">
        <v>0</v>
      </c>
      <c r="X977">
        <v>0</v>
      </c>
      <c r="Y977">
        <v>8594.8866788080632</v>
      </c>
      <c r="Z977">
        <v>0</v>
      </c>
      <c r="AA977">
        <v>8594.8866788080632</v>
      </c>
      <c r="AB977" t="s">
        <v>242</v>
      </c>
      <c r="AC977">
        <v>13</v>
      </c>
      <c r="AD977">
        <v>29000</v>
      </c>
      <c r="AE977">
        <v>0</v>
      </c>
      <c r="AF977">
        <v>0</v>
      </c>
      <c r="AG977">
        <v>0</v>
      </c>
      <c r="AH977" t="s">
        <v>58</v>
      </c>
    </row>
    <row r="978" spans="1:34" x14ac:dyDescent="0.3">
      <c r="A978" t="s">
        <v>798</v>
      </c>
      <c r="B978">
        <v>82200024</v>
      </c>
      <c r="C978" t="s">
        <v>246</v>
      </c>
      <c r="D978" t="s">
        <v>317</v>
      </c>
      <c r="E978" t="s">
        <v>440</v>
      </c>
      <c r="F978" t="s">
        <v>433</v>
      </c>
      <c r="G978" t="s">
        <v>82</v>
      </c>
      <c r="H978" t="s">
        <v>83</v>
      </c>
      <c r="J978" t="s">
        <v>52</v>
      </c>
      <c r="K978" s="15">
        <v>20000</v>
      </c>
      <c r="L978" s="15">
        <v>0</v>
      </c>
      <c r="M978" s="13">
        <v>45166</v>
      </c>
      <c r="O978">
        <v>0</v>
      </c>
      <c r="P978">
        <v>0</v>
      </c>
      <c r="Q978">
        <v>16886.287321960692</v>
      </c>
      <c r="R978">
        <v>4997.25</v>
      </c>
      <c r="S978">
        <v>0</v>
      </c>
      <c r="T978">
        <v>0</v>
      </c>
      <c r="U978">
        <v>0</v>
      </c>
      <c r="V978">
        <v>208756.3365215321</v>
      </c>
      <c r="W978">
        <v>0</v>
      </c>
      <c r="X978">
        <v>0</v>
      </c>
      <c r="Y978">
        <v>230639.87384349279</v>
      </c>
      <c r="Z978">
        <v>14612.943556507247</v>
      </c>
      <c r="AA978">
        <v>245252.81740000003</v>
      </c>
      <c r="AB978" t="s">
        <v>242</v>
      </c>
      <c r="AC978">
        <v>7</v>
      </c>
      <c r="AD978">
        <v>140000</v>
      </c>
      <c r="AE978">
        <v>0</v>
      </c>
      <c r="AF978">
        <v>0</v>
      </c>
      <c r="AG978">
        <v>8273.5438434927564</v>
      </c>
      <c r="AH978" t="s">
        <v>58</v>
      </c>
    </row>
    <row r="979" spans="1:34" x14ac:dyDescent="0.3">
      <c r="A979" t="s">
        <v>798</v>
      </c>
      <c r="B979">
        <v>4132300350</v>
      </c>
      <c r="C979" t="s">
        <v>466</v>
      </c>
      <c r="D979" t="s">
        <v>539</v>
      </c>
      <c r="E979" t="s">
        <v>441</v>
      </c>
      <c r="F979" t="s">
        <v>430</v>
      </c>
      <c r="G979" t="s">
        <v>230</v>
      </c>
      <c r="H979" t="s">
        <v>231</v>
      </c>
      <c r="J979" t="s">
        <v>52</v>
      </c>
      <c r="K979" s="15">
        <v>7000</v>
      </c>
      <c r="L979" s="15">
        <v>0</v>
      </c>
      <c r="M979" s="13">
        <v>45166</v>
      </c>
      <c r="O979">
        <v>0</v>
      </c>
      <c r="P979">
        <v>1924.5852497520291</v>
      </c>
      <c r="Q979">
        <v>0</v>
      </c>
      <c r="R979">
        <v>0</v>
      </c>
      <c r="S979">
        <v>3496.6438356164385</v>
      </c>
      <c r="T979">
        <v>0</v>
      </c>
      <c r="U979">
        <v>0</v>
      </c>
      <c r="V979">
        <v>0</v>
      </c>
      <c r="W979">
        <v>12338.705374063526</v>
      </c>
      <c r="X979">
        <v>0</v>
      </c>
      <c r="Y979">
        <v>17759.934459431992</v>
      </c>
      <c r="Z979">
        <v>863.70937618444691</v>
      </c>
      <c r="AA979">
        <v>18623.64383561644</v>
      </c>
      <c r="AB979" t="s">
        <v>242</v>
      </c>
      <c r="AC979">
        <v>1</v>
      </c>
      <c r="AD979">
        <v>7000</v>
      </c>
      <c r="AE979">
        <v>0</v>
      </c>
      <c r="AF979">
        <v>0</v>
      </c>
      <c r="AG979">
        <v>315.62707241368389</v>
      </c>
      <c r="AH979" t="s">
        <v>72</v>
      </c>
    </row>
    <row r="980" spans="1:34" x14ac:dyDescent="0.3">
      <c r="A980" t="s">
        <v>798</v>
      </c>
      <c r="B980">
        <v>4132300862</v>
      </c>
      <c r="C980" t="s">
        <v>351</v>
      </c>
      <c r="D980" t="s">
        <v>390</v>
      </c>
      <c r="E980" t="s">
        <v>441</v>
      </c>
      <c r="F980" t="s">
        <v>430</v>
      </c>
      <c r="G980" t="s">
        <v>238</v>
      </c>
      <c r="H980" t="s">
        <v>236</v>
      </c>
      <c r="J980" t="s">
        <v>416</v>
      </c>
      <c r="K980" s="15">
        <v>0.30466671032343717</v>
      </c>
      <c r="L980" s="15">
        <v>0</v>
      </c>
      <c r="M980" s="13">
        <v>45166</v>
      </c>
      <c r="O980">
        <v>0</v>
      </c>
      <c r="P980">
        <v>0</v>
      </c>
      <c r="Q980">
        <v>0</v>
      </c>
      <c r="R980">
        <v>0</v>
      </c>
      <c r="S980">
        <v>10038.413836359634</v>
      </c>
      <c r="T980">
        <v>0</v>
      </c>
      <c r="U980">
        <v>0</v>
      </c>
      <c r="V980">
        <v>28001.482395925574</v>
      </c>
      <c r="W980">
        <v>0</v>
      </c>
      <c r="X980">
        <v>0</v>
      </c>
      <c r="Y980">
        <v>38039.896232285209</v>
      </c>
      <c r="Z980">
        <v>1960.1037677147904</v>
      </c>
      <c r="AA980">
        <v>40000</v>
      </c>
      <c r="AB980" t="s">
        <v>242</v>
      </c>
      <c r="AC980">
        <v>2</v>
      </c>
      <c r="AD980">
        <v>6000</v>
      </c>
      <c r="AE980">
        <v>0</v>
      </c>
      <c r="AF980">
        <v>0</v>
      </c>
      <c r="AG980">
        <v>288.53527772782581</v>
      </c>
      <c r="AH980" t="s">
        <v>58</v>
      </c>
    </row>
    <row r="981" spans="1:34" x14ac:dyDescent="0.3">
      <c r="A981" t="s">
        <v>798</v>
      </c>
      <c r="B981">
        <v>4132300862</v>
      </c>
      <c r="C981" t="s">
        <v>351</v>
      </c>
      <c r="D981" t="s">
        <v>390</v>
      </c>
      <c r="E981" t="s">
        <v>441</v>
      </c>
      <c r="F981" t="s">
        <v>430</v>
      </c>
      <c r="G981" t="s">
        <v>420</v>
      </c>
      <c r="H981" t="s">
        <v>236</v>
      </c>
      <c r="J981" t="s">
        <v>52</v>
      </c>
      <c r="K981" s="15">
        <v>40000</v>
      </c>
      <c r="L981" s="15">
        <v>0</v>
      </c>
      <c r="M981" s="13">
        <v>45166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">
        <v>242</v>
      </c>
      <c r="AC981">
        <v>3</v>
      </c>
      <c r="AD981">
        <v>46000</v>
      </c>
      <c r="AE981">
        <v>0</v>
      </c>
      <c r="AF981">
        <v>0</v>
      </c>
      <c r="AG981">
        <v>2248.6390454426164</v>
      </c>
      <c r="AH981" t="s">
        <v>58</v>
      </c>
    </row>
    <row r="982" spans="1:34" x14ac:dyDescent="0.3">
      <c r="A982" t="s">
        <v>798</v>
      </c>
      <c r="B982">
        <v>4132300995</v>
      </c>
      <c r="C982" t="s">
        <v>356</v>
      </c>
      <c r="D982" t="s">
        <v>395</v>
      </c>
      <c r="E982" t="s">
        <v>441</v>
      </c>
      <c r="F982" t="s">
        <v>430</v>
      </c>
      <c r="G982" t="s">
        <v>326</v>
      </c>
      <c r="H982" t="s">
        <v>236</v>
      </c>
      <c r="J982" t="s">
        <v>416</v>
      </c>
      <c r="K982" s="15">
        <v>0.36883495492314355</v>
      </c>
      <c r="L982" s="15">
        <v>0</v>
      </c>
      <c r="M982" s="13">
        <v>45166</v>
      </c>
      <c r="O982">
        <v>0</v>
      </c>
      <c r="P982">
        <v>0</v>
      </c>
      <c r="Q982">
        <v>0</v>
      </c>
      <c r="R982">
        <v>0</v>
      </c>
      <c r="S982">
        <v>66052.891803699371</v>
      </c>
      <c r="T982">
        <v>0</v>
      </c>
      <c r="U982">
        <v>0</v>
      </c>
      <c r="V982">
        <v>125184.21326757068</v>
      </c>
      <c r="W982">
        <v>0</v>
      </c>
      <c r="X982">
        <v>0</v>
      </c>
      <c r="Y982">
        <v>191237.10507127005</v>
      </c>
      <c r="Z982">
        <v>8762.8949287299492</v>
      </c>
      <c r="AA982">
        <v>200000</v>
      </c>
      <c r="AB982" t="s">
        <v>242</v>
      </c>
      <c r="AC982">
        <v>0</v>
      </c>
      <c r="AD982">
        <v>0</v>
      </c>
      <c r="AE982">
        <v>0</v>
      </c>
      <c r="AF982">
        <v>0</v>
      </c>
      <c r="AG982">
        <v>0</v>
      </c>
      <c r="AH982" t="s">
        <v>72</v>
      </c>
    </row>
    <row r="983" spans="1:34" x14ac:dyDescent="0.3">
      <c r="A983" t="s">
        <v>798</v>
      </c>
      <c r="B983">
        <v>4132300995</v>
      </c>
      <c r="C983" t="s">
        <v>356</v>
      </c>
      <c r="D983" t="s">
        <v>395</v>
      </c>
      <c r="E983" t="s">
        <v>441</v>
      </c>
      <c r="F983" t="s">
        <v>430</v>
      </c>
      <c r="G983" t="s">
        <v>326</v>
      </c>
      <c r="H983" t="s">
        <v>236</v>
      </c>
      <c r="J983" t="s">
        <v>52</v>
      </c>
      <c r="K983" s="15">
        <v>20000</v>
      </c>
      <c r="L983" s="15">
        <v>0</v>
      </c>
      <c r="M983" s="13">
        <v>45166</v>
      </c>
      <c r="O983">
        <v>0</v>
      </c>
      <c r="P983">
        <v>0</v>
      </c>
      <c r="Q983">
        <v>0</v>
      </c>
      <c r="R983">
        <v>0</v>
      </c>
      <c r="S983">
        <v>59144.934085025176</v>
      </c>
      <c r="T983">
        <v>0</v>
      </c>
      <c r="U983">
        <v>0</v>
      </c>
      <c r="V983">
        <v>112948.65973362133</v>
      </c>
      <c r="W983">
        <v>0</v>
      </c>
      <c r="X983">
        <v>0</v>
      </c>
      <c r="Y983">
        <v>172093.59381864651</v>
      </c>
      <c r="Z983">
        <v>7906.4061813534936</v>
      </c>
      <c r="AA983">
        <v>180000</v>
      </c>
      <c r="AB983" t="s">
        <v>242</v>
      </c>
      <c r="AC983">
        <v>1</v>
      </c>
      <c r="AD983">
        <v>20000</v>
      </c>
      <c r="AE983">
        <v>0</v>
      </c>
      <c r="AF983">
        <v>0</v>
      </c>
      <c r="AG983">
        <v>856.48874737645565</v>
      </c>
      <c r="AH983" t="s">
        <v>58</v>
      </c>
    </row>
    <row r="984" spans="1:34" x14ac:dyDescent="0.3">
      <c r="A984" t="s">
        <v>798</v>
      </c>
      <c r="B984">
        <v>4142300263</v>
      </c>
      <c r="C984" t="s">
        <v>484</v>
      </c>
      <c r="D984" t="s">
        <v>556</v>
      </c>
      <c r="E984" t="s">
        <v>445</v>
      </c>
      <c r="F984" t="s">
        <v>430</v>
      </c>
      <c r="G984" t="s">
        <v>230</v>
      </c>
      <c r="H984" t="s">
        <v>234</v>
      </c>
      <c r="J984" t="s">
        <v>416</v>
      </c>
      <c r="K984" s="15">
        <v>0.18695332774374174</v>
      </c>
      <c r="L984" s="15">
        <v>0</v>
      </c>
      <c r="M984" s="13">
        <v>45166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182242.99065420561</v>
      </c>
      <c r="Y984">
        <v>182242.99065420561</v>
      </c>
      <c r="Z984">
        <v>12757.009345794395</v>
      </c>
      <c r="AA984">
        <v>195000</v>
      </c>
      <c r="AB984" t="s">
        <v>242</v>
      </c>
      <c r="AC984">
        <v>0</v>
      </c>
      <c r="AD984">
        <v>0</v>
      </c>
      <c r="AE984">
        <v>0</v>
      </c>
      <c r="AF984">
        <v>0</v>
      </c>
      <c r="AG984">
        <v>0</v>
      </c>
      <c r="AH984" t="s">
        <v>72</v>
      </c>
    </row>
    <row r="985" spans="1:34" x14ac:dyDescent="0.3">
      <c r="A985" t="s">
        <v>798</v>
      </c>
      <c r="B985">
        <v>4302300040</v>
      </c>
      <c r="C985" t="s">
        <v>109</v>
      </c>
      <c r="D985" t="s">
        <v>226</v>
      </c>
      <c r="E985" t="s">
        <v>447</v>
      </c>
      <c r="F985" t="s">
        <v>433</v>
      </c>
      <c r="G985" t="s">
        <v>82</v>
      </c>
      <c r="H985" t="s">
        <v>83</v>
      </c>
      <c r="J985" t="s">
        <v>416</v>
      </c>
      <c r="K985" s="15">
        <v>0.24330319048080684</v>
      </c>
      <c r="L985" s="15">
        <v>0</v>
      </c>
      <c r="M985" s="13">
        <v>45166</v>
      </c>
      <c r="O985">
        <v>0</v>
      </c>
      <c r="P985">
        <v>0</v>
      </c>
      <c r="Q985">
        <v>15171.119146711782</v>
      </c>
      <c r="R985">
        <v>7694.6985166387713</v>
      </c>
      <c r="S985">
        <v>29774.267303020784</v>
      </c>
      <c r="T985">
        <v>0</v>
      </c>
      <c r="U985">
        <v>0</v>
      </c>
      <c r="V985">
        <v>217640.85637609081</v>
      </c>
      <c r="W985">
        <v>0</v>
      </c>
      <c r="X985">
        <v>0</v>
      </c>
      <c r="Y985">
        <v>270280.94134246215</v>
      </c>
      <c r="Z985">
        <v>17319.058657537815</v>
      </c>
      <c r="AA985">
        <v>287599.99999999994</v>
      </c>
      <c r="AB985" t="s">
        <v>242</v>
      </c>
      <c r="AC985">
        <v>2</v>
      </c>
      <c r="AD985">
        <v>7200</v>
      </c>
      <c r="AE985">
        <v>0</v>
      </c>
      <c r="AF985">
        <v>0</v>
      </c>
      <c r="AG985">
        <v>431.14298685912127</v>
      </c>
      <c r="AH985" t="s">
        <v>58</v>
      </c>
    </row>
    <row r="986" spans="1:34" x14ac:dyDescent="0.3">
      <c r="A986" t="s">
        <v>798</v>
      </c>
      <c r="B986">
        <v>4302300040</v>
      </c>
      <c r="C986" t="s">
        <v>109</v>
      </c>
      <c r="D986" t="s">
        <v>226</v>
      </c>
      <c r="E986" t="s">
        <v>447</v>
      </c>
      <c r="F986" t="s">
        <v>433</v>
      </c>
      <c r="G986" t="s">
        <v>82</v>
      </c>
      <c r="H986" t="s">
        <v>83</v>
      </c>
      <c r="J986" t="s">
        <v>52</v>
      </c>
      <c r="K986" s="15">
        <v>250000</v>
      </c>
      <c r="L986" s="15">
        <v>0</v>
      </c>
      <c r="M986" s="13">
        <v>45166</v>
      </c>
      <c r="O986">
        <v>0</v>
      </c>
      <c r="P986">
        <v>0</v>
      </c>
      <c r="Q986">
        <v>0</v>
      </c>
      <c r="R986">
        <v>1715.7713913326406</v>
      </c>
      <c r="S986">
        <v>0</v>
      </c>
      <c r="T986">
        <v>0</v>
      </c>
      <c r="U986">
        <v>0</v>
      </c>
      <c r="V986">
        <v>33536.662251090951</v>
      </c>
      <c r="W986">
        <v>0</v>
      </c>
      <c r="X986">
        <v>0</v>
      </c>
      <c r="Y986">
        <v>35252.433642423595</v>
      </c>
      <c r="Z986">
        <v>2347.566357576367</v>
      </c>
      <c r="AA986">
        <v>37599.999999999964</v>
      </c>
      <c r="AB986" t="s">
        <v>242</v>
      </c>
      <c r="AC986">
        <v>3</v>
      </c>
      <c r="AD986">
        <v>257200</v>
      </c>
      <c r="AE986">
        <v>0</v>
      </c>
      <c r="AF986">
        <v>0</v>
      </c>
      <c r="AG986">
        <v>15402.635286820572</v>
      </c>
      <c r="AH986" t="s">
        <v>58</v>
      </c>
    </row>
    <row r="987" spans="1:34" x14ac:dyDescent="0.3">
      <c r="A987" t="s">
        <v>798</v>
      </c>
      <c r="B987">
        <v>12200001</v>
      </c>
      <c r="C987">
        <v>11371109</v>
      </c>
      <c r="D987" t="s">
        <v>111</v>
      </c>
      <c r="E987" t="s">
        <v>435</v>
      </c>
      <c r="F987" t="s">
        <v>427</v>
      </c>
      <c r="G987" t="s">
        <v>82</v>
      </c>
      <c r="H987" t="s">
        <v>82</v>
      </c>
      <c r="J987" t="s">
        <v>52</v>
      </c>
      <c r="K987" s="15">
        <v>2000</v>
      </c>
      <c r="L987" s="15">
        <v>0</v>
      </c>
      <c r="M987" s="13">
        <v>45167</v>
      </c>
      <c r="O987">
        <v>0</v>
      </c>
      <c r="P987">
        <v>0</v>
      </c>
      <c r="Q987">
        <v>0</v>
      </c>
      <c r="R987">
        <v>0</v>
      </c>
      <c r="S987">
        <v>33274.413513237239</v>
      </c>
      <c r="T987">
        <v>0</v>
      </c>
      <c r="U987">
        <v>0</v>
      </c>
      <c r="V987">
        <v>107144.0766813306</v>
      </c>
      <c r="W987">
        <v>0</v>
      </c>
      <c r="X987">
        <v>0</v>
      </c>
      <c r="Y987">
        <v>140418.49019456783</v>
      </c>
      <c r="Z987">
        <v>0</v>
      </c>
      <c r="AA987">
        <v>140418.49019456783</v>
      </c>
      <c r="AB987" t="s">
        <v>242</v>
      </c>
      <c r="AC987">
        <v>6</v>
      </c>
      <c r="AD987">
        <v>10000</v>
      </c>
      <c r="AE987">
        <v>0</v>
      </c>
      <c r="AF987">
        <v>0</v>
      </c>
      <c r="AG987">
        <v>0</v>
      </c>
      <c r="AH987" t="s">
        <v>58</v>
      </c>
    </row>
    <row r="988" spans="1:34" x14ac:dyDescent="0.3">
      <c r="A988" t="s">
        <v>798</v>
      </c>
      <c r="B988">
        <v>12200168</v>
      </c>
      <c r="C988">
        <v>22304640</v>
      </c>
      <c r="D988" t="s">
        <v>116</v>
      </c>
      <c r="E988" t="s">
        <v>438</v>
      </c>
      <c r="F988" t="s">
        <v>427</v>
      </c>
      <c r="G988" t="s">
        <v>82</v>
      </c>
      <c r="H988" t="s">
        <v>82</v>
      </c>
      <c r="J988" t="s">
        <v>52</v>
      </c>
      <c r="K988" s="15">
        <v>2500</v>
      </c>
      <c r="L988" s="15">
        <v>0</v>
      </c>
      <c r="M988" s="13">
        <v>45167</v>
      </c>
      <c r="O988">
        <v>0</v>
      </c>
      <c r="P988">
        <v>0</v>
      </c>
      <c r="Q988">
        <v>0</v>
      </c>
      <c r="R988">
        <v>0</v>
      </c>
      <c r="S988">
        <v>30001.057465295118</v>
      </c>
      <c r="T988">
        <v>0</v>
      </c>
      <c r="U988">
        <v>0</v>
      </c>
      <c r="V988">
        <v>265200.49260584638</v>
      </c>
      <c r="W988">
        <v>0</v>
      </c>
      <c r="X988">
        <v>0</v>
      </c>
      <c r="Y988">
        <v>295201.55007114151</v>
      </c>
      <c r="Z988">
        <v>0</v>
      </c>
      <c r="AA988">
        <v>295201.55007114151</v>
      </c>
      <c r="AB988" t="s">
        <v>242</v>
      </c>
      <c r="AC988">
        <v>6</v>
      </c>
      <c r="AD988">
        <v>50000</v>
      </c>
      <c r="AE988">
        <v>0</v>
      </c>
      <c r="AF988">
        <v>0</v>
      </c>
      <c r="AG988">
        <v>0</v>
      </c>
      <c r="AH988" t="s">
        <v>58</v>
      </c>
    </row>
    <row r="989" spans="1:34" x14ac:dyDescent="0.3">
      <c r="A989" t="s">
        <v>798</v>
      </c>
      <c r="B989">
        <v>12200190</v>
      </c>
      <c r="C989">
        <v>24889993</v>
      </c>
      <c r="D989" t="s">
        <v>813</v>
      </c>
      <c r="E989" t="s">
        <v>438</v>
      </c>
      <c r="F989" t="s">
        <v>427</v>
      </c>
      <c r="G989" t="s">
        <v>82</v>
      </c>
      <c r="H989" t="s">
        <v>82</v>
      </c>
      <c r="J989" t="s">
        <v>52</v>
      </c>
      <c r="K989" s="15">
        <v>1390</v>
      </c>
      <c r="L989" s="15">
        <v>0</v>
      </c>
      <c r="M989" s="13">
        <v>45167</v>
      </c>
      <c r="O989">
        <v>0</v>
      </c>
      <c r="P989">
        <v>0</v>
      </c>
      <c r="Q989">
        <v>0</v>
      </c>
      <c r="R989">
        <v>0</v>
      </c>
      <c r="S989">
        <v>7377.0066774532461</v>
      </c>
      <c r="T989">
        <v>0</v>
      </c>
      <c r="U989">
        <v>0</v>
      </c>
      <c r="V989">
        <v>46669.558894217822</v>
      </c>
      <c r="W989">
        <v>0</v>
      </c>
      <c r="X989">
        <v>0</v>
      </c>
      <c r="Y989">
        <v>54046.565571671068</v>
      </c>
      <c r="Z989">
        <v>0</v>
      </c>
      <c r="AA989">
        <v>54046.565571671068</v>
      </c>
      <c r="AB989" t="s">
        <v>242</v>
      </c>
      <c r="AC989">
        <v>2</v>
      </c>
      <c r="AD989">
        <v>3390</v>
      </c>
      <c r="AE989">
        <v>0</v>
      </c>
      <c r="AF989">
        <v>0</v>
      </c>
      <c r="AG989">
        <v>0</v>
      </c>
      <c r="AH989" t="s">
        <v>58</v>
      </c>
    </row>
    <row r="990" spans="1:34" x14ac:dyDescent="0.3">
      <c r="A990" t="s">
        <v>798</v>
      </c>
      <c r="B990">
        <v>52201340</v>
      </c>
      <c r="C990">
        <v>28518241</v>
      </c>
      <c r="D990" t="s">
        <v>154</v>
      </c>
      <c r="E990" t="s">
        <v>438</v>
      </c>
      <c r="F990" t="s">
        <v>431</v>
      </c>
      <c r="G990" t="s">
        <v>82</v>
      </c>
      <c r="H990" t="s">
        <v>83</v>
      </c>
      <c r="J990" t="s">
        <v>52</v>
      </c>
      <c r="K990" s="15">
        <v>1000</v>
      </c>
      <c r="L990" s="15">
        <v>0</v>
      </c>
      <c r="M990" s="13">
        <v>45167</v>
      </c>
      <c r="O990">
        <v>0</v>
      </c>
      <c r="P990">
        <v>0</v>
      </c>
      <c r="Q990">
        <v>0</v>
      </c>
      <c r="R990">
        <v>943.68298399183379</v>
      </c>
      <c r="S990">
        <v>17642.61275712739</v>
      </c>
      <c r="T990">
        <v>0</v>
      </c>
      <c r="U990">
        <v>0</v>
      </c>
      <c r="V990">
        <v>46100.673645528383</v>
      </c>
      <c r="W990">
        <v>0</v>
      </c>
      <c r="X990">
        <v>0</v>
      </c>
      <c r="Y990">
        <v>64686.969386647608</v>
      </c>
      <c r="Z990">
        <v>4462.0300481859049</v>
      </c>
      <c r="AA990">
        <v>69148.999434833517</v>
      </c>
      <c r="AB990" t="s">
        <v>242</v>
      </c>
      <c r="AC990">
        <v>3</v>
      </c>
      <c r="AD990">
        <v>6500</v>
      </c>
      <c r="AE990">
        <v>0</v>
      </c>
      <c r="AF990">
        <v>0</v>
      </c>
      <c r="AG990">
        <v>418.99795222376491</v>
      </c>
      <c r="AH990" t="s">
        <v>58</v>
      </c>
    </row>
    <row r="991" spans="1:34" x14ac:dyDescent="0.3">
      <c r="A991" t="s">
        <v>798</v>
      </c>
      <c r="B991">
        <v>52201746</v>
      </c>
      <c r="C991">
        <v>27419275</v>
      </c>
      <c r="D991" t="s">
        <v>885</v>
      </c>
      <c r="E991" t="s">
        <v>438</v>
      </c>
      <c r="F991" t="s">
        <v>431</v>
      </c>
      <c r="G991" t="s">
        <v>82</v>
      </c>
      <c r="H991" t="s">
        <v>83</v>
      </c>
      <c r="J991" t="s">
        <v>52</v>
      </c>
      <c r="K991" s="15">
        <v>1000</v>
      </c>
      <c r="L991" s="15">
        <v>0</v>
      </c>
      <c r="M991" s="13">
        <v>45167</v>
      </c>
      <c r="O991">
        <v>0</v>
      </c>
      <c r="P991">
        <v>0</v>
      </c>
      <c r="Q991">
        <v>0</v>
      </c>
      <c r="R991">
        <v>863.40469439950334</v>
      </c>
      <c r="S991">
        <v>61956.711100158835</v>
      </c>
      <c r="T991">
        <v>0</v>
      </c>
      <c r="U991">
        <v>0</v>
      </c>
      <c r="V991">
        <v>90697.116269910635</v>
      </c>
      <c r="W991">
        <v>0</v>
      </c>
      <c r="X991">
        <v>0</v>
      </c>
      <c r="Y991">
        <v>153517.23206446896</v>
      </c>
      <c r="Z991">
        <v>10685.767915904862</v>
      </c>
      <c r="AA991">
        <v>164202.99998037383</v>
      </c>
      <c r="AB991" t="s">
        <v>242</v>
      </c>
      <c r="AC991">
        <v>4</v>
      </c>
      <c r="AD991">
        <v>4900</v>
      </c>
      <c r="AE991">
        <v>0</v>
      </c>
      <c r="AF991">
        <v>0</v>
      </c>
      <c r="AG991">
        <v>318.75544729716398</v>
      </c>
      <c r="AH991" t="s">
        <v>58</v>
      </c>
    </row>
    <row r="992" spans="1:34" x14ac:dyDescent="0.3">
      <c r="A992" t="s">
        <v>798</v>
      </c>
      <c r="B992">
        <v>82200024</v>
      </c>
      <c r="C992" t="s">
        <v>246</v>
      </c>
      <c r="D992" t="s">
        <v>317</v>
      </c>
      <c r="E992" t="s">
        <v>440</v>
      </c>
      <c r="F992" t="s">
        <v>433</v>
      </c>
      <c r="G992" t="s">
        <v>328</v>
      </c>
      <c r="H992" t="s">
        <v>83</v>
      </c>
      <c r="J992" t="s">
        <v>52</v>
      </c>
      <c r="K992" s="15">
        <v>250000</v>
      </c>
      <c r="L992" s="15">
        <v>0</v>
      </c>
      <c r="M992" s="13">
        <v>45167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">
        <v>242</v>
      </c>
      <c r="AC992">
        <v>8</v>
      </c>
      <c r="AD992">
        <v>390000</v>
      </c>
      <c r="AE992">
        <v>0</v>
      </c>
      <c r="AF992">
        <v>0</v>
      </c>
      <c r="AG992">
        <v>23197.050747663547</v>
      </c>
      <c r="AH992" t="s">
        <v>58</v>
      </c>
    </row>
    <row r="993" spans="1:34" x14ac:dyDescent="0.3">
      <c r="A993" t="s">
        <v>798</v>
      </c>
      <c r="B993">
        <v>42200111</v>
      </c>
      <c r="C993" t="s">
        <v>453</v>
      </c>
      <c r="D993" t="s">
        <v>522</v>
      </c>
      <c r="E993" t="s">
        <v>437</v>
      </c>
      <c r="F993" t="s">
        <v>430</v>
      </c>
      <c r="G993" t="s">
        <v>82</v>
      </c>
      <c r="H993" t="s">
        <v>83</v>
      </c>
      <c r="J993" t="s">
        <v>416</v>
      </c>
      <c r="K993" s="15">
        <v>0.13708293851584197</v>
      </c>
      <c r="L993" s="15">
        <v>0</v>
      </c>
      <c r="M993" s="13">
        <v>45167</v>
      </c>
      <c r="O993">
        <v>0</v>
      </c>
      <c r="P993">
        <v>0</v>
      </c>
      <c r="Q993">
        <v>0</v>
      </c>
      <c r="R993">
        <v>0</v>
      </c>
      <c r="S993">
        <v>11373.521068305974</v>
      </c>
      <c r="T993">
        <v>0</v>
      </c>
      <c r="U993">
        <v>0</v>
      </c>
      <c r="V993">
        <v>13112.460240105242</v>
      </c>
      <c r="W993">
        <v>0</v>
      </c>
      <c r="X993">
        <v>0</v>
      </c>
      <c r="Y993">
        <v>24485.981308411217</v>
      </c>
      <c r="Z993">
        <v>1714.0186915887855</v>
      </c>
      <c r="AA993">
        <v>26200.000000000004</v>
      </c>
      <c r="AB993" t="s">
        <v>242</v>
      </c>
      <c r="AC993">
        <v>0</v>
      </c>
      <c r="AD993">
        <v>0</v>
      </c>
      <c r="AE993">
        <v>0</v>
      </c>
      <c r="AF993">
        <v>0</v>
      </c>
      <c r="AG993">
        <v>0</v>
      </c>
      <c r="AH993" t="s">
        <v>72</v>
      </c>
    </row>
    <row r="994" spans="1:34" x14ac:dyDescent="0.3">
      <c r="A994" t="s">
        <v>798</v>
      </c>
      <c r="B994">
        <v>42200111</v>
      </c>
      <c r="C994" t="s">
        <v>453</v>
      </c>
      <c r="D994" t="s">
        <v>522</v>
      </c>
      <c r="E994" t="s">
        <v>437</v>
      </c>
      <c r="F994" t="s">
        <v>430</v>
      </c>
      <c r="G994" t="s">
        <v>417</v>
      </c>
      <c r="H994" t="s">
        <v>83</v>
      </c>
      <c r="J994" t="s">
        <v>52</v>
      </c>
      <c r="K994" s="15">
        <v>26200</v>
      </c>
      <c r="L994" s="15">
        <v>0</v>
      </c>
      <c r="M994" s="13">
        <v>45167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">
        <v>242</v>
      </c>
      <c r="AC994">
        <v>1</v>
      </c>
      <c r="AD994">
        <v>26200</v>
      </c>
      <c r="AE994">
        <v>0</v>
      </c>
      <c r="AF994">
        <v>0</v>
      </c>
      <c r="AG994">
        <v>1714.0186915887862</v>
      </c>
      <c r="AH994" t="s">
        <v>58</v>
      </c>
    </row>
    <row r="995" spans="1:34" x14ac:dyDescent="0.3">
      <c r="A995" t="s">
        <v>798</v>
      </c>
      <c r="B995">
        <v>82200015</v>
      </c>
      <c r="C995" t="s">
        <v>108</v>
      </c>
      <c r="D995" t="s">
        <v>533</v>
      </c>
      <c r="E995" t="s">
        <v>440</v>
      </c>
      <c r="F995" t="s">
        <v>433</v>
      </c>
      <c r="G995" t="s">
        <v>82</v>
      </c>
      <c r="H995" t="s">
        <v>83</v>
      </c>
      <c r="J995" t="s">
        <v>416</v>
      </c>
      <c r="K995" s="15">
        <v>0.12612971459285938</v>
      </c>
      <c r="L995" s="15">
        <v>0</v>
      </c>
      <c r="M995" s="13">
        <v>45167</v>
      </c>
      <c r="O995">
        <v>0</v>
      </c>
      <c r="P995">
        <v>0</v>
      </c>
      <c r="Q995">
        <v>24897.656769106194</v>
      </c>
      <c r="R995">
        <v>4275.8735226057015</v>
      </c>
      <c r="S995">
        <v>39896.958599297148</v>
      </c>
      <c r="T995">
        <v>0</v>
      </c>
      <c r="U995">
        <v>0</v>
      </c>
      <c r="V995">
        <v>352464.22804396274</v>
      </c>
      <c r="W995">
        <v>0</v>
      </c>
      <c r="X995">
        <v>0</v>
      </c>
      <c r="Y995">
        <v>421534.71693497174</v>
      </c>
      <c r="Z995">
        <v>27465.283065028194</v>
      </c>
      <c r="AA995">
        <v>448999.99999999994</v>
      </c>
      <c r="AB995" t="s">
        <v>242</v>
      </c>
      <c r="AC995">
        <v>0</v>
      </c>
      <c r="AD995">
        <v>0</v>
      </c>
      <c r="AE995">
        <v>0</v>
      </c>
      <c r="AF995">
        <v>0</v>
      </c>
      <c r="AG995">
        <v>0</v>
      </c>
      <c r="AH995" t="s">
        <v>72</v>
      </c>
    </row>
    <row r="996" spans="1:34" x14ac:dyDescent="0.3">
      <c r="A996" t="s">
        <v>798</v>
      </c>
      <c r="B996">
        <v>82200015</v>
      </c>
      <c r="C996" t="s">
        <v>108</v>
      </c>
      <c r="D996" t="s">
        <v>533</v>
      </c>
      <c r="E996" t="s">
        <v>440</v>
      </c>
      <c r="F996" t="s">
        <v>433</v>
      </c>
      <c r="G996" t="s">
        <v>417</v>
      </c>
      <c r="H996" t="s">
        <v>83</v>
      </c>
      <c r="J996" t="s">
        <v>52</v>
      </c>
      <c r="K996" s="15">
        <v>449000</v>
      </c>
      <c r="L996" s="15">
        <v>0</v>
      </c>
      <c r="M996" s="13">
        <v>45167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">
        <v>242</v>
      </c>
      <c r="AC996">
        <v>1</v>
      </c>
      <c r="AD996">
        <v>449000</v>
      </c>
      <c r="AE996">
        <v>0</v>
      </c>
      <c r="AF996">
        <v>0</v>
      </c>
      <c r="AG996">
        <v>27465.283065028198</v>
      </c>
      <c r="AH996" t="s">
        <v>58</v>
      </c>
    </row>
    <row r="997" spans="1:34" x14ac:dyDescent="0.3">
      <c r="A997" t="s">
        <v>798</v>
      </c>
      <c r="B997">
        <v>4132300995</v>
      </c>
      <c r="C997" t="s">
        <v>356</v>
      </c>
      <c r="D997" t="s">
        <v>395</v>
      </c>
      <c r="E997" t="s">
        <v>441</v>
      </c>
      <c r="F997" t="s">
        <v>430</v>
      </c>
      <c r="G997" t="s">
        <v>326</v>
      </c>
      <c r="H997" t="s">
        <v>236</v>
      </c>
      <c r="J997" t="s">
        <v>52</v>
      </c>
      <c r="K997" s="15">
        <v>20000</v>
      </c>
      <c r="L997" s="15">
        <v>0</v>
      </c>
      <c r="M997" s="13">
        <v>45167</v>
      </c>
      <c r="O997">
        <v>0</v>
      </c>
      <c r="P997">
        <v>0</v>
      </c>
      <c r="Q997">
        <v>0</v>
      </c>
      <c r="R997">
        <v>0</v>
      </c>
      <c r="S997">
        <v>52271.356426190003</v>
      </c>
      <c r="T997">
        <v>0</v>
      </c>
      <c r="U997">
        <v>0</v>
      </c>
      <c r="V997">
        <v>100680.97530262616</v>
      </c>
      <c r="W997">
        <v>0</v>
      </c>
      <c r="X997">
        <v>0</v>
      </c>
      <c r="Y997">
        <v>152952.33172881615</v>
      </c>
      <c r="Z997">
        <v>7047.6682711838321</v>
      </c>
      <c r="AA997">
        <v>159999.99999999997</v>
      </c>
      <c r="AB997" t="s">
        <v>242</v>
      </c>
      <c r="AC997">
        <v>2</v>
      </c>
      <c r="AD997">
        <v>40000</v>
      </c>
      <c r="AE997">
        <v>0</v>
      </c>
      <c r="AF997">
        <v>0</v>
      </c>
      <c r="AG997">
        <v>1715.2266575461181</v>
      </c>
      <c r="AH997" t="s">
        <v>58</v>
      </c>
    </row>
    <row r="998" spans="1:34" x14ac:dyDescent="0.3">
      <c r="A998" t="s">
        <v>798</v>
      </c>
      <c r="B998">
        <v>4142300263</v>
      </c>
      <c r="C998" t="s">
        <v>484</v>
      </c>
      <c r="D998" t="s">
        <v>556</v>
      </c>
      <c r="E998" t="s">
        <v>445</v>
      </c>
      <c r="F998" t="s">
        <v>430</v>
      </c>
      <c r="G998" t="s">
        <v>421</v>
      </c>
      <c r="H998" t="s">
        <v>234</v>
      </c>
      <c r="J998" t="s">
        <v>52</v>
      </c>
      <c r="K998" s="15">
        <v>195000</v>
      </c>
      <c r="L998" s="15">
        <v>0</v>
      </c>
      <c r="M998" s="13">
        <v>45167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 t="s">
        <v>242</v>
      </c>
      <c r="AC998">
        <v>1</v>
      </c>
      <c r="AD998">
        <v>195000</v>
      </c>
      <c r="AE998">
        <v>0</v>
      </c>
      <c r="AF998">
        <v>0</v>
      </c>
      <c r="AG998">
        <v>12757.009345794388</v>
      </c>
      <c r="AH998" t="s">
        <v>58</v>
      </c>
    </row>
    <row r="999" spans="1:34" x14ac:dyDescent="0.3">
      <c r="A999" t="s">
        <v>798</v>
      </c>
      <c r="B999">
        <v>2200009</v>
      </c>
      <c r="C999">
        <v>19887094</v>
      </c>
      <c r="D999" t="s">
        <v>77</v>
      </c>
      <c r="E999" t="s">
        <v>435</v>
      </c>
      <c r="F999" t="s">
        <v>426</v>
      </c>
      <c r="G999" t="s">
        <v>82</v>
      </c>
      <c r="H999" t="s">
        <v>82</v>
      </c>
      <c r="J999" t="s">
        <v>52</v>
      </c>
      <c r="K999" s="15">
        <v>900</v>
      </c>
      <c r="L999" s="15">
        <v>0</v>
      </c>
      <c r="M999" s="13">
        <v>45168</v>
      </c>
      <c r="O999">
        <v>0</v>
      </c>
      <c r="P999">
        <v>0</v>
      </c>
      <c r="Q999">
        <v>0</v>
      </c>
      <c r="R999">
        <v>0</v>
      </c>
      <c r="S999">
        <v>15201.616180538298</v>
      </c>
      <c r="T999">
        <v>0</v>
      </c>
      <c r="U999">
        <v>0</v>
      </c>
      <c r="V999">
        <v>107102.9400910782</v>
      </c>
      <c r="W999">
        <v>0</v>
      </c>
      <c r="X999">
        <v>0</v>
      </c>
      <c r="Y999">
        <v>122304.5562716165</v>
      </c>
      <c r="Z999">
        <v>0</v>
      </c>
      <c r="AA999">
        <v>122304.5562716165</v>
      </c>
      <c r="AB999" t="s">
        <v>242</v>
      </c>
      <c r="AC999">
        <v>13</v>
      </c>
      <c r="AD999">
        <v>11700</v>
      </c>
      <c r="AE999">
        <v>0</v>
      </c>
      <c r="AF999">
        <v>0</v>
      </c>
      <c r="AG999">
        <v>0</v>
      </c>
      <c r="AH999" t="s">
        <v>58</v>
      </c>
    </row>
    <row r="1000" spans="1:34" x14ac:dyDescent="0.3">
      <c r="A1000" t="s">
        <v>798</v>
      </c>
      <c r="B1000">
        <v>2200015</v>
      </c>
      <c r="C1000">
        <v>20972229</v>
      </c>
      <c r="D1000" t="s">
        <v>76</v>
      </c>
      <c r="E1000" t="s">
        <v>435</v>
      </c>
      <c r="F1000" t="s">
        <v>426</v>
      </c>
      <c r="G1000" t="s">
        <v>82</v>
      </c>
      <c r="H1000" t="s">
        <v>82</v>
      </c>
      <c r="J1000" t="s">
        <v>52</v>
      </c>
      <c r="K1000" s="15">
        <v>1000</v>
      </c>
      <c r="L1000" s="15">
        <v>0</v>
      </c>
      <c r="M1000" s="13">
        <v>45168</v>
      </c>
      <c r="O1000">
        <v>0</v>
      </c>
      <c r="P1000">
        <v>0</v>
      </c>
      <c r="Q1000">
        <v>0</v>
      </c>
      <c r="R1000">
        <v>0</v>
      </c>
      <c r="S1000">
        <v>6809.5975322232734</v>
      </c>
      <c r="T1000">
        <v>0</v>
      </c>
      <c r="U1000">
        <v>0</v>
      </c>
      <c r="V1000">
        <v>122323.98354815517</v>
      </c>
      <c r="W1000">
        <v>0</v>
      </c>
      <c r="X1000">
        <v>0</v>
      </c>
      <c r="Y1000">
        <v>129133.58108037844</v>
      </c>
      <c r="Z1000">
        <v>0</v>
      </c>
      <c r="AA1000">
        <v>129133.58108037844</v>
      </c>
      <c r="AB1000" t="s">
        <v>242</v>
      </c>
      <c r="AC1000">
        <v>13</v>
      </c>
      <c r="AD1000">
        <v>13000</v>
      </c>
      <c r="AE1000">
        <v>0</v>
      </c>
      <c r="AF1000">
        <v>0</v>
      </c>
      <c r="AG1000">
        <v>0</v>
      </c>
      <c r="AH1000" t="s">
        <v>58</v>
      </c>
    </row>
    <row r="1001" spans="1:34" x14ac:dyDescent="0.3">
      <c r="A1001" t="s">
        <v>798</v>
      </c>
      <c r="B1001">
        <v>42200060</v>
      </c>
      <c r="C1001" t="s">
        <v>801</v>
      </c>
      <c r="D1001" t="s">
        <v>821</v>
      </c>
      <c r="E1001" t="s">
        <v>437</v>
      </c>
      <c r="F1001" t="s">
        <v>430</v>
      </c>
      <c r="G1001" t="s">
        <v>230</v>
      </c>
      <c r="H1001" t="s">
        <v>231</v>
      </c>
      <c r="J1001" t="s">
        <v>52</v>
      </c>
      <c r="K1001" s="15">
        <v>1000</v>
      </c>
      <c r="L1001" s="15">
        <v>0</v>
      </c>
      <c r="M1001" s="13">
        <v>45168</v>
      </c>
      <c r="O1001">
        <v>0</v>
      </c>
      <c r="P1001">
        <v>2373.3174981078737</v>
      </c>
      <c r="Q1001">
        <v>0</v>
      </c>
      <c r="R1001">
        <v>0</v>
      </c>
      <c r="S1001">
        <v>0</v>
      </c>
      <c r="T1001">
        <v>15005.310749431892</v>
      </c>
      <c r="U1001">
        <v>22429.906542056076</v>
      </c>
      <c r="V1001">
        <v>0</v>
      </c>
      <c r="W1001">
        <v>130841.1214953271</v>
      </c>
      <c r="X1001">
        <v>0</v>
      </c>
      <c r="Y1001">
        <v>170649.65628492294</v>
      </c>
      <c r="Z1001">
        <v>11779.343715077055</v>
      </c>
      <c r="AA1001">
        <v>182429</v>
      </c>
      <c r="AB1001" t="s">
        <v>242</v>
      </c>
      <c r="AC1001">
        <v>4</v>
      </c>
      <c r="AD1001">
        <v>4000</v>
      </c>
      <c r="AE1001">
        <v>0</v>
      </c>
      <c r="AF1001">
        <v>0</v>
      </c>
      <c r="AG1001">
        <v>258.03946249303851</v>
      </c>
      <c r="AH1001" t="s">
        <v>58</v>
      </c>
    </row>
    <row r="1002" spans="1:34" x14ac:dyDescent="0.3">
      <c r="A1002" t="s">
        <v>798</v>
      </c>
      <c r="B1002">
        <v>42201112</v>
      </c>
      <c r="C1002">
        <v>2756020075</v>
      </c>
      <c r="D1002" t="s">
        <v>128</v>
      </c>
      <c r="E1002" t="s">
        <v>439</v>
      </c>
      <c r="F1002" t="s">
        <v>430</v>
      </c>
      <c r="G1002" t="s">
        <v>233</v>
      </c>
      <c r="H1002" t="s">
        <v>234</v>
      </c>
      <c r="J1002" t="s">
        <v>52</v>
      </c>
      <c r="K1002" s="15">
        <v>15000</v>
      </c>
      <c r="L1002" s="15">
        <v>0</v>
      </c>
      <c r="M1002" s="13">
        <v>45168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93495.710280373823</v>
      </c>
      <c r="Y1002">
        <v>93495.710280373823</v>
      </c>
      <c r="Z1002">
        <v>6544.6997196261682</v>
      </c>
      <c r="AA1002">
        <v>100040.40999999999</v>
      </c>
      <c r="AB1002" t="s">
        <v>242</v>
      </c>
      <c r="AC1002">
        <v>3</v>
      </c>
      <c r="AD1002">
        <v>27000</v>
      </c>
      <c r="AE1002">
        <v>0</v>
      </c>
      <c r="AF1002">
        <v>0</v>
      </c>
      <c r="AG1002">
        <v>1766.3551401869158</v>
      </c>
      <c r="AH1002" t="s">
        <v>58</v>
      </c>
    </row>
    <row r="1003" spans="1:34" x14ac:dyDescent="0.3">
      <c r="A1003" t="s">
        <v>798</v>
      </c>
      <c r="B1003">
        <v>42201150</v>
      </c>
      <c r="C1003">
        <v>2758020463</v>
      </c>
      <c r="D1003" t="s">
        <v>129</v>
      </c>
      <c r="E1003" t="s">
        <v>439</v>
      </c>
      <c r="F1003" t="s">
        <v>430</v>
      </c>
      <c r="G1003" t="s">
        <v>230</v>
      </c>
      <c r="H1003" t="s">
        <v>234</v>
      </c>
      <c r="J1003" t="s">
        <v>52</v>
      </c>
      <c r="K1003" s="15">
        <v>10000</v>
      </c>
      <c r="L1003" s="15">
        <v>0</v>
      </c>
      <c r="M1003" s="13">
        <v>45168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350319.03738317761</v>
      </c>
      <c r="Y1003">
        <v>350319.03738317761</v>
      </c>
      <c r="Z1003">
        <v>24522.332616822434</v>
      </c>
      <c r="AA1003">
        <v>374841.37000000005</v>
      </c>
      <c r="AB1003" t="s">
        <v>242</v>
      </c>
      <c r="AC1003">
        <v>4</v>
      </c>
      <c r="AD1003">
        <v>40000</v>
      </c>
      <c r="AE1003">
        <v>0</v>
      </c>
      <c r="AF1003">
        <v>0</v>
      </c>
      <c r="AG1003">
        <v>2616.8224299065405</v>
      </c>
      <c r="AH1003" t="s">
        <v>58</v>
      </c>
    </row>
    <row r="1004" spans="1:34" x14ac:dyDescent="0.3">
      <c r="A1004" t="s">
        <v>798</v>
      </c>
      <c r="B1004">
        <v>52201479</v>
      </c>
      <c r="C1004">
        <v>26373941</v>
      </c>
      <c r="D1004" t="s">
        <v>159</v>
      </c>
      <c r="E1004" t="s">
        <v>438</v>
      </c>
      <c r="F1004" t="s">
        <v>431</v>
      </c>
      <c r="G1004" t="s">
        <v>82</v>
      </c>
      <c r="H1004" t="s">
        <v>83</v>
      </c>
      <c r="J1004" t="s">
        <v>52</v>
      </c>
      <c r="K1004" s="15">
        <v>4700</v>
      </c>
      <c r="L1004" s="15">
        <v>0</v>
      </c>
      <c r="M1004" s="13">
        <v>45168</v>
      </c>
      <c r="O1004">
        <v>0</v>
      </c>
      <c r="P1004">
        <v>0</v>
      </c>
      <c r="Q1004">
        <v>0</v>
      </c>
      <c r="R1004">
        <v>563.45366972362899</v>
      </c>
      <c r="S1004">
        <v>0</v>
      </c>
      <c r="T1004">
        <v>0</v>
      </c>
      <c r="U1004">
        <v>0</v>
      </c>
      <c r="V1004">
        <v>44364.062070395419</v>
      </c>
      <c r="W1004">
        <v>0</v>
      </c>
      <c r="X1004">
        <v>0</v>
      </c>
      <c r="Y1004">
        <v>44927.515740119052</v>
      </c>
      <c r="Z1004">
        <v>3105.4843449276796</v>
      </c>
      <c r="AA1004">
        <v>48033.000085046733</v>
      </c>
      <c r="AB1004" t="s">
        <v>242</v>
      </c>
      <c r="AC1004">
        <v>6</v>
      </c>
      <c r="AD1004">
        <v>25600</v>
      </c>
      <c r="AE1004">
        <v>0</v>
      </c>
      <c r="AF1004">
        <v>0</v>
      </c>
      <c r="AG1004">
        <v>1653.338090542667</v>
      </c>
      <c r="AH1004" t="s">
        <v>58</v>
      </c>
    </row>
    <row r="1005" spans="1:34" x14ac:dyDescent="0.3">
      <c r="A1005" t="s">
        <v>798</v>
      </c>
      <c r="B1005">
        <v>52201958</v>
      </c>
      <c r="C1005">
        <v>31404770</v>
      </c>
      <c r="D1005" t="s">
        <v>889</v>
      </c>
      <c r="E1005" t="s">
        <v>438</v>
      </c>
      <c r="F1005" t="s">
        <v>431</v>
      </c>
      <c r="G1005" t="s">
        <v>82</v>
      </c>
      <c r="H1005" t="s">
        <v>83</v>
      </c>
      <c r="J1005" t="s">
        <v>52</v>
      </c>
      <c r="K1005" s="15">
        <v>500</v>
      </c>
      <c r="L1005" s="15">
        <v>0</v>
      </c>
      <c r="M1005" s="13">
        <v>45168</v>
      </c>
      <c r="O1005">
        <v>0</v>
      </c>
      <c r="P1005">
        <v>0</v>
      </c>
      <c r="Q1005">
        <v>0</v>
      </c>
      <c r="R1005">
        <v>817.35414706888378</v>
      </c>
      <c r="S1005">
        <v>35872.566217692634</v>
      </c>
      <c r="T1005">
        <v>0</v>
      </c>
      <c r="U1005">
        <v>0</v>
      </c>
      <c r="V1005">
        <v>56074.766355140193</v>
      </c>
      <c r="W1005">
        <v>0</v>
      </c>
      <c r="X1005">
        <v>0</v>
      </c>
      <c r="Y1005">
        <v>92764.686719901714</v>
      </c>
      <c r="Z1005">
        <v>6436.3132800982976</v>
      </c>
      <c r="AA1005">
        <v>99201.000000000015</v>
      </c>
      <c r="AB1005" t="s">
        <v>242</v>
      </c>
      <c r="AC1005">
        <v>3</v>
      </c>
      <c r="AD1005">
        <v>2680</v>
      </c>
      <c r="AE1005">
        <v>0</v>
      </c>
      <c r="AF1005">
        <v>0</v>
      </c>
      <c r="AG1005">
        <v>173.78017784562803</v>
      </c>
      <c r="AH1005" t="s">
        <v>58</v>
      </c>
    </row>
    <row r="1006" spans="1:34" x14ac:dyDescent="0.3">
      <c r="A1006" t="s">
        <v>798</v>
      </c>
      <c r="B1006">
        <v>62200005</v>
      </c>
      <c r="C1006">
        <v>19887124</v>
      </c>
      <c r="D1006" t="s">
        <v>77</v>
      </c>
      <c r="E1006" t="s">
        <v>435</v>
      </c>
      <c r="F1006" t="s">
        <v>432</v>
      </c>
      <c r="G1006" t="s">
        <v>82</v>
      </c>
      <c r="H1006" t="s">
        <v>82</v>
      </c>
      <c r="J1006" t="s">
        <v>52</v>
      </c>
      <c r="K1006" s="15">
        <v>1800</v>
      </c>
      <c r="L1006" s="15">
        <v>0</v>
      </c>
      <c r="M1006" s="13">
        <v>45168</v>
      </c>
      <c r="O1006">
        <v>0</v>
      </c>
      <c r="P1006">
        <v>0</v>
      </c>
      <c r="Q1006">
        <v>0</v>
      </c>
      <c r="R1006">
        <v>0</v>
      </c>
      <c r="S1006">
        <v>3025.6010580922848</v>
      </c>
      <c r="T1006">
        <v>0</v>
      </c>
      <c r="U1006">
        <v>0</v>
      </c>
      <c r="V1006">
        <v>59598.02512483739</v>
      </c>
      <c r="W1006">
        <v>0</v>
      </c>
      <c r="X1006">
        <v>0</v>
      </c>
      <c r="Y1006">
        <v>62623.626182929671</v>
      </c>
      <c r="Z1006">
        <v>0</v>
      </c>
      <c r="AA1006">
        <v>62623.626182929671</v>
      </c>
      <c r="AB1006" t="s">
        <v>242</v>
      </c>
      <c r="AC1006">
        <v>13</v>
      </c>
      <c r="AD1006">
        <v>23400</v>
      </c>
      <c r="AE1006">
        <v>0</v>
      </c>
      <c r="AF1006">
        <v>0</v>
      </c>
      <c r="AG1006">
        <v>0</v>
      </c>
      <c r="AH1006" t="s">
        <v>58</v>
      </c>
    </row>
    <row r="1007" spans="1:34" x14ac:dyDescent="0.3">
      <c r="A1007" t="s">
        <v>798</v>
      </c>
      <c r="B1007">
        <v>62200006</v>
      </c>
      <c r="C1007">
        <v>19887213</v>
      </c>
      <c r="D1007" t="s">
        <v>77</v>
      </c>
      <c r="E1007" t="s">
        <v>435</v>
      </c>
      <c r="F1007" t="s">
        <v>432</v>
      </c>
      <c r="G1007" t="s">
        <v>82</v>
      </c>
      <c r="H1007" t="s">
        <v>82</v>
      </c>
      <c r="J1007" t="s">
        <v>52</v>
      </c>
      <c r="K1007" s="15">
        <v>1800</v>
      </c>
      <c r="L1007" s="15">
        <v>0</v>
      </c>
      <c r="M1007" s="13">
        <v>45168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22695.406380183904</v>
      </c>
      <c r="W1007">
        <v>0</v>
      </c>
      <c r="X1007">
        <v>0</v>
      </c>
      <c r="Y1007">
        <v>22695.406380183904</v>
      </c>
      <c r="Z1007">
        <v>0</v>
      </c>
      <c r="AA1007">
        <v>22695.406380183904</v>
      </c>
      <c r="AB1007" t="s">
        <v>242</v>
      </c>
      <c r="AC1007">
        <v>13</v>
      </c>
      <c r="AD1007">
        <v>23400</v>
      </c>
      <c r="AE1007">
        <v>0</v>
      </c>
      <c r="AF1007">
        <v>0</v>
      </c>
      <c r="AG1007">
        <v>0</v>
      </c>
      <c r="AH1007" t="s">
        <v>58</v>
      </c>
    </row>
    <row r="1008" spans="1:34" x14ac:dyDescent="0.3">
      <c r="A1008" t="s">
        <v>798</v>
      </c>
      <c r="B1008">
        <v>62200013</v>
      </c>
      <c r="C1008">
        <v>20972385</v>
      </c>
      <c r="D1008" t="s">
        <v>76</v>
      </c>
      <c r="E1008" t="s">
        <v>435</v>
      </c>
      <c r="F1008" t="s">
        <v>432</v>
      </c>
      <c r="G1008" t="s">
        <v>82</v>
      </c>
      <c r="H1008" t="s">
        <v>82</v>
      </c>
      <c r="J1008" t="s">
        <v>52</v>
      </c>
      <c r="K1008" s="15">
        <v>4000</v>
      </c>
      <c r="L1008" s="15">
        <v>0</v>
      </c>
      <c r="M1008" s="13">
        <v>45168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35665.191359418066</v>
      </c>
      <c r="W1008">
        <v>0</v>
      </c>
      <c r="X1008">
        <v>0</v>
      </c>
      <c r="Y1008">
        <v>35665.191359418066</v>
      </c>
      <c r="Z1008">
        <v>0</v>
      </c>
      <c r="AA1008">
        <v>35665.191359418066</v>
      </c>
      <c r="AB1008" t="s">
        <v>242</v>
      </c>
      <c r="AC1008">
        <v>13</v>
      </c>
      <c r="AD1008">
        <v>52000</v>
      </c>
      <c r="AE1008">
        <v>0</v>
      </c>
      <c r="AF1008">
        <v>0</v>
      </c>
      <c r="AG1008">
        <v>0</v>
      </c>
      <c r="AH1008" t="s">
        <v>58</v>
      </c>
    </row>
    <row r="1009" spans="1:34" x14ac:dyDescent="0.3">
      <c r="A1009" t="s">
        <v>798</v>
      </c>
      <c r="B1009">
        <v>4142300300</v>
      </c>
      <c r="C1009">
        <v>10131172</v>
      </c>
      <c r="D1009" t="s">
        <v>196</v>
      </c>
      <c r="E1009" t="s">
        <v>445</v>
      </c>
      <c r="F1009" t="s">
        <v>430</v>
      </c>
      <c r="G1009" t="s">
        <v>230</v>
      </c>
      <c r="H1009" t="s">
        <v>234</v>
      </c>
      <c r="J1009" t="s">
        <v>52</v>
      </c>
      <c r="K1009" s="15">
        <v>5000</v>
      </c>
      <c r="L1009" s="15">
        <v>0</v>
      </c>
      <c r="M1009" s="13">
        <v>45168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666952.47663551418</v>
      </c>
      <c r="Y1009">
        <v>666952.47663551418</v>
      </c>
      <c r="Z1009">
        <v>46686.673364486</v>
      </c>
      <c r="AA1009">
        <v>713639.15000000014</v>
      </c>
      <c r="AB1009" t="s">
        <v>242</v>
      </c>
      <c r="AC1009">
        <v>5</v>
      </c>
      <c r="AD1009">
        <v>95000</v>
      </c>
      <c r="AE1009">
        <v>0</v>
      </c>
      <c r="AF1009">
        <v>0</v>
      </c>
      <c r="AG1009">
        <v>6214.9532710280373</v>
      </c>
      <c r="AH1009" t="s">
        <v>58</v>
      </c>
    </row>
    <row r="1010" spans="1:34" x14ac:dyDescent="0.3">
      <c r="A1010" t="s">
        <v>798</v>
      </c>
      <c r="B1010">
        <v>4142300766</v>
      </c>
      <c r="C1010">
        <v>10354207</v>
      </c>
      <c r="D1010" t="s">
        <v>207</v>
      </c>
      <c r="E1010" t="s">
        <v>445</v>
      </c>
      <c r="F1010" t="s">
        <v>430</v>
      </c>
      <c r="G1010" t="s">
        <v>230</v>
      </c>
      <c r="H1010" t="s">
        <v>234</v>
      </c>
      <c r="J1010" t="s">
        <v>52</v>
      </c>
      <c r="K1010" s="15">
        <v>30000</v>
      </c>
      <c r="L1010" s="15">
        <v>0</v>
      </c>
      <c r="M1010" s="13">
        <v>45168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320824.85981308413</v>
      </c>
      <c r="Y1010">
        <v>320824.85981308413</v>
      </c>
      <c r="Z1010">
        <v>22457.740186915889</v>
      </c>
      <c r="AA1010">
        <v>343282.60000000003</v>
      </c>
      <c r="AB1010" t="s">
        <v>242</v>
      </c>
      <c r="AC1010">
        <v>1</v>
      </c>
      <c r="AD1010">
        <v>30000</v>
      </c>
      <c r="AE1010">
        <v>0</v>
      </c>
      <c r="AF1010">
        <v>0</v>
      </c>
      <c r="AG1010">
        <v>1962.6168224299072</v>
      </c>
      <c r="AH1010" t="s">
        <v>72</v>
      </c>
    </row>
    <row r="1011" spans="1:34" x14ac:dyDescent="0.3">
      <c r="A1011" t="s">
        <v>798</v>
      </c>
      <c r="B1011">
        <v>4142300897</v>
      </c>
      <c r="C1011">
        <v>10425033</v>
      </c>
      <c r="D1011" t="s">
        <v>212</v>
      </c>
      <c r="E1011" t="s">
        <v>445</v>
      </c>
      <c r="F1011" t="s">
        <v>430</v>
      </c>
      <c r="G1011" t="s">
        <v>237</v>
      </c>
      <c r="H1011" t="s">
        <v>234</v>
      </c>
      <c r="J1011" t="s">
        <v>52</v>
      </c>
      <c r="K1011" s="15">
        <v>2000</v>
      </c>
      <c r="L1011" s="15">
        <v>0</v>
      </c>
      <c r="M1011" s="13">
        <v>45168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242862.46728971959</v>
      </c>
      <c r="Y1011">
        <v>242862.46728971959</v>
      </c>
      <c r="Z1011">
        <v>17000.372710280371</v>
      </c>
      <c r="AA1011">
        <v>259862.83999999997</v>
      </c>
      <c r="AB1011" t="s">
        <v>242</v>
      </c>
      <c r="AC1011">
        <v>1</v>
      </c>
      <c r="AD1011">
        <v>2000</v>
      </c>
      <c r="AE1011">
        <v>0</v>
      </c>
      <c r="AF1011">
        <v>0</v>
      </c>
      <c r="AG1011">
        <v>130.84112149532712</v>
      </c>
      <c r="AH1011" t="s">
        <v>72</v>
      </c>
    </row>
    <row r="1012" spans="1:34" x14ac:dyDescent="0.3">
      <c r="A1012" t="s">
        <v>798</v>
      </c>
      <c r="B1012">
        <v>4132300696</v>
      </c>
      <c r="C1012" t="s">
        <v>349</v>
      </c>
      <c r="D1012" t="s">
        <v>388</v>
      </c>
      <c r="E1012" t="s">
        <v>441</v>
      </c>
      <c r="F1012" t="s">
        <v>430</v>
      </c>
      <c r="G1012" t="s">
        <v>233</v>
      </c>
      <c r="H1012" t="s">
        <v>231</v>
      </c>
      <c r="J1012" t="s">
        <v>416</v>
      </c>
      <c r="K1012" s="15">
        <v>0.10568898190449438</v>
      </c>
      <c r="L1012" s="15">
        <v>0</v>
      </c>
      <c r="M1012" s="13">
        <v>45168</v>
      </c>
      <c r="O1012">
        <v>0</v>
      </c>
      <c r="P1012">
        <v>3666.6751741915732</v>
      </c>
      <c r="Q1012">
        <v>0</v>
      </c>
      <c r="R1012">
        <v>0</v>
      </c>
      <c r="S1012">
        <v>6918.6595543758467</v>
      </c>
      <c r="T1012">
        <v>12537.070347133256</v>
      </c>
      <c r="U1012">
        <v>0</v>
      </c>
      <c r="V1012">
        <v>0</v>
      </c>
      <c r="W1012">
        <v>0</v>
      </c>
      <c r="X1012">
        <v>0</v>
      </c>
      <c r="Y1012">
        <v>23122.405075700677</v>
      </c>
      <c r="Z1012">
        <v>877.594924299328</v>
      </c>
      <c r="AA1012">
        <v>24000.000000000004</v>
      </c>
      <c r="AB1012" t="s">
        <v>242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 t="s">
        <v>72</v>
      </c>
    </row>
    <row r="1013" spans="1:34" x14ac:dyDescent="0.3">
      <c r="A1013" t="s">
        <v>798</v>
      </c>
      <c r="B1013">
        <v>4132300696</v>
      </c>
      <c r="C1013" t="s">
        <v>349</v>
      </c>
      <c r="D1013" t="s">
        <v>388</v>
      </c>
      <c r="E1013" t="s">
        <v>441</v>
      </c>
      <c r="F1013" t="s">
        <v>430</v>
      </c>
      <c r="G1013" t="s">
        <v>419</v>
      </c>
      <c r="H1013" t="s">
        <v>231</v>
      </c>
      <c r="J1013" t="s">
        <v>52</v>
      </c>
      <c r="K1013" s="15">
        <v>24000</v>
      </c>
      <c r="L1013" s="15">
        <v>0</v>
      </c>
      <c r="M1013" s="13">
        <v>45168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 t="s">
        <v>242</v>
      </c>
      <c r="AC1013">
        <v>1</v>
      </c>
      <c r="AD1013">
        <v>24000</v>
      </c>
      <c r="AE1013">
        <v>0</v>
      </c>
      <c r="AF1013">
        <v>0</v>
      </c>
      <c r="AG1013">
        <v>877.59492429932834</v>
      </c>
      <c r="AH1013" t="s">
        <v>58</v>
      </c>
    </row>
    <row r="1014" spans="1:34" x14ac:dyDescent="0.3">
      <c r="A1014" t="s">
        <v>798</v>
      </c>
      <c r="B1014">
        <v>4302300002</v>
      </c>
      <c r="C1014" t="s">
        <v>246</v>
      </c>
      <c r="D1014" t="s">
        <v>589</v>
      </c>
      <c r="E1014" t="s">
        <v>447</v>
      </c>
      <c r="F1014" t="s">
        <v>433</v>
      </c>
      <c r="G1014" t="s">
        <v>82</v>
      </c>
      <c r="H1014" t="s">
        <v>83</v>
      </c>
      <c r="J1014" t="s">
        <v>416</v>
      </c>
      <c r="K1014" s="15">
        <v>9.1479123749512725E-2</v>
      </c>
      <c r="L1014" s="15">
        <v>0</v>
      </c>
      <c r="M1014" s="13">
        <v>45168</v>
      </c>
      <c r="O1014">
        <v>0</v>
      </c>
      <c r="P1014">
        <v>0</v>
      </c>
      <c r="Q1014">
        <v>10719.754146562813</v>
      </c>
      <c r="R1014">
        <v>12002.923556583313</v>
      </c>
      <c r="S1014">
        <v>17166.764629040772</v>
      </c>
      <c r="T1014">
        <v>0</v>
      </c>
      <c r="U1014">
        <v>0</v>
      </c>
      <c r="V1014">
        <v>372812.04125586938</v>
      </c>
      <c r="W1014">
        <v>0</v>
      </c>
      <c r="X1014">
        <v>0</v>
      </c>
      <c r="Y1014">
        <v>412701.48358805629</v>
      </c>
      <c r="Z1014">
        <v>27298.516411943714</v>
      </c>
      <c r="AA1014">
        <v>440000</v>
      </c>
      <c r="AB1014" t="s">
        <v>242</v>
      </c>
      <c r="AC1014">
        <v>1</v>
      </c>
      <c r="AD1014">
        <v>50000</v>
      </c>
      <c r="AE1014">
        <v>0</v>
      </c>
      <c r="AF1014">
        <v>0</v>
      </c>
      <c r="AG1014">
        <v>3089.6971615435978</v>
      </c>
      <c r="AH1014" t="s">
        <v>58</v>
      </c>
    </row>
    <row r="1015" spans="1:34" x14ac:dyDescent="0.3">
      <c r="A1015" t="s">
        <v>798</v>
      </c>
      <c r="B1015">
        <v>12200042</v>
      </c>
      <c r="C1015" t="s">
        <v>625</v>
      </c>
      <c r="D1015" t="s">
        <v>624</v>
      </c>
      <c r="E1015" t="s">
        <v>435</v>
      </c>
      <c r="F1015" t="s">
        <v>427</v>
      </c>
      <c r="G1015" t="s">
        <v>230</v>
      </c>
      <c r="H1015" t="s">
        <v>230</v>
      </c>
      <c r="J1015" t="s">
        <v>52</v>
      </c>
      <c r="K1015" s="15">
        <v>2000</v>
      </c>
      <c r="M1015" s="13">
        <v>45168</v>
      </c>
      <c r="O1015">
        <v>0</v>
      </c>
      <c r="P1015">
        <v>0</v>
      </c>
      <c r="Q1015">
        <v>0</v>
      </c>
      <c r="R1015">
        <v>0</v>
      </c>
      <c r="S1015">
        <v>25173.699999999997</v>
      </c>
      <c r="T1015">
        <v>0</v>
      </c>
      <c r="U1015">
        <v>0</v>
      </c>
      <c r="V1015">
        <v>80000</v>
      </c>
      <c r="W1015">
        <v>0</v>
      </c>
      <c r="X1015">
        <v>0</v>
      </c>
      <c r="Y1015">
        <v>105173.7</v>
      </c>
      <c r="Z1015">
        <v>0</v>
      </c>
      <c r="AA1015">
        <v>105173.7</v>
      </c>
      <c r="AB1015" t="s">
        <v>242</v>
      </c>
      <c r="AC1015">
        <v>8</v>
      </c>
      <c r="AD1015">
        <v>15600</v>
      </c>
      <c r="AE1015">
        <v>0</v>
      </c>
      <c r="AF1015">
        <v>0</v>
      </c>
      <c r="AG1015">
        <v>0</v>
      </c>
      <c r="AH1015" t="s">
        <v>58</v>
      </c>
    </row>
    <row r="1016" spans="1:34" x14ac:dyDescent="0.3">
      <c r="A1016" t="s">
        <v>798</v>
      </c>
      <c r="B1016">
        <v>52200005</v>
      </c>
      <c r="C1016" t="s">
        <v>634</v>
      </c>
      <c r="D1016" t="s">
        <v>633</v>
      </c>
      <c r="E1016" t="s">
        <v>435</v>
      </c>
      <c r="F1016" t="s">
        <v>431</v>
      </c>
      <c r="G1016" t="s">
        <v>230</v>
      </c>
      <c r="H1016" t="s">
        <v>231</v>
      </c>
      <c r="J1016" t="s">
        <v>52</v>
      </c>
      <c r="K1016" s="15">
        <v>1000</v>
      </c>
      <c r="M1016" s="13">
        <v>45168</v>
      </c>
      <c r="O1016">
        <v>4181.7390800747471</v>
      </c>
      <c r="P1016">
        <v>0</v>
      </c>
      <c r="Q1016">
        <v>0</v>
      </c>
      <c r="R1016">
        <v>0</v>
      </c>
      <c r="S1016">
        <v>0</v>
      </c>
      <c r="T1016">
        <v>12914.262541986218</v>
      </c>
      <c r="U1016">
        <v>0</v>
      </c>
      <c r="V1016">
        <v>0</v>
      </c>
      <c r="W1016">
        <v>39636.775700934581</v>
      </c>
      <c r="X1016">
        <v>0</v>
      </c>
      <c r="Y1016">
        <v>56732.777322995549</v>
      </c>
      <c r="Z1016">
        <v>3678.5726770044562</v>
      </c>
      <c r="AA1016">
        <v>60411.350000000006</v>
      </c>
      <c r="AB1016" t="s">
        <v>242</v>
      </c>
      <c r="AC1016">
        <v>6</v>
      </c>
      <c r="AD1016">
        <v>9000</v>
      </c>
      <c r="AE1016">
        <v>0</v>
      </c>
      <c r="AF1016">
        <v>0</v>
      </c>
      <c r="AG1016">
        <v>553.41830347192797</v>
      </c>
      <c r="AH1016" t="s">
        <v>58</v>
      </c>
    </row>
    <row r="1017" spans="1:34" x14ac:dyDescent="0.3">
      <c r="A1017" t="s">
        <v>798</v>
      </c>
      <c r="B1017">
        <v>4142300129</v>
      </c>
      <c r="C1017">
        <v>10018900</v>
      </c>
      <c r="D1017" s="38" t="s">
        <v>266</v>
      </c>
      <c r="E1017" t="s">
        <v>445</v>
      </c>
      <c r="F1017" t="s">
        <v>430</v>
      </c>
      <c r="G1017" t="s">
        <v>230</v>
      </c>
      <c r="H1017" t="s">
        <v>234</v>
      </c>
      <c r="J1017" s="37" t="s">
        <v>52</v>
      </c>
      <c r="K1017">
        <v>15000</v>
      </c>
      <c r="L1017" s="15">
        <v>0</v>
      </c>
      <c r="M1017" s="13">
        <v>45169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19610.280373831774</v>
      </c>
      <c r="Y1017">
        <v>19610.280373831774</v>
      </c>
      <c r="Z1017">
        <v>1372.7196261682243</v>
      </c>
      <c r="AA1017">
        <v>20983</v>
      </c>
      <c r="AB1017" t="s">
        <v>242</v>
      </c>
      <c r="AC1017">
        <v>3</v>
      </c>
      <c r="AD1017">
        <v>33000</v>
      </c>
      <c r="AE1017">
        <v>0</v>
      </c>
      <c r="AF1017">
        <v>0</v>
      </c>
      <c r="AG1017">
        <v>2158.8785046728981</v>
      </c>
      <c r="AH1017" t="s">
        <v>58</v>
      </c>
    </row>
    <row r="1018" spans="1:34" x14ac:dyDescent="0.3">
      <c r="A1018" t="s">
        <v>798</v>
      </c>
      <c r="B1018">
        <v>12200074</v>
      </c>
      <c r="C1018">
        <v>24614224</v>
      </c>
      <c r="D1018" t="s">
        <v>112</v>
      </c>
      <c r="E1018" t="s">
        <v>436</v>
      </c>
      <c r="F1018" t="s">
        <v>427</v>
      </c>
      <c r="G1018" t="s">
        <v>82</v>
      </c>
      <c r="H1018" t="s">
        <v>82</v>
      </c>
      <c r="J1018" t="s">
        <v>52</v>
      </c>
      <c r="K1018" s="15">
        <v>500</v>
      </c>
      <c r="L1018" s="15">
        <v>0</v>
      </c>
      <c r="M1018" s="13">
        <v>45169</v>
      </c>
      <c r="O1018">
        <v>0</v>
      </c>
      <c r="P1018">
        <v>0</v>
      </c>
      <c r="Q1018">
        <v>0</v>
      </c>
      <c r="R1018">
        <v>0</v>
      </c>
      <c r="S1018">
        <v>16080.236883253237</v>
      </c>
      <c r="T1018">
        <v>0</v>
      </c>
      <c r="U1018">
        <v>0</v>
      </c>
      <c r="V1018">
        <v>97971.528938102099</v>
      </c>
      <c r="W1018">
        <v>0</v>
      </c>
      <c r="X1018">
        <v>0</v>
      </c>
      <c r="Y1018">
        <v>114051.76582135534</v>
      </c>
      <c r="Z1018">
        <v>0</v>
      </c>
      <c r="AA1018">
        <v>114051.76582135534</v>
      </c>
      <c r="AB1018" t="s">
        <v>242</v>
      </c>
      <c r="AC1018">
        <v>3</v>
      </c>
      <c r="AD1018">
        <v>4500</v>
      </c>
      <c r="AE1018">
        <v>0</v>
      </c>
      <c r="AF1018">
        <v>0</v>
      </c>
      <c r="AG1018">
        <v>0</v>
      </c>
      <c r="AH1018" t="s">
        <v>58</v>
      </c>
    </row>
    <row r="1019" spans="1:34" x14ac:dyDescent="0.3">
      <c r="A1019" t="s">
        <v>798</v>
      </c>
      <c r="B1019">
        <v>22200010</v>
      </c>
      <c r="C1019">
        <v>18928437</v>
      </c>
      <c r="D1019" t="s">
        <v>85</v>
      </c>
      <c r="E1019" t="s">
        <v>435</v>
      </c>
      <c r="F1019" t="s">
        <v>428</v>
      </c>
      <c r="G1019" t="s">
        <v>82</v>
      </c>
      <c r="H1019" t="s">
        <v>82</v>
      </c>
      <c r="J1019" t="s">
        <v>52</v>
      </c>
      <c r="K1019" s="15">
        <v>500</v>
      </c>
      <c r="L1019" s="15">
        <v>0</v>
      </c>
      <c r="M1019" s="13">
        <v>45169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18569.751865506852</v>
      </c>
      <c r="W1019">
        <v>0</v>
      </c>
      <c r="X1019">
        <v>0</v>
      </c>
      <c r="Y1019">
        <v>18569.751865506852</v>
      </c>
      <c r="Z1019">
        <v>0</v>
      </c>
      <c r="AA1019">
        <v>18569.751865506852</v>
      </c>
      <c r="AB1019" t="s">
        <v>242</v>
      </c>
      <c r="AC1019">
        <v>12</v>
      </c>
      <c r="AD1019">
        <v>9500</v>
      </c>
      <c r="AE1019">
        <v>0</v>
      </c>
      <c r="AF1019">
        <v>0</v>
      </c>
      <c r="AG1019">
        <v>0</v>
      </c>
      <c r="AH1019" t="s">
        <v>58</v>
      </c>
    </row>
    <row r="1020" spans="1:34" x14ac:dyDescent="0.3">
      <c r="A1020" t="s">
        <v>798</v>
      </c>
      <c r="B1020">
        <v>22200068</v>
      </c>
      <c r="C1020">
        <v>20579132</v>
      </c>
      <c r="D1020" t="s">
        <v>80</v>
      </c>
      <c r="E1020" t="s">
        <v>435</v>
      </c>
      <c r="F1020" t="s">
        <v>428</v>
      </c>
      <c r="G1020" t="s">
        <v>82</v>
      </c>
      <c r="H1020" t="s">
        <v>82</v>
      </c>
      <c r="J1020" t="s">
        <v>52</v>
      </c>
      <c r="K1020" s="15">
        <v>500</v>
      </c>
      <c r="L1020" s="15">
        <v>0</v>
      </c>
      <c r="M1020" s="13">
        <v>45169</v>
      </c>
      <c r="O1020">
        <v>0</v>
      </c>
      <c r="P1020">
        <v>0</v>
      </c>
      <c r="Q1020">
        <v>0</v>
      </c>
      <c r="R1020">
        <v>0</v>
      </c>
      <c r="S1020">
        <v>2057.3615921232877</v>
      </c>
      <c r="T1020">
        <v>0</v>
      </c>
      <c r="U1020">
        <v>0</v>
      </c>
      <c r="V1020">
        <v>21133.91</v>
      </c>
      <c r="W1020">
        <v>0</v>
      </c>
      <c r="X1020">
        <v>0</v>
      </c>
      <c r="Y1020">
        <v>23191.271592123288</v>
      </c>
      <c r="Z1020">
        <v>0</v>
      </c>
      <c r="AA1020">
        <v>23191.271592123288</v>
      </c>
      <c r="AB1020" t="s">
        <v>242</v>
      </c>
      <c r="AC1020">
        <v>10</v>
      </c>
      <c r="AD1020">
        <v>6500</v>
      </c>
      <c r="AE1020">
        <v>0</v>
      </c>
      <c r="AF1020">
        <v>0</v>
      </c>
      <c r="AG1020">
        <v>0</v>
      </c>
      <c r="AH1020" t="s">
        <v>58</v>
      </c>
    </row>
    <row r="1021" spans="1:34" x14ac:dyDescent="0.3">
      <c r="A1021" t="s">
        <v>798</v>
      </c>
      <c r="B1021">
        <v>42200856</v>
      </c>
      <c r="C1021">
        <v>2757002330</v>
      </c>
      <c r="D1021" t="s">
        <v>127</v>
      </c>
      <c r="E1021" t="s">
        <v>439</v>
      </c>
      <c r="F1021" t="s">
        <v>430</v>
      </c>
      <c r="G1021" t="s">
        <v>233</v>
      </c>
      <c r="H1021" t="s">
        <v>234</v>
      </c>
      <c r="J1021" t="s">
        <v>52</v>
      </c>
      <c r="K1021" s="15">
        <v>500</v>
      </c>
      <c r="L1021" s="15">
        <v>0</v>
      </c>
      <c r="M1021" s="13">
        <v>45169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35835.018691588783</v>
      </c>
      <c r="Y1021">
        <v>35835.018691588783</v>
      </c>
      <c r="Z1021">
        <v>2508.451308411215</v>
      </c>
      <c r="AA1021">
        <v>38343.47</v>
      </c>
      <c r="AB1021" t="s">
        <v>242</v>
      </c>
      <c r="AC1021">
        <v>4</v>
      </c>
      <c r="AD1021">
        <v>2000</v>
      </c>
      <c r="AE1021">
        <v>0</v>
      </c>
      <c r="AF1021">
        <v>0</v>
      </c>
      <c r="AG1021">
        <v>130.84112149532712</v>
      </c>
      <c r="AH1021" t="s">
        <v>58</v>
      </c>
    </row>
    <row r="1022" spans="1:34" x14ac:dyDescent="0.3">
      <c r="A1022" t="s">
        <v>798</v>
      </c>
      <c r="B1022">
        <v>42201379</v>
      </c>
      <c r="C1022">
        <v>2753003129</v>
      </c>
      <c r="D1022" t="s">
        <v>833</v>
      </c>
      <c r="E1022" t="s">
        <v>439</v>
      </c>
      <c r="F1022" t="s">
        <v>430</v>
      </c>
      <c r="G1022" t="s">
        <v>230</v>
      </c>
      <c r="H1022" t="s">
        <v>234</v>
      </c>
      <c r="J1022" t="s">
        <v>52</v>
      </c>
      <c r="K1022" s="15">
        <v>500</v>
      </c>
      <c r="L1022" s="15">
        <v>0</v>
      </c>
      <c r="M1022" s="13">
        <v>45169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74448.168224299079</v>
      </c>
      <c r="Y1022">
        <v>74448.168224299079</v>
      </c>
      <c r="Z1022">
        <v>5211.3717757009363</v>
      </c>
      <c r="AA1022">
        <v>79659.540000000008</v>
      </c>
      <c r="AB1022" t="s">
        <v>242</v>
      </c>
      <c r="AC1022">
        <v>4</v>
      </c>
      <c r="AD1022">
        <v>2000</v>
      </c>
      <c r="AE1022">
        <v>0</v>
      </c>
      <c r="AF1022">
        <v>0</v>
      </c>
      <c r="AG1022">
        <v>130.84112149532712</v>
      </c>
      <c r="AH1022" t="s">
        <v>58</v>
      </c>
    </row>
    <row r="1023" spans="1:34" x14ac:dyDescent="0.3">
      <c r="A1023" t="s">
        <v>798</v>
      </c>
      <c r="B1023">
        <v>52200217</v>
      </c>
      <c r="C1023">
        <v>27002024</v>
      </c>
      <c r="D1023" t="s">
        <v>134</v>
      </c>
      <c r="E1023" t="s">
        <v>436</v>
      </c>
      <c r="F1023" t="s">
        <v>431</v>
      </c>
      <c r="G1023" t="s">
        <v>82</v>
      </c>
      <c r="H1023" t="s">
        <v>83</v>
      </c>
      <c r="J1023" t="s">
        <v>52</v>
      </c>
      <c r="K1023" s="15">
        <v>1000</v>
      </c>
      <c r="L1023" s="15">
        <v>0</v>
      </c>
      <c r="M1023" s="13">
        <v>45169</v>
      </c>
      <c r="O1023">
        <v>0</v>
      </c>
      <c r="P1023">
        <v>0</v>
      </c>
      <c r="Q1023">
        <v>0</v>
      </c>
      <c r="R1023">
        <v>792.97658772781051</v>
      </c>
      <c r="S1023">
        <v>5678.5265535254093</v>
      </c>
      <c r="T1023">
        <v>0</v>
      </c>
      <c r="U1023">
        <v>0</v>
      </c>
      <c r="V1023">
        <v>45794.392523364484</v>
      </c>
      <c r="W1023">
        <v>0</v>
      </c>
      <c r="X1023">
        <v>0</v>
      </c>
      <c r="Y1023">
        <v>52265.895664617703</v>
      </c>
      <c r="Z1023">
        <v>3603.1043353822929</v>
      </c>
      <c r="AA1023">
        <v>55868.999999999993</v>
      </c>
      <c r="AB1023" t="s">
        <v>242</v>
      </c>
      <c r="AC1023">
        <v>4</v>
      </c>
      <c r="AD1023">
        <v>16000</v>
      </c>
      <c r="AE1023">
        <v>0</v>
      </c>
      <c r="AF1023">
        <v>0</v>
      </c>
      <c r="AG1023">
        <v>1030.6339823747167</v>
      </c>
      <c r="AH1023" t="s">
        <v>58</v>
      </c>
    </row>
    <row r="1024" spans="1:34" x14ac:dyDescent="0.3">
      <c r="A1024" t="s">
        <v>798</v>
      </c>
      <c r="B1024">
        <v>52200358</v>
      </c>
      <c r="C1024">
        <v>26358634</v>
      </c>
      <c r="D1024" t="s">
        <v>851</v>
      </c>
      <c r="E1024" t="s">
        <v>436</v>
      </c>
      <c r="F1024" t="s">
        <v>431</v>
      </c>
      <c r="G1024" t="s">
        <v>82</v>
      </c>
      <c r="H1024" t="s">
        <v>83</v>
      </c>
      <c r="J1024" t="s">
        <v>52</v>
      </c>
      <c r="K1024" s="15">
        <v>2000</v>
      </c>
      <c r="L1024" s="15">
        <v>0</v>
      </c>
      <c r="M1024" s="13">
        <v>45169</v>
      </c>
      <c r="O1024">
        <v>0</v>
      </c>
      <c r="P1024">
        <v>0</v>
      </c>
      <c r="Q1024">
        <v>0</v>
      </c>
      <c r="R1024">
        <v>848.3467678766051</v>
      </c>
      <c r="S1024">
        <v>16865.249520807087</v>
      </c>
      <c r="T1024">
        <v>0</v>
      </c>
      <c r="U1024">
        <v>0</v>
      </c>
      <c r="V1024">
        <v>42723.211920691763</v>
      </c>
      <c r="W1024">
        <v>0</v>
      </c>
      <c r="X1024">
        <v>0</v>
      </c>
      <c r="Y1024">
        <v>60436.808209375456</v>
      </c>
      <c r="Z1024">
        <v>4171.1923009049196</v>
      </c>
      <c r="AA1024">
        <v>64608.000510280377</v>
      </c>
      <c r="AB1024" t="s">
        <v>242</v>
      </c>
      <c r="AC1024">
        <v>5</v>
      </c>
      <c r="AD1024">
        <v>6500</v>
      </c>
      <c r="AE1024">
        <v>0</v>
      </c>
      <c r="AF1024">
        <v>0</v>
      </c>
      <c r="AG1024">
        <v>419.237639019965</v>
      </c>
      <c r="AH1024" t="s">
        <v>58</v>
      </c>
    </row>
    <row r="1025" spans="1:34" x14ac:dyDescent="0.3">
      <c r="A1025" t="s">
        <v>798</v>
      </c>
      <c r="B1025">
        <v>52200412</v>
      </c>
      <c r="C1025">
        <v>25145601</v>
      </c>
      <c r="D1025" t="s">
        <v>86</v>
      </c>
      <c r="E1025" t="s">
        <v>436</v>
      </c>
      <c r="F1025" t="s">
        <v>431</v>
      </c>
      <c r="G1025" t="s">
        <v>82</v>
      </c>
      <c r="H1025" t="s">
        <v>83</v>
      </c>
      <c r="J1025" t="s">
        <v>52</v>
      </c>
      <c r="K1025" s="15">
        <v>1700</v>
      </c>
      <c r="L1025" s="15">
        <v>0</v>
      </c>
      <c r="M1025" s="13">
        <v>45169</v>
      </c>
      <c r="O1025">
        <v>0</v>
      </c>
      <c r="P1025">
        <v>0</v>
      </c>
      <c r="Q1025">
        <v>0</v>
      </c>
      <c r="R1025">
        <v>790.73650909540231</v>
      </c>
      <c r="S1025">
        <v>24222.300759252266</v>
      </c>
      <c r="T1025">
        <v>0</v>
      </c>
      <c r="U1025">
        <v>0</v>
      </c>
      <c r="V1025">
        <v>52616.263104201244</v>
      </c>
      <c r="W1025">
        <v>0</v>
      </c>
      <c r="X1025">
        <v>0</v>
      </c>
      <c r="Y1025">
        <v>77629.300372548911</v>
      </c>
      <c r="Z1025">
        <v>5378.6994704417466</v>
      </c>
      <c r="AA1025">
        <v>83007.999842990655</v>
      </c>
      <c r="AB1025" t="s">
        <v>242</v>
      </c>
      <c r="AC1025">
        <v>10</v>
      </c>
      <c r="AD1025">
        <v>9800</v>
      </c>
      <c r="AE1025">
        <v>0</v>
      </c>
      <c r="AF1025">
        <v>0</v>
      </c>
      <c r="AG1025">
        <v>634.56220152960577</v>
      </c>
      <c r="AH1025" t="s">
        <v>58</v>
      </c>
    </row>
    <row r="1026" spans="1:34" x14ac:dyDescent="0.3">
      <c r="A1026" t="s">
        <v>798</v>
      </c>
      <c r="B1026">
        <v>52200671</v>
      </c>
      <c r="C1026">
        <v>27488939</v>
      </c>
      <c r="D1026" t="s">
        <v>857</v>
      </c>
      <c r="E1026" t="s">
        <v>438</v>
      </c>
      <c r="F1026" t="s">
        <v>431</v>
      </c>
      <c r="G1026" t="s">
        <v>82</v>
      </c>
      <c r="H1026" t="s">
        <v>83</v>
      </c>
      <c r="J1026" t="s">
        <v>52</v>
      </c>
      <c r="K1026" s="15">
        <v>1000</v>
      </c>
      <c r="L1026" s="15">
        <v>0</v>
      </c>
      <c r="M1026" s="13">
        <v>45169</v>
      </c>
      <c r="O1026">
        <v>0</v>
      </c>
      <c r="P1026">
        <v>0</v>
      </c>
      <c r="Q1026">
        <v>0</v>
      </c>
      <c r="R1026">
        <v>883.74722199434427</v>
      </c>
      <c r="S1026">
        <v>25003.211827082661</v>
      </c>
      <c r="T1026">
        <v>0</v>
      </c>
      <c r="U1026">
        <v>0</v>
      </c>
      <c r="V1026">
        <v>53483.939690487481</v>
      </c>
      <c r="W1026">
        <v>0</v>
      </c>
      <c r="X1026">
        <v>0</v>
      </c>
      <c r="Y1026">
        <v>79370.898739564494</v>
      </c>
      <c r="Z1026">
        <v>5494.1006062299102</v>
      </c>
      <c r="AA1026">
        <v>84864.999345794407</v>
      </c>
      <c r="AB1026" t="s">
        <v>242</v>
      </c>
      <c r="AC1026">
        <v>6</v>
      </c>
      <c r="AD1026">
        <v>9500</v>
      </c>
      <c r="AE1026">
        <v>0</v>
      </c>
      <c r="AF1026">
        <v>0</v>
      </c>
      <c r="AG1026">
        <v>614.54421078467715</v>
      </c>
      <c r="AH1026" t="s">
        <v>58</v>
      </c>
    </row>
    <row r="1027" spans="1:34" x14ac:dyDescent="0.3">
      <c r="A1027" t="s">
        <v>798</v>
      </c>
      <c r="B1027">
        <v>52200858</v>
      </c>
      <c r="C1027">
        <v>29457287</v>
      </c>
      <c r="D1027" t="s">
        <v>865</v>
      </c>
      <c r="E1027" t="s">
        <v>438</v>
      </c>
      <c r="F1027" t="s">
        <v>431</v>
      </c>
      <c r="G1027" t="s">
        <v>82</v>
      </c>
      <c r="H1027" t="s">
        <v>83</v>
      </c>
      <c r="J1027" t="s">
        <v>52</v>
      </c>
      <c r="K1027" s="15">
        <v>2500</v>
      </c>
      <c r="L1027" s="15">
        <v>0</v>
      </c>
      <c r="M1027" s="13">
        <v>45169</v>
      </c>
      <c r="O1027">
        <v>0</v>
      </c>
      <c r="P1027">
        <v>0</v>
      </c>
      <c r="Q1027">
        <v>0</v>
      </c>
      <c r="R1027">
        <v>1094.5875936194323</v>
      </c>
      <c r="S1027">
        <v>12567.675146150064</v>
      </c>
      <c r="T1027">
        <v>0</v>
      </c>
      <c r="U1027">
        <v>0</v>
      </c>
      <c r="V1027">
        <v>49532.710280373831</v>
      </c>
      <c r="W1027">
        <v>0</v>
      </c>
      <c r="X1027">
        <v>0</v>
      </c>
      <c r="Y1027">
        <v>63194.973020143327</v>
      </c>
      <c r="Z1027">
        <v>4347.0269798566724</v>
      </c>
      <c r="AA1027">
        <v>67542</v>
      </c>
      <c r="AB1027" t="s">
        <v>242</v>
      </c>
      <c r="AC1027">
        <v>1</v>
      </c>
      <c r="AD1027">
        <v>2500</v>
      </c>
      <c r="AE1027">
        <v>0</v>
      </c>
      <c r="AF1027">
        <v>0</v>
      </c>
      <c r="AG1027">
        <v>160.71133790033673</v>
      </c>
      <c r="AH1027" t="s">
        <v>72</v>
      </c>
    </row>
    <row r="1028" spans="1:34" x14ac:dyDescent="0.3">
      <c r="A1028" t="s">
        <v>798</v>
      </c>
      <c r="B1028">
        <v>52200925</v>
      </c>
      <c r="C1028">
        <v>26945932</v>
      </c>
      <c r="D1028" t="s">
        <v>866</v>
      </c>
      <c r="E1028" t="s">
        <v>438</v>
      </c>
      <c r="F1028" t="s">
        <v>431</v>
      </c>
      <c r="G1028" t="s">
        <v>82</v>
      </c>
      <c r="H1028" t="s">
        <v>83</v>
      </c>
      <c r="J1028" t="s">
        <v>52</v>
      </c>
      <c r="K1028" s="15">
        <v>3000</v>
      </c>
      <c r="L1028" s="15">
        <v>0</v>
      </c>
      <c r="M1028" s="13">
        <v>45169</v>
      </c>
      <c r="O1028">
        <v>0</v>
      </c>
      <c r="P1028">
        <v>0</v>
      </c>
      <c r="Q1028">
        <v>0</v>
      </c>
      <c r="R1028">
        <v>848.84245363589673</v>
      </c>
      <c r="S1028">
        <v>13941.458902216771</v>
      </c>
      <c r="T1028">
        <v>0</v>
      </c>
      <c r="U1028">
        <v>0</v>
      </c>
      <c r="V1028">
        <v>45808.220686926034</v>
      </c>
      <c r="W1028">
        <v>0</v>
      </c>
      <c r="X1028">
        <v>0</v>
      </c>
      <c r="Y1028">
        <v>60598.522042778699</v>
      </c>
      <c r="Z1028">
        <v>4182.4775712399969</v>
      </c>
      <c r="AA1028">
        <v>64780.9996140187</v>
      </c>
      <c r="AB1028" t="s">
        <v>242</v>
      </c>
      <c r="AC1028">
        <v>1</v>
      </c>
      <c r="AD1028">
        <v>3000</v>
      </c>
      <c r="AE1028">
        <v>0</v>
      </c>
      <c r="AF1028">
        <v>0</v>
      </c>
      <c r="AG1028">
        <v>193.50371192010562</v>
      </c>
      <c r="AH1028" t="s">
        <v>72</v>
      </c>
    </row>
    <row r="1029" spans="1:34" x14ac:dyDescent="0.3">
      <c r="A1029" t="s">
        <v>798</v>
      </c>
      <c r="B1029">
        <v>52200986</v>
      </c>
      <c r="C1029">
        <v>16907372</v>
      </c>
      <c r="D1029" t="s">
        <v>867</v>
      </c>
      <c r="E1029" t="s">
        <v>438</v>
      </c>
      <c r="F1029" t="s">
        <v>431</v>
      </c>
      <c r="G1029" t="s">
        <v>82</v>
      </c>
      <c r="H1029" t="s">
        <v>83</v>
      </c>
      <c r="J1029" t="s">
        <v>52</v>
      </c>
      <c r="K1029" s="15">
        <v>1600</v>
      </c>
      <c r="L1029" s="15">
        <v>0</v>
      </c>
      <c r="M1029" s="13">
        <v>45169</v>
      </c>
      <c r="O1029">
        <v>0</v>
      </c>
      <c r="P1029">
        <v>0</v>
      </c>
      <c r="Q1029">
        <v>0</v>
      </c>
      <c r="R1029">
        <v>803.33659839828965</v>
      </c>
      <c r="S1029">
        <v>11231.538762233744</v>
      </c>
      <c r="T1029">
        <v>0</v>
      </c>
      <c r="U1029">
        <v>0</v>
      </c>
      <c r="V1029">
        <v>36346.652188691092</v>
      </c>
      <c r="W1029">
        <v>0</v>
      </c>
      <c r="X1029">
        <v>0</v>
      </c>
      <c r="Y1029">
        <v>48381.527549323124</v>
      </c>
      <c r="Z1029">
        <v>3330.4733665647386</v>
      </c>
      <c r="AA1029">
        <v>51712.00091588786</v>
      </c>
      <c r="AB1029" t="s">
        <v>242</v>
      </c>
      <c r="AC1029">
        <v>6</v>
      </c>
      <c r="AD1029">
        <v>5258</v>
      </c>
      <c r="AE1029">
        <v>0</v>
      </c>
      <c r="AF1029">
        <v>0</v>
      </c>
      <c r="AG1029">
        <v>338.24631952138367</v>
      </c>
      <c r="AH1029" t="s">
        <v>58</v>
      </c>
    </row>
    <row r="1030" spans="1:34" x14ac:dyDescent="0.3">
      <c r="A1030" t="s">
        <v>798</v>
      </c>
      <c r="B1030">
        <v>52201277</v>
      </c>
      <c r="C1030">
        <v>26285645</v>
      </c>
      <c r="D1030" t="s">
        <v>153</v>
      </c>
      <c r="E1030" t="s">
        <v>438</v>
      </c>
      <c r="F1030" t="s">
        <v>431</v>
      </c>
      <c r="G1030" t="s">
        <v>82</v>
      </c>
      <c r="H1030" t="s">
        <v>83</v>
      </c>
      <c r="J1030" t="s">
        <v>52</v>
      </c>
      <c r="K1030" s="15">
        <v>2000</v>
      </c>
      <c r="L1030" s="15">
        <v>0</v>
      </c>
      <c r="M1030" s="13">
        <v>45169</v>
      </c>
      <c r="O1030">
        <v>0</v>
      </c>
      <c r="P1030">
        <v>0</v>
      </c>
      <c r="Q1030">
        <v>0</v>
      </c>
      <c r="R1030">
        <v>823.29008376470506</v>
      </c>
      <c r="S1030">
        <v>34390.583504885682</v>
      </c>
      <c r="T1030">
        <v>0</v>
      </c>
      <c r="U1030">
        <v>0</v>
      </c>
      <c r="V1030">
        <v>56278.303900452571</v>
      </c>
      <c r="W1030">
        <v>0</v>
      </c>
      <c r="X1030">
        <v>0</v>
      </c>
      <c r="Y1030">
        <v>91492.177489102964</v>
      </c>
      <c r="Z1030">
        <v>6346.8221183736787</v>
      </c>
      <c r="AA1030">
        <v>97838.999607476639</v>
      </c>
      <c r="AB1030" t="s">
        <v>242</v>
      </c>
      <c r="AC1030">
        <v>4</v>
      </c>
      <c r="AD1030">
        <v>7500</v>
      </c>
      <c r="AE1030">
        <v>0</v>
      </c>
      <c r="AF1030">
        <v>0</v>
      </c>
      <c r="AG1030">
        <v>486.22458491918633</v>
      </c>
      <c r="AH1030" t="s">
        <v>58</v>
      </c>
    </row>
    <row r="1031" spans="1:34" x14ac:dyDescent="0.3">
      <c r="A1031" t="s">
        <v>798</v>
      </c>
      <c r="B1031">
        <v>52201645</v>
      </c>
      <c r="C1031">
        <v>26580827</v>
      </c>
      <c r="D1031" t="s">
        <v>163</v>
      </c>
      <c r="E1031" t="s">
        <v>438</v>
      </c>
      <c r="F1031" t="s">
        <v>431</v>
      </c>
      <c r="G1031" t="s">
        <v>82</v>
      </c>
      <c r="H1031" t="s">
        <v>83</v>
      </c>
      <c r="J1031" t="s">
        <v>52</v>
      </c>
      <c r="K1031" s="15">
        <v>405</v>
      </c>
      <c r="L1031" s="15">
        <v>0</v>
      </c>
      <c r="M1031" s="13">
        <v>45169</v>
      </c>
      <c r="O1031">
        <v>0</v>
      </c>
      <c r="P1031">
        <v>0</v>
      </c>
      <c r="Q1031">
        <v>0</v>
      </c>
      <c r="R1031">
        <v>757.21063542310003</v>
      </c>
      <c r="S1031">
        <v>44366.463971006997</v>
      </c>
      <c r="T1031">
        <v>0</v>
      </c>
      <c r="U1031">
        <v>0</v>
      </c>
      <c r="V1031">
        <v>88638.947347097012</v>
      </c>
      <c r="W1031">
        <v>0</v>
      </c>
      <c r="X1031">
        <v>0</v>
      </c>
      <c r="Y1031">
        <v>133762.62195352709</v>
      </c>
      <c r="Z1031">
        <v>9310.3787922672818</v>
      </c>
      <c r="AA1031">
        <v>143073.00074579439</v>
      </c>
      <c r="AB1031" t="s">
        <v>242</v>
      </c>
      <c r="AC1031">
        <v>4</v>
      </c>
      <c r="AD1031">
        <v>23405</v>
      </c>
      <c r="AE1031">
        <v>0</v>
      </c>
      <c r="AF1031">
        <v>0</v>
      </c>
      <c r="AG1031">
        <v>1522.415649046372</v>
      </c>
      <c r="AH1031" t="s">
        <v>58</v>
      </c>
    </row>
    <row r="1032" spans="1:34" x14ac:dyDescent="0.3">
      <c r="A1032" t="s">
        <v>798</v>
      </c>
      <c r="B1032">
        <v>52201809</v>
      </c>
      <c r="C1032">
        <v>28380987</v>
      </c>
      <c r="D1032" t="s">
        <v>164</v>
      </c>
      <c r="E1032" t="s">
        <v>438</v>
      </c>
      <c r="F1032" t="s">
        <v>431</v>
      </c>
      <c r="G1032" t="s">
        <v>82</v>
      </c>
      <c r="H1032" t="s">
        <v>83</v>
      </c>
      <c r="J1032" t="s">
        <v>52</v>
      </c>
      <c r="K1032" s="15">
        <v>500</v>
      </c>
      <c r="L1032" s="15">
        <v>0</v>
      </c>
      <c r="M1032" s="13">
        <v>45169</v>
      </c>
      <c r="O1032">
        <v>0</v>
      </c>
      <c r="P1032">
        <v>0</v>
      </c>
      <c r="Q1032">
        <v>0</v>
      </c>
      <c r="R1032">
        <v>960.34584857849131</v>
      </c>
      <c r="S1032">
        <v>30437.683409936195</v>
      </c>
      <c r="T1032">
        <v>0</v>
      </c>
      <c r="U1032">
        <v>0</v>
      </c>
      <c r="V1032">
        <v>51867.600635850336</v>
      </c>
      <c r="W1032">
        <v>0</v>
      </c>
      <c r="X1032">
        <v>0</v>
      </c>
      <c r="Y1032">
        <v>83265.629894365018</v>
      </c>
      <c r="Z1032">
        <v>5761.3698832050586</v>
      </c>
      <c r="AA1032">
        <v>89026.999777570076</v>
      </c>
      <c r="AB1032" t="s">
        <v>242</v>
      </c>
      <c r="AC1032">
        <v>11</v>
      </c>
      <c r="AD1032">
        <v>6800</v>
      </c>
      <c r="AE1032">
        <v>0</v>
      </c>
      <c r="AF1032">
        <v>0</v>
      </c>
      <c r="AG1032">
        <v>439.71421439298553</v>
      </c>
      <c r="AH1032" t="s">
        <v>58</v>
      </c>
    </row>
    <row r="1033" spans="1:34" x14ac:dyDescent="0.3">
      <c r="A1033" t="s">
        <v>798</v>
      </c>
      <c r="B1033">
        <v>52201830</v>
      </c>
      <c r="C1033">
        <v>25560817</v>
      </c>
      <c r="D1033" t="s">
        <v>167</v>
      </c>
      <c r="E1033" t="s">
        <v>438</v>
      </c>
      <c r="F1033" t="s">
        <v>431</v>
      </c>
      <c r="G1033" t="s">
        <v>82</v>
      </c>
      <c r="H1033" t="s">
        <v>83</v>
      </c>
      <c r="J1033" t="s">
        <v>52</v>
      </c>
      <c r="K1033" s="15">
        <v>1500</v>
      </c>
      <c r="L1033" s="15">
        <v>0</v>
      </c>
      <c r="M1033" s="13">
        <v>45169</v>
      </c>
      <c r="O1033">
        <v>0</v>
      </c>
      <c r="P1033">
        <v>0</v>
      </c>
      <c r="Q1033">
        <v>0</v>
      </c>
      <c r="R1033">
        <v>881.11934684756955</v>
      </c>
      <c r="S1033">
        <v>26950.120705050518</v>
      </c>
      <c r="T1033">
        <v>0</v>
      </c>
      <c r="U1033">
        <v>0</v>
      </c>
      <c r="V1033">
        <v>53474.06748157987</v>
      </c>
      <c r="W1033">
        <v>0</v>
      </c>
      <c r="X1033">
        <v>0</v>
      </c>
      <c r="Y1033">
        <v>81305.307533477957</v>
      </c>
      <c r="Z1033">
        <v>5629.6931730641281</v>
      </c>
      <c r="AA1033">
        <v>86935.00070654208</v>
      </c>
      <c r="AB1033" t="s">
        <v>242</v>
      </c>
      <c r="AC1033">
        <v>5</v>
      </c>
      <c r="AD1033">
        <v>10000</v>
      </c>
      <c r="AE1033">
        <v>0</v>
      </c>
      <c r="AF1033">
        <v>0</v>
      </c>
      <c r="AG1033">
        <v>647.08257409283146</v>
      </c>
      <c r="AH1033" t="s">
        <v>58</v>
      </c>
    </row>
    <row r="1034" spans="1:34" x14ac:dyDescent="0.3">
      <c r="A1034" t="s">
        <v>798</v>
      </c>
      <c r="B1034">
        <v>62200080</v>
      </c>
      <c r="C1034">
        <v>22425262</v>
      </c>
      <c r="D1034" t="s">
        <v>80</v>
      </c>
      <c r="E1034" t="s">
        <v>435</v>
      </c>
      <c r="F1034" t="s">
        <v>432</v>
      </c>
      <c r="G1034" t="s">
        <v>82</v>
      </c>
      <c r="H1034" t="s">
        <v>82</v>
      </c>
      <c r="J1034" t="s">
        <v>52</v>
      </c>
      <c r="K1034" s="15">
        <v>500</v>
      </c>
      <c r="L1034" s="15">
        <v>0</v>
      </c>
      <c r="M1034" s="13">
        <v>45169</v>
      </c>
      <c r="O1034">
        <v>0</v>
      </c>
      <c r="P1034">
        <v>0</v>
      </c>
      <c r="Q1034">
        <v>0</v>
      </c>
      <c r="R1034">
        <v>0</v>
      </c>
      <c r="S1034">
        <v>9739.2191780821922</v>
      </c>
      <c r="T1034">
        <v>0</v>
      </c>
      <c r="U1034">
        <v>0</v>
      </c>
      <c r="V1034">
        <v>30000</v>
      </c>
      <c r="W1034">
        <v>0</v>
      </c>
      <c r="X1034">
        <v>0</v>
      </c>
      <c r="Y1034">
        <v>39739.219178082189</v>
      </c>
      <c r="Z1034">
        <v>0</v>
      </c>
      <c r="AA1034">
        <v>39739.219178082189</v>
      </c>
      <c r="AB1034" t="s">
        <v>242</v>
      </c>
      <c r="AC1034">
        <v>8</v>
      </c>
      <c r="AD1034">
        <v>4000</v>
      </c>
      <c r="AE1034">
        <v>0</v>
      </c>
      <c r="AF1034">
        <v>0</v>
      </c>
      <c r="AG1034">
        <v>0</v>
      </c>
      <c r="AH1034" t="s">
        <v>58</v>
      </c>
    </row>
    <row r="1035" spans="1:34" x14ac:dyDescent="0.3">
      <c r="A1035" t="s">
        <v>798</v>
      </c>
      <c r="B1035">
        <v>4132300119</v>
      </c>
      <c r="C1035">
        <v>1110057721</v>
      </c>
      <c r="D1035" t="s">
        <v>901</v>
      </c>
      <c r="E1035" t="s">
        <v>441</v>
      </c>
      <c r="F1035" t="s">
        <v>430</v>
      </c>
      <c r="G1035" t="s">
        <v>235</v>
      </c>
      <c r="H1035" t="s">
        <v>236</v>
      </c>
      <c r="J1035" t="s">
        <v>52</v>
      </c>
      <c r="K1035" s="15">
        <v>5000</v>
      </c>
      <c r="L1035" s="15">
        <v>0</v>
      </c>
      <c r="M1035" s="13">
        <v>45169</v>
      </c>
      <c r="O1035">
        <v>0</v>
      </c>
      <c r="P1035">
        <v>0</v>
      </c>
      <c r="Q1035">
        <v>0</v>
      </c>
      <c r="R1035">
        <v>0</v>
      </c>
      <c r="S1035">
        <v>297555.75775201758</v>
      </c>
      <c r="T1035">
        <v>0</v>
      </c>
      <c r="U1035">
        <v>0</v>
      </c>
      <c r="V1035">
        <v>514796.1808232328</v>
      </c>
      <c r="W1035">
        <v>0</v>
      </c>
      <c r="X1035">
        <v>0</v>
      </c>
      <c r="Y1035">
        <v>812351.93857525033</v>
      </c>
      <c r="Z1035">
        <v>36035.7326576263</v>
      </c>
      <c r="AA1035">
        <v>848387.6712328766</v>
      </c>
      <c r="AB1035" t="s">
        <v>242</v>
      </c>
      <c r="AC1035">
        <v>1</v>
      </c>
      <c r="AD1035">
        <v>5000</v>
      </c>
      <c r="AE1035">
        <v>0</v>
      </c>
      <c r="AF1035">
        <v>0</v>
      </c>
      <c r="AG1035">
        <v>207.2579965793102</v>
      </c>
      <c r="AH1035" t="s">
        <v>72</v>
      </c>
    </row>
    <row r="1036" spans="1:34" x14ac:dyDescent="0.3">
      <c r="A1036" t="s">
        <v>798</v>
      </c>
      <c r="B1036">
        <v>4132300910</v>
      </c>
      <c r="C1036">
        <v>1011709822</v>
      </c>
      <c r="D1036" t="s">
        <v>908</v>
      </c>
      <c r="E1036" t="s">
        <v>441</v>
      </c>
      <c r="F1036" t="s">
        <v>430</v>
      </c>
      <c r="G1036" t="s">
        <v>233</v>
      </c>
      <c r="H1036" t="s">
        <v>231</v>
      </c>
      <c r="J1036" t="s">
        <v>52</v>
      </c>
      <c r="K1036" s="15">
        <v>1000</v>
      </c>
      <c r="L1036" s="15">
        <v>0</v>
      </c>
      <c r="M1036" s="13">
        <v>45169</v>
      </c>
      <c r="O1036">
        <v>0</v>
      </c>
      <c r="P1036">
        <v>3991.510250513144</v>
      </c>
      <c r="Q1036">
        <v>0</v>
      </c>
      <c r="R1036">
        <v>0</v>
      </c>
      <c r="S1036">
        <v>0</v>
      </c>
      <c r="T1036">
        <v>32858.401635034439</v>
      </c>
      <c r="U1036">
        <v>0</v>
      </c>
      <c r="V1036">
        <v>0</v>
      </c>
      <c r="W1036">
        <v>0</v>
      </c>
      <c r="X1036">
        <v>0</v>
      </c>
      <c r="Y1036">
        <v>36849.911885547583</v>
      </c>
      <c r="Z1036">
        <v>2300.088114452411</v>
      </c>
      <c r="AA1036">
        <v>39149.999999999993</v>
      </c>
      <c r="AB1036" t="s">
        <v>242</v>
      </c>
      <c r="AC1036">
        <v>1</v>
      </c>
      <c r="AD1036">
        <v>1000</v>
      </c>
      <c r="AE1036">
        <v>0</v>
      </c>
      <c r="AF1036">
        <v>0</v>
      </c>
      <c r="AG1036">
        <v>58.323100500859937</v>
      </c>
      <c r="AH1036" t="s">
        <v>72</v>
      </c>
    </row>
    <row r="1037" spans="1:34" x14ac:dyDescent="0.3">
      <c r="A1037" t="s">
        <v>798</v>
      </c>
      <c r="B1037">
        <v>4142300008</v>
      </c>
      <c r="C1037">
        <v>132635</v>
      </c>
      <c r="D1037" t="s">
        <v>185</v>
      </c>
      <c r="E1037" t="s">
        <v>444</v>
      </c>
      <c r="F1037" t="s">
        <v>430</v>
      </c>
      <c r="G1037" t="s">
        <v>237</v>
      </c>
      <c r="H1037" t="s">
        <v>231</v>
      </c>
      <c r="J1037" t="s">
        <v>52</v>
      </c>
      <c r="K1037" s="15">
        <v>8000</v>
      </c>
      <c r="L1037" s="15">
        <v>0</v>
      </c>
      <c r="M1037" s="13">
        <v>45169</v>
      </c>
      <c r="O1037">
        <v>0</v>
      </c>
      <c r="P1037">
        <v>54088.193162164353</v>
      </c>
      <c r="Q1037">
        <v>0</v>
      </c>
      <c r="R1037">
        <v>0</v>
      </c>
      <c r="S1037">
        <v>0</v>
      </c>
      <c r="T1037">
        <v>33334.398913865094</v>
      </c>
      <c r="U1037">
        <v>39953.271028037387</v>
      </c>
      <c r="V1037">
        <v>0</v>
      </c>
      <c r="W1037">
        <v>0</v>
      </c>
      <c r="X1037">
        <v>0</v>
      </c>
      <c r="Y1037">
        <v>127375.86310406684</v>
      </c>
      <c r="Z1037">
        <v>5130.1368959331739</v>
      </c>
      <c r="AA1037">
        <v>132506</v>
      </c>
      <c r="AB1037" t="s">
        <v>242</v>
      </c>
      <c r="AC1037">
        <v>2</v>
      </c>
      <c r="AD1037">
        <v>16000</v>
      </c>
      <c r="AE1037">
        <v>0</v>
      </c>
      <c r="AF1037">
        <v>0</v>
      </c>
      <c r="AG1037">
        <v>600.70422556215362</v>
      </c>
      <c r="AH1037" t="s">
        <v>58</v>
      </c>
    </row>
    <row r="1038" spans="1:34" x14ac:dyDescent="0.3">
      <c r="A1038" t="s">
        <v>798</v>
      </c>
      <c r="B1038">
        <v>4142300008</v>
      </c>
      <c r="C1038">
        <v>132635</v>
      </c>
      <c r="D1038" t="s">
        <v>185</v>
      </c>
      <c r="E1038" t="s">
        <v>444</v>
      </c>
      <c r="F1038" t="s">
        <v>430</v>
      </c>
      <c r="G1038" t="s">
        <v>237</v>
      </c>
      <c r="H1038" t="s">
        <v>231</v>
      </c>
      <c r="J1038" t="s">
        <v>52</v>
      </c>
      <c r="K1038" s="15">
        <v>8000</v>
      </c>
      <c r="L1038" s="15">
        <v>0</v>
      </c>
      <c r="M1038" s="13">
        <v>45169</v>
      </c>
      <c r="O1038">
        <v>0</v>
      </c>
      <c r="P1038">
        <v>50691.116708646688</v>
      </c>
      <c r="Q1038">
        <v>0</v>
      </c>
      <c r="R1038">
        <v>0</v>
      </c>
      <c r="S1038">
        <v>0</v>
      </c>
      <c r="T1038">
        <v>29032.601206872256</v>
      </c>
      <c r="U1038">
        <v>39953.271028037387</v>
      </c>
      <c r="V1038">
        <v>0</v>
      </c>
      <c r="W1038">
        <v>0</v>
      </c>
      <c r="X1038">
        <v>0</v>
      </c>
      <c r="Y1038">
        <v>119676.98894355632</v>
      </c>
      <c r="Z1038">
        <v>4829.0110564436764</v>
      </c>
      <c r="AA1038">
        <v>124506</v>
      </c>
      <c r="AB1038" t="s">
        <v>242</v>
      </c>
      <c r="AC1038">
        <v>3</v>
      </c>
      <c r="AD1038">
        <v>24000</v>
      </c>
      <c r="AE1038">
        <v>0</v>
      </c>
      <c r="AF1038">
        <v>0</v>
      </c>
      <c r="AG1038">
        <v>901.83006505165213</v>
      </c>
      <c r="AH1038" t="s">
        <v>58</v>
      </c>
    </row>
    <row r="1039" spans="1:34" x14ac:dyDescent="0.3">
      <c r="A1039" t="s">
        <v>798</v>
      </c>
      <c r="B1039">
        <v>4142300116</v>
      </c>
      <c r="C1039">
        <v>10205921</v>
      </c>
      <c r="D1039" t="s">
        <v>189</v>
      </c>
      <c r="E1039" t="s">
        <v>445</v>
      </c>
      <c r="F1039" t="s">
        <v>430</v>
      </c>
      <c r="G1039" t="s">
        <v>233</v>
      </c>
      <c r="H1039" t="s">
        <v>234</v>
      </c>
      <c r="J1039" t="s">
        <v>52</v>
      </c>
      <c r="K1039" s="15">
        <v>50844.160000000003</v>
      </c>
      <c r="L1039" s="15">
        <v>0</v>
      </c>
      <c r="M1039" s="13">
        <v>45169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332625.35514018685</v>
      </c>
      <c r="Y1039">
        <v>332625.35514018685</v>
      </c>
      <c r="Z1039">
        <v>23283.774859813082</v>
      </c>
      <c r="AA1039">
        <v>355909.12999999995</v>
      </c>
      <c r="AB1039" t="s">
        <v>242</v>
      </c>
      <c r="AC1039">
        <v>3</v>
      </c>
      <c r="AD1039">
        <v>201688.32000000001</v>
      </c>
      <c r="AE1039">
        <v>0</v>
      </c>
      <c r="AF1039">
        <v>0</v>
      </c>
      <c r="AG1039">
        <v>13194.562990654202</v>
      </c>
      <c r="AH1039" t="s">
        <v>58</v>
      </c>
    </row>
    <row r="1040" spans="1:34" x14ac:dyDescent="0.3">
      <c r="A1040" t="s">
        <v>798</v>
      </c>
      <c r="B1040">
        <v>4142300160</v>
      </c>
      <c r="C1040">
        <v>10044677</v>
      </c>
      <c r="D1040" t="s">
        <v>190</v>
      </c>
      <c r="E1040" t="s">
        <v>445</v>
      </c>
      <c r="F1040" t="s">
        <v>430</v>
      </c>
      <c r="G1040" t="s">
        <v>230</v>
      </c>
      <c r="H1040" t="s">
        <v>234</v>
      </c>
      <c r="J1040" t="s">
        <v>52</v>
      </c>
      <c r="K1040" s="15">
        <v>4000</v>
      </c>
      <c r="L1040" s="15">
        <v>0</v>
      </c>
      <c r="M1040" s="13">
        <v>45169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69967.859813084127</v>
      </c>
      <c r="Y1040">
        <v>69967.859813084127</v>
      </c>
      <c r="Z1040">
        <v>4897.7501869158896</v>
      </c>
      <c r="AA1040">
        <v>74865.610000000015</v>
      </c>
      <c r="AB1040" t="s">
        <v>242</v>
      </c>
      <c r="AC1040">
        <v>3</v>
      </c>
      <c r="AD1040">
        <v>12000</v>
      </c>
      <c r="AE1040">
        <v>0</v>
      </c>
      <c r="AF1040">
        <v>0</v>
      </c>
      <c r="AG1040">
        <v>785.04672897196269</v>
      </c>
      <c r="AH1040" t="s">
        <v>58</v>
      </c>
    </row>
    <row r="1041" spans="1:34" x14ac:dyDescent="0.3">
      <c r="A1041" t="s">
        <v>798</v>
      </c>
      <c r="B1041">
        <v>4142300178</v>
      </c>
      <c r="C1041">
        <v>10059928</v>
      </c>
      <c r="D1041" t="s">
        <v>191</v>
      </c>
      <c r="E1041" t="s">
        <v>445</v>
      </c>
      <c r="F1041" t="s">
        <v>430</v>
      </c>
      <c r="G1041" t="s">
        <v>230</v>
      </c>
      <c r="H1041" t="s">
        <v>234</v>
      </c>
      <c r="J1041" t="s">
        <v>52</v>
      </c>
      <c r="K1041" s="15">
        <v>10000</v>
      </c>
      <c r="L1041" s="15">
        <v>0</v>
      </c>
      <c r="M1041" s="13">
        <v>45169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251459.78504672897</v>
      </c>
      <c r="Y1041">
        <v>251459.78504672897</v>
      </c>
      <c r="Z1041">
        <v>17602.184953271029</v>
      </c>
      <c r="AA1041">
        <v>269061.96999999997</v>
      </c>
      <c r="AB1041" t="s">
        <v>242</v>
      </c>
      <c r="AC1041">
        <v>1</v>
      </c>
      <c r="AD1041">
        <v>10000</v>
      </c>
      <c r="AE1041">
        <v>0</v>
      </c>
      <c r="AF1041">
        <v>0</v>
      </c>
      <c r="AG1041">
        <v>654.20560747663512</v>
      </c>
      <c r="AH1041" t="s">
        <v>72</v>
      </c>
    </row>
    <row r="1042" spans="1:34" x14ac:dyDescent="0.3">
      <c r="A1042" t="s">
        <v>798</v>
      </c>
      <c r="B1042">
        <v>4142300254</v>
      </c>
      <c r="C1042">
        <v>10153969</v>
      </c>
      <c r="D1042" t="s">
        <v>195</v>
      </c>
      <c r="E1042" t="s">
        <v>445</v>
      </c>
      <c r="F1042" t="s">
        <v>430</v>
      </c>
      <c r="G1042" t="s">
        <v>237</v>
      </c>
      <c r="H1042" t="s">
        <v>234</v>
      </c>
      <c r="J1042" t="s">
        <v>52</v>
      </c>
      <c r="K1042" s="15">
        <v>5000</v>
      </c>
      <c r="L1042" s="15">
        <v>0</v>
      </c>
      <c r="M1042" s="13">
        <v>45169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80944.1308411215</v>
      </c>
      <c r="Y1042">
        <v>80944.1308411215</v>
      </c>
      <c r="Z1042">
        <v>5666.0891588785053</v>
      </c>
      <c r="AA1042">
        <v>86610.22</v>
      </c>
      <c r="AB1042" t="s">
        <v>242</v>
      </c>
      <c r="AC1042">
        <v>1</v>
      </c>
      <c r="AD1042">
        <v>5000</v>
      </c>
      <c r="AE1042">
        <v>0</v>
      </c>
      <c r="AF1042">
        <v>0</v>
      </c>
      <c r="AG1042">
        <v>327.10280373831756</v>
      </c>
      <c r="AH1042" t="s">
        <v>72</v>
      </c>
    </row>
    <row r="1043" spans="1:34" x14ac:dyDescent="0.3">
      <c r="A1043" t="s">
        <v>798</v>
      </c>
      <c r="B1043">
        <v>4142300314</v>
      </c>
      <c r="C1043">
        <v>10138978</v>
      </c>
      <c r="D1043" t="s">
        <v>916</v>
      </c>
      <c r="E1043" t="s">
        <v>445</v>
      </c>
      <c r="F1043" t="s">
        <v>430</v>
      </c>
      <c r="G1043" t="s">
        <v>230</v>
      </c>
      <c r="H1043" t="s">
        <v>234</v>
      </c>
      <c r="J1043" t="s">
        <v>52</v>
      </c>
      <c r="K1043" s="15">
        <v>2500</v>
      </c>
      <c r="L1043" s="15">
        <v>0</v>
      </c>
      <c r="M1043" s="13">
        <v>45169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154108.30879528867</v>
      </c>
      <c r="Y1043">
        <v>154108.30879528867</v>
      </c>
      <c r="Z1043">
        <v>10787.581615670208</v>
      </c>
      <c r="AA1043">
        <v>164895.89041095888</v>
      </c>
      <c r="AB1043" t="s">
        <v>242</v>
      </c>
      <c r="AC1043">
        <v>2</v>
      </c>
      <c r="AD1043">
        <v>52500</v>
      </c>
      <c r="AE1043">
        <v>0</v>
      </c>
      <c r="AF1043">
        <v>0</v>
      </c>
      <c r="AG1043">
        <v>3434.5794392523362</v>
      </c>
      <c r="AH1043" t="s">
        <v>58</v>
      </c>
    </row>
    <row r="1044" spans="1:34" x14ac:dyDescent="0.3">
      <c r="A1044" t="s">
        <v>798</v>
      </c>
      <c r="B1044">
        <v>4142300416</v>
      </c>
      <c r="C1044">
        <v>10179898</v>
      </c>
      <c r="D1044" t="s">
        <v>198</v>
      </c>
      <c r="E1044" t="s">
        <v>445</v>
      </c>
      <c r="F1044" t="s">
        <v>430</v>
      </c>
      <c r="G1044" t="s">
        <v>230</v>
      </c>
      <c r="H1044" t="s">
        <v>234</v>
      </c>
      <c r="J1044" t="s">
        <v>52</v>
      </c>
      <c r="K1044" s="15">
        <v>6000</v>
      </c>
      <c r="L1044" s="15">
        <v>0</v>
      </c>
      <c r="M1044" s="13">
        <v>45169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337903.72897196264</v>
      </c>
      <c r="Y1044">
        <v>337903.72897196264</v>
      </c>
      <c r="Z1044">
        <v>23653.261028037388</v>
      </c>
      <c r="AA1044">
        <v>361556.99000000005</v>
      </c>
      <c r="AB1044" t="s">
        <v>242</v>
      </c>
      <c r="AC1044">
        <v>3</v>
      </c>
      <c r="AD1044">
        <v>15200</v>
      </c>
      <c r="AE1044">
        <v>0</v>
      </c>
      <c r="AF1044">
        <v>0</v>
      </c>
      <c r="AG1044">
        <v>994.39252336448635</v>
      </c>
      <c r="AH1044" t="s">
        <v>58</v>
      </c>
    </row>
    <row r="1045" spans="1:34" x14ac:dyDescent="0.3">
      <c r="A1045" t="s">
        <v>798</v>
      </c>
      <c r="B1045">
        <v>4142300794</v>
      </c>
      <c r="C1045">
        <v>10379208</v>
      </c>
      <c r="D1045" t="s">
        <v>209</v>
      </c>
      <c r="E1045" t="s">
        <v>445</v>
      </c>
      <c r="F1045" t="s">
        <v>430</v>
      </c>
      <c r="G1045" t="s">
        <v>230</v>
      </c>
      <c r="H1045" t="s">
        <v>234</v>
      </c>
      <c r="J1045" t="s">
        <v>52</v>
      </c>
      <c r="K1045" s="15">
        <v>5000</v>
      </c>
      <c r="L1045" s="15">
        <v>0</v>
      </c>
      <c r="M1045" s="13">
        <v>45169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507570.34579439252</v>
      </c>
      <c r="Y1045">
        <v>507570.34579439252</v>
      </c>
      <c r="Z1045">
        <v>35529.92420560748</v>
      </c>
      <c r="AA1045">
        <v>543100.27</v>
      </c>
      <c r="AB1045" t="s">
        <v>242</v>
      </c>
      <c r="AC1045">
        <v>1</v>
      </c>
      <c r="AD1045">
        <v>5000</v>
      </c>
      <c r="AE1045">
        <v>0</v>
      </c>
      <c r="AF1045">
        <v>0</v>
      </c>
      <c r="AG1045">
        <v>327.10280373831756</v>
      </c>
      <c r="AH1045" t="s">
        <v>72</v>
      </c>
    </row>
    <row r="1046" spans="1:34" x14ac:dyDescent="0.3">
      <c r="A1046" t="s">
        <v>798</v>
      </c>
      <c r="B1046">
        <v>4142300842</v>
      </c>
      <c r="C1046">
        <v>10382588</v>
      </c>
      <c r="D1046" t="s">
        <v>211</v>
      </c>
      <c r="E1046" t="s">
        <v>445</v>
      </c>
      <c r="F1046" t="s">
        <v>430</v>
      </c>
      <c r="G1046" t="s">
        <v>230</v>
      </c>
      <c r="H1046" t="s">
        <v>234</v>
      </c>
      <c r="J1046" t="s">
        <v>52</v>
      </c>
      <c r="K1046" s="15">
        <v>1000</v>
      </c>
      <c r="L1046" s="15">
        <v>0</v>
      </c>
      <c r="M1046" s="13">
        <v>45169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121993.5981308411</v>
      </c>
      <c r="Y1046">
        <v>121993.5981308411</v>
      </c>
      <c r="Z1046">
        <v>8539.5518691588786</v>
      </c>
      <c r="AA1046">
        <v>130533.14999999998</v>
      </c>
      <c r="AB1046" t="s">
        <v>242</v>
      </c>
      <c r="AC1046">
        <v>4</v>
      </c>
      <c r="AD1046">
        <v>6000</v>
      </c>
      <c r="AE1046">
        <v>0</v>
      </c>
      <c r="AF1046">
        <v>0</v>
      </c>
      <c r="AG1046">
        <v>392.52336448598135</v>
      </c>
      <c r="AH1046" t="s">
        <v>58</v>
      </c>
    </row>
    <row r="1047" spans="1:34" x14ac:dyDescent="0.3">
      <c r="A1047" t="s">
        <v>798</v>
      </c>
      <c r="B1047">
        <v>4302300023</v>
      </c>
      <c r="C1047">
        <v>901021032288</v>
      </c>
      <c r="D1047" t="s">
        <v>225</v>
      </c>
      <c r="E1047" t="s">
        <v>447</v>
      </c>
      <c r="F1047" t="s">
        <v>433</v>
      </c>
      <c r="G1047" t="s">
        <v>82</v>
      </c>
      <c r="H1047" t="s">
        <v>83</v>
      </c>
      <c r="J1047" t="s">
        <v>52</v>
      </c>
      <c r="K1047" s="15">
        <v>5000</v>
      </c>
      <c r="L1047" s="15">
        <v>0</v>
      </c>
      <c r="M1047" s="13">
        <v>45169</v>
      </c>
      <c r="O1047">
        <v>0</v>
      </c>
      <c r="P1047">
        <v>0</v>
      </c>
      <c r="Q1047">
        <v>92909.625639890437</v>
      </c>
      <c r="R1047">
        <v>3436.24</v>
      </c>
      <c r="S1047">
        <v>61015.182953373427</v>
      </c>
      <c r="T1047">
        <v>0</v>
      </c>
      <c r="U1047">
        <v>0</v>
      </c>
      <c r="V1047">
        <v>1172874.5</v>
      </c>
      <c r="W1047">
        <v>0</v>
      </c>
      <c r="X1047">
        <v>0</v>
      </c>
      <c r="Y1047">
        <v>1330235.5485932638</v>
      </c>
      <c r="Z1047">
        <v>86372.277806736151</v>
      </c>
      <c r="AA1047">
        <v>1416607.8263999999</v>
      </c>
      <c r="AB1047" t="s">
        <v>242</v>
      </c>
      <c r="AC1047">
        <v>2</v>
      </c>
      <c r="AD1047">
        <v>35000</v>
      </c>
      <c r="AE1047">
        <v>0</v>
      </c>
      <c r="AF1047">
        <v>0</v>
      </c>
      <c r="AG1047">
        <v>2123.6485932638598</v>
      </c>
      <c r="AH1047" t="s">
        <v>58</v>
      </c>
    </row>
    <row r="1048" spans="1:34" x14ac:dyDescent="0.3">
      <c r="A1048" t="s">
        <v>798</v>
      </c>
      <c r="B1048">
        <v>4302300030</v>
      </c>
      <c r="C1048">
        <v>901014009060</v>
      </c>
      <c r="D1048" t="s">
        <v>226</v>
      </c>
      <c r="E1048" t="s">
        <v>447</v>
      </c>
      <c r="F1048" t="s">
        <v>433</v>
      </c>
      <c r="G1048" t="s">
        <v>82</v>
      </c>
      <c r="H1048" t="s">
        <v>83</v>
      </c>
      <c r="J1048" t="s">
        <v>52</v>
      </c>
      <c r="K1048" s="15">
        <v>20000</v>
      </c>
      <c r="L1048" s="15">
        <v>0</v>
      </c>
      <c r="M1048" s="13">
        <v>45169</v>
      </c>
      <c r="O1048">
        <v>0</v>
      </c>
      <c r="P1048">
        <v>0</v>
      </c>
      <c r="Q1048">
        <v>36991.520647417041</v>
      </c>
      <c r="R1048">
        <v>24628.69</v>
      </c>
      <c r="S1048">
        <v>74878.159208021432</v>
      </c>
      <c r="T1048">
        <v>0</v>
      </c>
      <c r="U1048">
        <v>0</v>
      </c>
      <c r="V1048">
        <v>587264.66</v>
      </c>
      <c r="W1048">
        <v>0</v>
      </c>
      <c r="X1048">
        <v>0</v>
      </c>
      <c r="Y1048">
        <v>723763.02985543851</v>
      </c>
      <c r="Z1048">
        <v>46349.997344561511</v>
      </c>
      <c r="AA1048">
        <v>770113.02720000001</v>
      </c>
      <c r="AB1048" t="s">
        <v>242</v>
      </c>
      <c r="AC1048">
        <v>4</v>
      </c>
      <c r="AD1048">
        <v>67000</v>
      </c>
      <c r="AE1048">
        <v>0</v>
      </c>
      <c r="AF1048">
        <v>0</v>
      </c>
      <c r="AG1048">
        <v>4008.6998554384963</v>
      </c>
      <c r="AH1048" t="s">
        <v>58</v>
      </c>
    </row>
    <row r="1049" spans="1:34" x14ac:dyDescent="0.3">
      <c r="A1049" t="s">
        <v>798</v>
      </c>
      <c r="B1049">
        <v>4302300036</v>
      </c>
      <c r="C1049">
        <v>901015004180</v>
      </c>
      <c r="D1049" t="s">
        <v>226</v>
      </c>
      <c r="E1049" t="s">
        <v>447</v>
      </c>
      <c r="F1049" t="s">
        <v>433</v>
      </c>
      <c r="G1049" t="s">
        <v>82</v>
      </c>
      <c r="H1049" t="s">
        <v>83</v>
      </c>
      <c r="J1049" t="s">
        <v>52</v>
      </c>
      <c r="K1049" s="15">
        <v>20000</v>
      </c>
      <c r="L1049" s="15">
        <v>0</v>
      </c>
      <c r="M1049" s="13">
        <v>45169</v>
      </c>
      <c r="O1049">
        <v>0</v>
      </c>
      <c r="P1049">
        <v>0</v>
      </c>
      <c r="Q1049">
        <v>70692.936758398981</v>
      </c>
      <c r="R1049">
        <v>32364.02</v>
      </c>
      <c r="S1049">
        <v>150341.0497585056</v>
      </c>
      <c r="T1049">
        <v>0</v>
      </c>
      <c r="U1049">
        <v>0</v>
      </c>
      <c r="V1049">
        <v>1054424.3799999999</v>
      </c>
      <c r="W1049">
        <v>0</v>
      </c>
      <c r="X1049">
        <v>0</v>
      </c>
      <c r="Y1049">
        <v>1307822.3865169045</v>
      </c>
      <c r="Z1049">
        <v>84333.580083095381</v>
      </c>
      <c r="AA1049">
        <v>1392155.9665999999</v>
      </c>
      <c r="AB1049" t="s">
        <v>242</v>
      </c>
      <c r="AC1049">
        <v>4</v>
      </c>
      <c r="AD1049">
        <v>73000</v>
      </c>
      <c r="AE1049">
        <v>0</v>
      </c>
      <c r="AF1049">
        <v>0</v>
      </c>
      <c r="AG1049">
        <v>4398.5865169046047</v>
      </c>
      <c r="AH1049" t="s">
        <v>58</v>
      </c>
    </row>
    <row r="1050" spans="1:34" x14ac:dyDescent="0.3">
      <c r="A1050" t="s">
        <v>798</v>
      </c>
      <c r="B1050">
        <v>4132300378</v>
      </c>
      <c r="C1050" t="s">
        <v>254</v>
      </c>
      <c r="D1050" t="s">
        <v>325</v>
      </c>
      <c r="E1050" t="s">
        <v>441</v>
      </c>
      <c r="F1050" t="s">
        <v>430</v>
      </c>
      <c r="G1050" t="s">
        <v>233</v>
      </c>
      <c r="H1050" t="s">
        <v>231</v>
      </c>
      <c r="J1050" t="s">
        <v>52</v>
      </c>
      <c r="K1050" s="15">
        <v>3000</v>
      </c>
      <c r="L1050" s="15">
        <v>0</v>
      </c>
      <c r="M1050" s="13">
        <v>45169</v>
      </c>
      <c r="O1050">
        <v>0</v>
      </c>
      <c r="P1050">
        <v>1484.9760658563378</v>
      </c>
      <c r="Q1050">
        <v>0</v>
      </c>
      <c r="R1050">
        <v>0</v>
      </c>
      <c r="S1050">
        <v>14944.931506849314</v>
      </c>
      <c r="T1050">
        <v>2443.9476020034226</v>
      </c>
      <c r="U1050">
        <v>0</v>
      </c>
      <c r="V1050">
        <v>0</v>
      </c>
      <c r="W1050">
        <v>0</v>
      </c>
      <c r="X1050">
        <v>0</v>
      </c>
      <c r="Y1050">
        <v>18873.855174709075</v>
      </c>
      <c r="Z1050">
        <v>171.0763321402396</v>
      </c>
      <c r="AA1050">
        <v>19044.931506849316</v>
      </c>
      <c r="AB1050" t="s">
        <v>242</v>
      </c>
      <c r="AC1050">
        <v>1</v>
      </c>
      <c r="AD1050">
        <v>3000</v>
      </c>
      <c r="AE1050">
        <v>0</v>
      </c>
      <c r="AF1050">
        <v>0</v>
      </c>
      <c r="AG1050">
        <v>25.185350102751045</v>
      </c>
      <c r="AH1050" t="s">
        <v>72</v>
      </c>
    </row>
    <row r="1051" spans="1:34" x14ac:dyDescent="0.3">
      <c r="A1051" t="s">
        <v>798</v>
      </c>
      <c r="B1051">
        <v>52200594</v>
      </c>
      <c r="C1051" t="s">
        <v>460</v>
      </c>
      <c r="D1051" t="s">
        <v>529</v>
      </c>
      <c r="E1051" t="s">
        <v>437</v>
      </c>
      <c r="F1051" t="s">
        <v>431</v>
      </c>
      <c r="G1051" t="s">
        <v>417</v>
      </c>
      <c r="H1051" t="s">
        <v>83</v>
      </c>
      <c r="J1051" t="s">
        <v>52</v>
      </c>
      <c r="K1051" s="15">
        <v>2034</v>
      </c>
      <c r="L1051" s="15">
        <v>0</v>
      </c>
      <c r="M1051" s="13">
        <v>45169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0.42990654205618739</v>
      </c>
      <c r="W1051">
        <v>0</v>
      </c>
      <c r="X1051">
        <v>0</v>
      </c>
      <c r="Y1051">
        <v>0.42990654205618739</v>
      </c>
      <c r="Z1051">
        <v>3.009345794393312E-2</v>
      </c>
      <c r="AA1051">
        <v>0.46000000000012053</v>
      </c>
      <c r="AB1051" t="s">
        <v>242</v>
      </c>
      <c r="AC1051">
        <v>1</v>
      </c>
      <c r="AD1051">
        <v>2034</v>
      </c>
      <c r="AE1051">
        <v>0</v>
      </c>
      <c r="AF1051">
        <v>0</v>
      </c>
      <c r="AG1051">
        <v>133.06542056074773</v>
      </c>
      <c r="AH1051" t="s">
        <v>72</v>
      </c>
    </row>
    <row r="1052" spans="1:34" x14ac:dyDescent="0.3">
      <c r="A1052" t="s">
        <v>798</v>
      </c>
      <c r="B1052">
        <v>82200014</v>
      </c>
      <c r="C1052" t="s">
        <v>108</v>
      </c>
      <c r="D1052" t="s">
        <v>533</v>
      </c>
      <c r="E1052" t="s">
        <v>440</v>
      </c>
      <c r="F1052" t="s">
        <v>433</v>
      </c>
      <c r="G1052" t="s">
        <v>82</v>
      </c>
      <c r="H1052" t="s">
        <v>83</v>
      </c>
      <c r="J1052" t="s">
        <v>416</v>
      </c>
      <c r="K1052" s="15">
        <v>0.15706127025923577</v>
      </c>
      <c r="L1052" s="15">
        <v>0</v>
      </c>
      <c r="M1052" s="13">
        <v>45169</v>
      </c>
      <c r="O1052">
        <v>0</v>
      </c>
      <c r="P1052">
        <v>0</v>
      </c>
      <c r="Q1052">
        <v>36059.502721243938</v>
      </c>
      <c r="R1052">
        <v>7017.5913659013231</v>
      </c>
      <c r="S1052">
        <v>59707.331133553227</v>
      </c>
      <c r="T1052">
        <v>0</v>
      </c>
      <c r="U1052">
        <v>0</v>
      </c>
      <c r="V1052">
        <v>507510.33794388117</v>
      </c>
      <c r="W1052">
        <v>0</v>
      </c>
      <c r="X1052">
        <v>0</v>
      </c>
      <c r="Y1052">
        <v>610294.76316457964</v>
      </c>
      <c r="Z1052">
        <v>39705.236835420408</v>
      </c>
      <c r="AA1052">
        <v>650000</v>
      </c>
      <c r="AB1052" t="s">
        <v>242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 t="s">
        <v>72</v>
      </c>
    </row>
    <row r="1053" spans="1:34" x14ac:dyDescent="0.3">
      <c r="A1053" t="s">
        <v>798</v>
      </c>
      <c r="B1053">
        <v>82200014</v>
      </c>
      <c r="C1053" t="s">
        <v>108</v>
      </c>
      <c r="D1053" t="s">
        <v>533</v>
      </c>
      <c r="E1053" t="s">
        <v>440</v>
      </c>
      <c r="F1053" t="s">
        <v>433</v>
      </c>
      <c r="G1053" t="s">
        <v>417</v>
      </c>
      <c r="H1053" t="s">
        <v>83</v>
      </c>
      <c r="J1053" t="s">
        <v>52</v>
      </c>
      <c r="K1053" s="15">
        <v>650000</v>
      </c>
      <c r="L1053" s="15">
        <v>0</v>
      </c>
      <c r="M1053" s="13">
        <v>45169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 t="s">
        <v>242</v>
      </c>
      <c r="AC1053">
        <v>1</v>
      </c>
      <c r="AD1053">
        <v>650000</v>
      </c>
      <c r="AE1053">
        <v>0</v>
      </c>
      <c r="AF1053">
        <v>0</v>
      </c>
      <c r="AG1053">
        <v>39705.236835420365</v>
      </c>
      <c r="AH1053" t="s">
        <v>58</v>
      </c>
    </row>
    <row r="1054" spans="1:34" x14ac:dyDescent="0.3">
      <c r="A1054" t="s">
        <v>798</v>
      </c>
      <c r="B1054">
        <v>4142300117</v>
      </c>
      <c r="C1054" t="s">
        <v>477</v>
      </c>
      <c r="D1054" t="s">
        <v>550</v>
      </c>
      <c r="E1054" t="s">
        <v>445</v>
      </c>
      <c r="F1054" t="s">
        <v>430</v>
      </c>
      <c r="G1054" t="s">
        <v>421</v>
      </c>
      <c r="H1054" t="s">
        <v>234</v>
      </c>
      <c r="J1054" t="s">
        <v>52</v>
      </c>
      <c r="K1054" s="15">
        <v>38000</v>
      </c>
      <c r="L1054" s="15">
        <v>0</v>
      </c>
      <c r="M1054" s="13">
        <v>45169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 t="s">
        <v>242</v>
      </c>
      <c r="AC1054">
        <v>2</v>
      </c>
      <c r="AD1054">
        <v>88000</v>
      </c>
      <c r="AE1054">
        <v>0</v>
      </c>
      <c r="AF1054">
        <v>0</v>
      </c>
      <c r="AG1054">
        <v>5757.0093457943949</v>
      </c>
      <c r="AH1054" t="s">
        <v>58</v>
      </c>
    </row>
    <row r="1055" spans="1:34" x14ac:dyDescent="0.3">
      <c r="A1055" t="s">
        <v>798</v>
      </c>
      <c r="B1055">
        <v>4142300729</v>
      </c>
      <c r="C1055" t="s">
        <v>499</v>
      </c>
      <c r="D1055" t="s">
        <v>571</v>
      </c>
      <c r="E1055" t="s">
        <v>445</v>
      </c>
      <c r="F1055" t="s">
        <v>430</v>
      </c>
      <c r="G1055" t="s">
        <v>421</v>
      </c>
      <c r="H1055" t="s">
        <v>234</v>
      </c>
      <c r="J1055" t="s">
        <v>450</v>
      </c>
      <c r="K1055" s="15">
        <v>90000</v>
      </c>
      <c r="L1055" s="15">
        <v>0</v>
      </c>
      <c r="M1055" s="13">
        <v>45169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207279.19626168226</v>
      </c>
      <c r="Y1055">
        <v>207279.19626168226</v>
      </c>
      <c r="Z1055">
        <v>14509.54373831776</v>
      </c>
      <c r="AA1055">
        <v>221788.74000000002</v>
      </c>
      <c r="AB1055" t="s">
        <v>242</v>
      </c>
      <c r="AC1055">
        <v>0</v>
      </c>
      <c r="AD1055">
        <v>0</v>
      </c>
      <c r="AE1055">
        <v>0</v>
      </c>
      <c r="AF1055">
        <v>90000</v>
      </c>
      <c r="AG1055">
        <v>5887.8504672897252</v>
      </c>
      <c r="AH1055" t="s">
        <v>72</v>
      </c>
    </row>
    <row r="1056" spans="1:34" x14ac:dyDescent="0.3">
      <c r="A1056" t="s">
        <v>798</v>
      </c>
      <c r="B1056">
        <v>4142300737</v>
      </c>
      <c r="C1056" t="s">
        <v>358</v>
      </c>
      <c r="D1056" t="s">
        <v>397</v>
      </c>
      <c r="E1056" t="s">
        <v>445</v>
      </c>
      <c r="F1056" t="s">
        <v>430</v>
      </c>
      <c r="G1056" t="s">
        <v>237</v>
      </c>
      <c r="H1056" t="s">
        <v>234</v>
      </c>
      <c r="J1056" t="s">
        <v>52</v>
      </c>
      <c r="K1056" s="15">
        <v>12000</v>
      </c>
      <c r="L1056" s="15">
        <v>0</v>
      </c>
      <c r="M1056" s="13">
        <v>45169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50467.289719626177</v>
      </c>
      <c r="Y1056">
        <v>50467.289719626177</v>
      </c>
      <c r="Z1056">
        <v>3532.7102803738326</v>
      </c>
      <c r="AA1056">
        <v>54000.000000000007</v>
      </c>
      <c r="AB1056" t="s">
        <v>242</v>
      </c>
      <c r="AC1056">
        <v>2</v>
      </c>
      <c r="AD1056">
        <v>18000</v>
      </c>
      <c r="AE1056">
        <v>0</v>
      </c>
      <c r="AF1056">
        <v>0</v>
      </c>
      <c r="AG1056">
        <v>1177.5700934579454</v>
      </c>
      <c r="AH1056" t="s">
        <v>58</v>
      </c>
    </row>
    <row r="1057" spans="1:34" x14ac:dyDescent="0.3">
      <c r="A1057" t="s">
        <v>798</v>
      </c>
      <c r="B1057">
        <v>4142301088</v>
      </c>
      <c r="C1057" t="s">
        <v>509</v>
      </c>
      <c r="D1057" t="s">
        <v>581</v>
      </c>
      <c r="E1057" t="s">
        <v>445</v>
      </c>
      <c r="F1057" t="s">
        <v>430</v>
      </c>
      <c r="G1057" t="s">
        <v>230</v>
      </c>
      <c r="H1057" t="s">
        <v>234</v>
      </c>
      <c r="J1057" t="s">
        <v>52</v>
      </c>
      <c r="K1057" s="15">
        <v>40000</v>
      </c>
      <c r="L1057" s="15">
        <v>0</v>
      </c>
      <c r="M1057" s="13">
        <v>45169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149532.71028037384</v>
      </c>
      <c r="Y1057">
        <v>149532.71028037384</v>
      </c>
      <c r="Z1057">
        <v>10467.289719626169</v>
      </c>
      <c r="AA1057">
        <v>160000</v>
      </c>
      <c r="AB1057" t="s">
        <v>242</v>
      </c>
      <c r="AC1057">
        <v>2</v>
      </c>
      <c r="AD1057">
        <v>90000</v>
      </c>
      <c r="AE1057">
        <v>0</v>
      </c>
      <c r="AF1057">
        <v>0</v>
      </c>
      <c r="AG1057">
        <v>5887.8504672897179</v>
      </c>
      <c r="AH1057" t="s">
        <v>58</v>
      </c>
    </row>
    <row r="1058" spans="1:34" x14ac:dyDescent="0.3">
      <c r="A1058" t="s">
        <v>798</v>
      </c>
      <c r="B1058">
        <v>4232300039</v>
      </c>
      <c r="C1058" t="s">
        <v>512</v>
      </c>
      <c r="D1058" t="s">
        <v>584</v>
      </c>
      <c r="E1058" t="s">
        <v>441</v>
      </c>
      <c r="F1058" t="s">
        <v>431</v>
      </c>
      <c r="G1058" t="s">
        <v>230</v>
      </c>
      <c r="H1058" t="s">
        <v>231</v>
      </c>
      <c r="J1058" t="s">
        <v>416</v>
      </c>
      <c r="K1058" s="15">
        <v>0.21090008901695556</v>
      </c>
      <c r="L1058" s="15">
        <v>0</v>
      </c>
      <c r="M1058" s="13">
        <v>45169</v>
      </c>
      <c r="O1058">
        <v>0</v>
      </c>
      <c r="P1058">
        <v>3235.3096350304822</v>
      </c>
      <c r="Q1058">
        <v>0</v>
      </c>
      <c r="R1058">
        <v>0</v>
      </c>
      <c r="S1058">
        <v>2205.2694162959779</v>
      </c>
      <c r="T1058">
        <v>16851.339220525762</v>
      </c>
      <c r="U1058">
        <v>0</v>
      </c>
      <c r="V1058">
        <v>0</v>
      </c>
      <c r="W1058">
        <v>99559.3345632813</v>
      </c>
      <c r="X1058">
        <v>0</v>
      </c>
      <c r="Y1058">
        <v>121851.25283513352</v>
      </c>
      <c r="Z1058">
        <v>8148.747164866495</v>
      </c>
      <c r="AA1058">
        <v>130000.00000000001</v>
      </c>
      <c r="AB1058" t="s">
        <v>242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 t="s">
        <v>72</v>
      </c>
    </row>
    <row r="1059" spans="1:34" x14ac:dyDescent="0.3">
      <c r="A1059" t="s">
        <v>798</v>
      </c>
      <c r="B1059">
        <v>4232300039</v>
      </c>
      <c r="C1059" t="s">
        <v>512</v>
      </c>
      <c r="D1059" t="s">
        <v>584</v>
      </c>
      <c r="E1059" t="s">
        <v>441</v>
      </c>
      <c r="F1059" t="s">
        <v>431</v>
      </c>
      <c r="G1059" t="s">
        <v>421</v>
      </c>
      <c r="H1059" t="s">
        <v>231</v>
      </c>
      <c r="J1059" t="s">
        <v>52</v>
      </c>
      <c r="K1059" s="15">
        <v>130000</v>
      </c>
      <c r="L1059" s="15">
        <v>0</v>
      </c>
      <c r="M1059" s="13">
        <v>45169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 t="s">
        <v>242</v>
      </c>
      <c r="AC1059">
        <v>1</v>
      </c>
      <c r="AD1059">
        <v>130000</v>
      </c>
      <c r="AE1059">
        <v>0</v>
      </c>
      <c r="AF1059">
        <v>0</v>
      </c>
      <c r="AG1059">
        <v>8148.7471648664941</v>
      </c>
      <c r="AH1059" t="s">
        <v>58</v>
      </c>
    </row>
    <row r="1060" spans="1:34" x14ac:dyDescent="0.3">
      <c r="A1060" t="s">
        <v>798</v>
      </c>
      <c r="B1060">
        <v>4302300002</v>
      </c>
      <c r="C1060" t="s">
        <v>246</v>
      </c>
      <c r="D1060" t="s">
        <v>589</v>
      </c>
      <c r="E1060" t="s">
        <v>447</v>
      </c>
      <c r="F1060" t="s">
        <v>433</v>
      </c>
      <c r="G1060" t="s">
        <v>417</v>
      </c>
      <c r="H1060" t="s">
        <v>83</v>
      </c>
      <c r="J1060" t="s">
        <v>52</v>
      </c>
      <c r="K1060" s="15">
        <v>440000</v>
      </c>
      <c r="L1060" s="15">
        <v>0</v>
      </c>
      <c r="M1060" s="13">
        <v>45169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 t="s">
        <v>242</v>
      </c>
      <c r="AC1060">
        <v>2</v>
      </c>
      <c r="AD1060">
        <v>490000</v>
      </c>
      <c r="AE1060">
        <v>0</v>
      </c>
      <c r="AF1060">
        <v>0</v>
      </c>
      <c r="AG1060">
        <v>30388.213573487308</v>
      </c>
      <c r="AH1060" t="s">
        <v>58</v>
      </c>
    </row>
    <row r="1061" spans="1:34" x14ac:dyDescent="0.3">
      <c r="A1061" t="s">
        <v>798</v>
      </c>
      <c r="B1061">
        <v>52200644</v>
      </c>
      <c r="C1061" t="s">
        <v>663</v>
      </c>
      <c r="D1061" t="s">
        <v>662</v>
      </c>
      <c r="E1061" t="s">
        <v>438</v>
      </c>
      <c r="F1061" t="s">
        <v>431</v>
      </c>
      <c r="G1061" t="s">
        <v>82</v>
      </c>
      <c r="H1061" t="s">
        <v>83</v>
      </c>
      <c r="J1061" t="s">
        <v>52</v>
      </c>
      <c r="K1061" s="15">
        <v>2500</v>
      </c>
      <c r="M1061" s="13">
        <v>45169</v>
      </c>
      <c r="O1061">
        <v>0</v>
      </c>
      <c r="P1061">
        <v>0</v>
      </c>
      <c r="Q1061">
        <v>0</v>
      </c>
      <c r="R1061">
        <v>972.01372879976952</v>
      </c>
      <c r="S1061">
        <v>47521.352919281788</v>
      </c>
      <c r="T1061">
        <v>0</v>
      </c>
      <c r="U1061">
        <v>0</v>
      </c>
      <c r="V1061">
        <v>86773.960906540771</v>
      </c>
      <c r="W1061">
        <v>0</v>
      </c>
      <c r="X1061">
        <v>0</v>
      </c>
      <c r="Y1061">
        <v>135267.32755462232</v>
      </c>
      <c r="Z1061">
        <v>9400.6719678075788</v>
      </c>
      <c r="AA1061">
        <v>144667.99952242989</v>
      </c>
      <c r="AB1061" t="s">
        <v>242</v>
      </c>
      <c r="AC1061">
        <v>1</v>
      </c>
      <c r="AD1061">
        <v>2500</v>
      </c>
      <c r="AE1061">
        <v>0</v>
      </c>
      <c r="AF1061">
        <v>0</v>
      </c>
      <c r="AG1061">
        <v>162.37472992148014</v>
      </c>
      <c r="AH1061" t="s">
        <v>72</v>
      </c>
    </row>
    <row r="1062" spans="1:34" x14ac:dyDescent="0.3">
      <c r="A1062" t="s">
        <v>798</v>
      </c>
      <c r="B1062">
        <v>4302300022</v>
      </c>
      <c r="C1062">
        <v>901019032918</v>
      </c>
      <c r="D1062" t="s">
        <v>275</v>
      </c>
      <c r="E1062" t="s">
        <v>447</v>
      </c>
      <c r="F1062" t="s">
        <v>433</v>
      </c>
      <c r="G1062" t="s">
        <v>232</v>
      </c>
      <c r="H1062" t="s">
        <v>83</v>
      </c>
      <c r="J1062" t="s">
        <v>425</v>
      </c>
      <c r="K1062" s="15">
        <v>600000</v>
      </c>
      <c r="L1062" s="15">
        <v>153</v>
      </c>
      <c r="M1062" s="13">
        <v>45170</v>
      </c>
      <c r="O1062">
        <v>153</v>
      </c>
      <c r="P1062">
        <v>0</v>
      </c>
      <c r="Q1062">
        <v>156053.34000000003</v>
      </c>
      <c r="R1062">
        <v>2895.55</v>
      </c>
      <c r="S1062">
        <v>132928.41758806302</v>
      </c>
      <c r="T1062">
        <v>0</v>
      </c>
      <c r="U1062">
        <v>0</v>
      </c>
      <c r="V1062">
        <v>1611444.2924119369</v>
      </c>
      <c r="W1062">
        <v>0</v>
      </c>
      <c r="X1062">
        <v>0</v>
      </c>
      <c r="Y1062">
        <v>1903474.6</v>
      </c>
      <c r="Z1062">
        <v>122106.08970000001</v>
      </c>
      <c r="AA1062">
        <v>2025580.6897</v>
      </c>
      <c r="AB1062" t="s">
        <v>242</v>
      </c>
      <c r="AC1062">
        <v>0</v>
      </c>
      <c r="AD1062">
        <v>0</v>
      </c>
      <c r="AE1062">
        <v>0</v>
      </c>
      <c r="AF1062">
        <v>642000</v>
      </c>
      <c r="AG1062">
        <v>42000</v>
      </c>
      <c r="AH1062" t="s">
        <v>72</v>
      </c>
    </row>
    <row r="1063" spans="1:34" x14ac:dyDescent="0.3">
      <c r="A1063" t="s">
        <v>798</v>
      </c>
      <c r="B1063">
        <v>52200247</v>
      </c>
      <c r="C1063">
        <v>23477201</v>
      </c>
      <c r="D1063" t="s">
        <v>135</v>
      </c>
      <c r="E1063" t="s">
        <v>436</v>
      </c>
      <c r="F1063" t="s">
        <v>431</v>
      </c>
      <c r="G1063" t="s">
        <v>82</v>
      </c>
      <c r="H1063" t="s">
        <v>83</v>
      </c>
      <c r="J1063" t="s">
        <v>52</v>
      </c>
      <c r="K1063" s="15">
        <v>1000</v>
      </c>
      <c r="L1063" s="15">
        <v>0</v>
      </c>
      <c r="M1063" s="13">
        <v>45170</v>
      </c>
      <c r="O1063">
        <v>0</v>
      </c>
      <c r="P1063">
        <v>0</v>
      </c>
      <c r="Q1063">
        <v>0</v>
      </c>
      <c r="R1063">
        <v>608.42492334599376</v>
      </c>
      <c r="S1063">
        <v>6587.7649035023051</v>
      </c>
      <c r="T1063">
        <v>0</v>
      </c>
      <c r="U1063">
        <v>0</v>
      </c>
      <c r="V1063">
        <v>46605.297542143431</v>
      </c>
      <c r="W1063">
        <v>0</v>
      </c>
      <c r="X1063">
        <v>0</v>
      </c>
      <c r="Y1063">
        <v>53801.487368991729</v>
      </c>
      <c r="Z1063">
        <v>3723.5143711952019</v>
      </c>
      <c r="AA1063">
        <v>57525.001740186934</v>
      </c>
      <c r="AB1063" t="s">
        <v>242</v>
      </c>
      <c r="AC1063">
        <v>5</v>
      </c>
      <c r="AD1063">
        <v>16000</v>
      </c>
      <c r="AE1063">
        <v>0</v>
      </c>
      <c r="AF1063">
        <v>0</v>
      </c>
      <c r="AG1063">
        <v>1034.7193875086173</v>
      </c>
      <c r="AH1063" t="s">
        <v>58</v>
      </c>
    </row>
    <row r="1064" spans="1:34" x14ac:dyDescent="0.3">
      <c r="A1064" t="s">
        <v>798</v>
      </c>
      <c r="B1064">
        <v>52201274</v>
      </c>
      <c r="C1064">
        <v>25806950</v>
      </c>
      <c r="D1064" t="s">
        <v>152</v>
      </c>
      <c r="E1064" t="s">
        <v>438</v>
      </c>
      <c r="F1064" t="s">
        <v>431</v>
      </c>
      <c r="G1064" t="s">
        <v>82</v>
      </c>
      <c r="H1064" t="s">
        <v>83</v>
      </c>
      <c r="J1064" t="s">
        <v>52</v>
      </c>
      <c r="K1064" s="15">
        <v>1500</v>
      </c>
      <c r="L1064" s="15">
        <v>0</v>
      </c>
      <c r="M1064" s="13">
        <v>45170</v>
      </c>
      <c r="O1064">
        <v>0</v>
      </c>
      <c r="P1064">
        <v>0</v>
      </c>
      <c r="Q1064">
        <v>0</v>
      </c>
      <c r="R1064">
        <v>852.66234535328329</v>
      </c>
      <c r="S1064">
        <v>17256.126959660203</v>
      </c>
      <c r="T1064">
        <v>0</v>
      </c>
      <c r="U1064">
        <v>0</v>
      </c>
      <c r="V1064">
        <v>82200.263157792826</v>
      </c>
      <c r="W1064">
        <v>0</v>
      </c>
      <c r="X1064">
        <v>0</v>
      </c>
      <c r="Y1064">
        <v>100309.05246280631</v>
      </c>
      <c r="Z1064">
        <v>6961.9473082217128</v>
      </c>
      <c r="AA1064">
        <v>107270.99977102803</v>
      </c>
      <c r="AB1064" t="s">
        <v>242</v>
      </c>
      <c r="AC1064">
        <v>2</v>
      </c>
      <c r="AD1064">
        <v>4500</v>
      </c>
      <c r="AE1064">
        <v>0</v>
      </c>
      <c r="AF1064">
        <v>0</v>
      </c>
      <c r="AG1064">
        <v>291.88445249974757</v>
      </c>
      <c r="AH1064" t="s">
        <v>58</v>
      </c>
    </row>
    <row r="1065" spans="1:34" x14ac:dyDescent="0.3">
      <c r="A1065" t="s">
        <v>798</v>
      </c>
      <c r="B1065">
        <v>62200100</v>
      </c>
      <c r="C1065">
        <v>10733912</v>
      </c>
      <c r="D1065" t="s">
        <v>896</v>
      </c>
      <c r="E1065" t="s">
        <v>435</v>
      </c>
      <c r="F1065" t="s">
        <v>432</v>
      </c>
      <c r="G1065" t="s">
        <v>82</v>
      </c>
      <c r="H1065" t="s">
        <v>82</v>
      </c>
      <c r="J1065" t="s">
        <v>52</v>
      </c>
      <c r="K1065" s="15">
        <v>500</v>
      </c>
      <c r="L1065" s="15">
        <v>0</v>
      </c>
      <c r="M1065" s="13">
        <v>45170</v>
      </c>
      <c r="O1065">
        <v>0</v>
      </c>
      <c r="P1065">
        <v>0</v>
      </c>
      <c r="Q1065">
        <v>0</v>
      </c>
      <c r="R1065">
        <v>0</v>
      </c>
      <c r="S1065">
        <v>17453.842644589182</v>
      </c>
      <c r="T1065">
        <v>0</v>
      </c>
      <c r="U1065">
        <v>0</v>
      </c>
      <c r="V1065">
        <v>22940.378989651166</v>
      </c>
      <c r="W1065">
        <v>0</v>
      </c>
      <c r="X1065">
        <v>0</v>
      </c>
      <c r="Y1065">
        <v>40394.221634240348</v>
      </c>
      <c r="Z1065">
        <v>0</v>
      </c>
      <c r="AA1065">
        <v>40394.221634240348</v>
      </c>
      <c r="AB1065" t="s">
        <v>242</v>
      </c>
      <c r="AC1065">
        <v>1</v>
      </c>
      <c r="AD1065">
        <v>500</v>
      </c>
      <c r="AE1065">
        <v>0</v>
      </c>
      <c r="AF1065">
        <v>0</v>
      </c>
      <c r="AG1065">
        <v>0</v>
      </c>
      <c r="AH1065" t="s">
        <v>72</v>
      </c>
    </row>
    <row r="1066" spans="1:34" x14ac:dyDescent="0.3">
      <c r="A1066" t="s">
        <v>798</v>
      </c>
      <c r="B1066">
        <v>52200112</v>
      </c>
      <c r="C1066">
        <v>25062909</v>
      </c>
      <c r="D1066" t="s">
        <v>132</v>
      </c>
      <c r="E1066" t="s">
        <v>436</v>
      </c>
      <c r="F1066" t="s">
        <v>431</v>
      </c>
      <c r="G1066" t="s">
        <v>82</v>
      </c>
      <c r="H1066" t="s">
        <v>83</v>
      </c>
      <c r="J1066" t="s">
        <v>52</v>
      </c>
      <c r="K1066" s="15">
        <v>1000</v>
      </c>
      <c r="L1066" s="15">
        <v>0</v>
      </c>
      <c r="M1066" s="13">
        <v>45172</v>
      </c>
      <c r="O1066">
        <v>0</v>
      </c>
      <c r="P1066">
        <v>0</v>
      </c>
      <c r="Q1066">
        <v>0</v>
      </c>
      <c r="R1066">
        <v>751.48319877328129</v>
      </c>
      <c r="S1066">
        <v>14276.928898866796</v>
      </c>
      <c r="T1066">
        <v>0</v>
      </c>
      <c r="U1066">
        <v>0</v>
      </c>
      <c r="V1066">
        <v>48171.217589309104</v>
      </c>
      <c r="W1066">
        <v>0</v>
      </c>
      <c r="X1066">
        <v>0</v>
      </c>
      <c r="Y1066">
        <v>63199.629686949178</v>
      </c>
      <c r="Z1066">
        <v>4371.3702541723133</v>
      </c>
      <c r="AA1066">
        <v>67570.999941121496</v>
      </c>
      <c r="AB1066" t="s">
        <v>242</v>
      </c>
      <c r="AC1066">
        <v>4</v>
      </c>
      <c r="AD1066">
        <v>3400</v>
      </c>
      <c r="AE1066">
        <v>0</v>
      </c>
      <c r="AF1066">
        <v>0</v>
      </c>
      <c r="AG1066">
        <v>219.7792746861025</v>
      </c>
      <c r="AH1066" t="s">
        <v>58</v>
      </c>
    </row>
    <row r="1067" spans="1:34" x14ac:dyDescent="0.3">
      <c r="A1067" t="s">
        <v>798</v>
      </c>
      <c r="B1067">
        <v>4142300697</v>
      </c>
      <c r="C1067">
        <v>10319648</v>
      </c>
      <c r="D1067" t="s">
        <v>276</v>
      </c>
      <c r="E1067" t="s">
        <v>445</v>
      </c>
      <c r="F1067" t="s">
        <v>430</v>
      </c>
      <c r="G1067" t="s">
        <v>237</v>
      </c>
      <c r="H1067" t="s">
        <v>234</v>
      </c>
      <c r="J1067" t="s">
        <v>425</v>
      </c>
      <c r="K1067" s="15">
        <v>70000</v>
      </c>
      <c r="L1067" s="15">
        <v>75</v>
      </c>
      <c r="M1067" s="13">
        <v>45173</v>
      </c>
      <c r="O1067">
        <v>75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132126.17130841123</v>
      </c>
      <c r="Y1067">
        <v>132201.17130841123</v>
      </c>
      <c r="Z1067">
        <v>9248.831991588786</v>
      </c>
      <c r="AA1067">
        <v>141450.00330000001</v>
      </c>
      <c r="AB1067" t="s">
        <v>242</v>
      </c>
      <c r="AC1067">
        <v>0</v>
      </c>
      <c r="AD1067">
        <v>0</v>
      </c>
      <c r="AE1067">
        <v>0</v>
      </c>
      <c r="AF1067">
        <v>74900</v>
      </c>
      <c r="AG1067">
        <v>4900</v>
      </c>
      <c r="AH1067" t="s">
        <v>72</v>
      </c>
    </row>
    <row r="1068" spans="1:34" x14ac:dyDescent="0.3">
      <c r="A1068" t="s">
        <v>798</v>
      </c>
      <c r="B1068">
        <v>52201087</v>
      </c>
      <c r="C1068">
        <v>26018254</v>
      </c>
      <c r="D1068" t="s">
        <v>149</v>
      </c>
      <c r="E1068" t="s">
        <v>438</v>
      </c>
      <c r="F1068" t="s">
        <v>431</v>
      </c>
      <c r="G1068" t="s">
        <v>82</v>
      </c>
      <c r="H1068" t="s">
        <v>83</v>
      </c>
      <c r="J1068" t="s">
        <v>52</v>
      </c>
      <c r="K1068" s="15">
        <v>2000</v>
      </c>
      <c r="L1068" s="15">
        <v>0</v>
      </c>
      <c r="M1068" s="13">
        <v>45173</v>
      </c>
      <c r="O1068">
        <v>0</v>
      </c>
      <c r="P1068">
        <v>0</v>
      </c>
      <c r="Q1068">
        <v>0</v>
      </c>
      <c r="R1068">
        <v>993.99681909238745</v>
      </c>
      <c r="S1068">
        <v>6528.2315594650436</v>
      </c>
      <c r="T1068">
        <v>0</v>
      </c>
      <c r="U1068">
        <v>0</v>
      </c>
      <c r="V1068">
        <v>36780.182457105089</v>
      </c>
      <c r="W1068">
        <v>0</v>
      </c>
      <c r="X1068">
        <v>0</v>
      </c>
      <c r="Y1068">
        <v>44302.410835662522</v>
      </c>
      <c r="Z1068">
        <v>3031.5889811599095</v>
      </c>
      <c r="AA1068">
        <v>47333.999816822434</v>
      </c>
      <c r="AB1068" t="s">
        <v>242</v>
      </c>
      <c r="AC1068">
        <v>1</v>
      </c>
      <c r="AD1068">
        <v>2000</v>
      </c>
      <c r="AE1068">
        <v>0</v>
      </c>
      <c r="AF1068">
        <v>0</v>
      </c>
      <c r="AG1068">
        <v>127.8969881649225</v>
      </c>
      <c r="AH1068" t="s">
        <v>72</v>
      </c>
    </row>
    <row r="1069" spans="1:34" x14ac:dyDescent="0.3">
      <c r="A1069" t="s">
        <v>798</v>
      </c>
      <c r="B1069">
        <v>42200038</v>
      </c>
      <c r="C1069" t="s">
        <v>452</v>
      </c>
      <c r="D1069" t="s">
        <v>521</v>
      </c>
      <c r="E1069" t="s">
        <v>437</v>
      </c>
      <c r="F1069" t="s">
        <v>430</v>
      </c>
      <c r="G1069" t="s">
        <v>230</v>
      </c>
      <c r="H1069" t="s">
        <v>231</v>
      </c>
      <c r="J1069" t="s">
        <v>52</v>
      </c>
      <c r="K1069" s="15">
        <v>1000</v>
      </c>
      <c r="L1069" s="15">
        <v>0</v>
      </c>
      <c r="M1069" s="13">
        <v>45173</v>
      </c>
      <c r="O1069">
        <v>0</v>
      </c>
      <c r="P1069">
        <v>0</v>
      </c>
      <c r="Q1069">
        <v>0</v>
      </c>
      <c r="R1069">
        <v>0</v>
      </c>
      <c r="S1069">
        <v>22274.732262417394</v>
      </c>
      <c r="T1069">
        <v>13437.291958053138</v>
      </c>
      <c r="U1069">
        <v>22429.906542056076</v>
      </c>
      <c r="V1069">
        <v>0</v>
      </c>
      <c r="W1069">
        <v>310280.37383177568</v>
      </c>
      <c r="X1069">
        <v>0</v>
      </c>
      <c r="Y1069">
        <v>368422.30459430232</v>
      </c>
      <c r="Z1069">
        <v>24230.330063231944</v>
      </c>
      <c r="AA1069">
        <v>392652.63465753425</v>
      </c>
      <c r="AB1069" t="s">
        <v>242</v>
      </c>
      <c r="AC1069">
        <v>7</v>
      </c>
      <c r="AD1069">
        <v>14500</v>
      </c>
      <c r="AE1069">
        <v>0</v>
      </c>
      <c r="AF1069">
        <v>0</v>
      </c>
      <c r="AG1069">
        <v>891.16526387085969</v>
      </c>
      <c r="AH1069" t="s">
        <v>58</v>
      </c>
    </row>
    <row r="1070" spans="1:34" x14ac:dyDescent="0.3">
      <c r="A1070" t="s">
        <v>798</v>
      </c>
      <c r="B1070">
        <v>4142300917</v>
      </c>
      <c r="C1070">
        <v>10433417</v>
      </c>
      <c r="D1070" t="s">
        <v>277</v>
      </c>
      <c r="E1070" t="s">
        <v>445</v>
      </c>
      <c r="F1070" t="s">
        <v>430</v>
      </c>
      <c r="G1070" t="s">
        <v>237</v>
      </c>
      <c r="H1070" t="s">
        <v>234</v>
      </c>
      <c r="J1070" t="s">
        <v>425</v>
      </c>
      <c r="K1070" s="15">
        <v>150000</v>
      </c>
      <c r="L1070" s="15">
        <v>75</v>
      </c>
      <c r="M1070" s="13">
        <v>45174</v>
      </c>
      <c r="O1070">
        <v>75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217005.64485981304</v>
      </c>
      <c r="Y1070">
        <v>217080.64485981304</v>
      </c>
      <c r="Z1070">
        <v>15190.395140186914</v>
      </c>
      <c r="AA1070">
        <v>232271.03999999995</v>
      </c>
      <c r="AB1070" t="s">
        <v>242</v>
      </c>
      <c r="AC1070">
        <v>0</v>
      </c>
      <c r="AD1070">
        <v>0</v>
      </c>
      <c r="AE1070">
        <v>0</v>
      </c>
      <c r="AF1070">
        <v>160500</v>
      </c>
      <c r="AG1070">
        <v>10500</v>
      </c>
      <c r="AH1070" t="s">
        <v>72</v>
      </c>
    </row>
    <row r="1071" spans="1:34" x14ac:dyDescent="0.3">
      <c r="A1071" t="s">
        <v>798</v>
      </c>
      <c r="B1071">
        <v>42201317</v>
      </c>
      <c r="C1071">
        <v>2757009008</v>
      </c>
      <c r="D1071" t="s">
        <v>832</v>
      </c>
      <c r="E1071" t="s">
        <v>439</v>
      </c>
      <c r="F1071" t="s">
        <v>430</v>
      </c>
      <c r="G1071" t="s">
        <v>230</v>
      </c>
      <c r="H1071" t="s">
        <v>234</v>
      </c>
      <c r="J1071" t="s">
        <v>52</v>
      </c>
      <c r="K1071" s="15">
        <v>1000</v>
      </c>
      <c r="L1071" s="15">
        <v>0</v>
      </c>
      <c r="M1071" s="13">
        <v>45174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412429.90654205612</v>
      </c>
      <c r="Y1071">
        <v>412429.90654205612</v>
      </c>
      <c r="Z1071">
        <v>28870.093457943931</v>
      </c>
      <c r="AA1071">
        <v>441300.00000000006</v>
      </c>
      <c r="AB1071" t="s">
        <v>242</v>
      </c>
      <c r="AC1071">
        <v>5</v>
      </c>
      <c r="AD1071">
        <v>5000</v>
      </c>
      <c r="AE1071">
        <v>0</v>
      </c>
      <c r="AF1071">
        <v>0</v>
      </c>
      <c r="AG1071">
        <v>327.10280373831779</v>
      </c>
      <c r="AH1071" t="s">
        <v>58</v>
      </c>
    </row>
    <row r="1072" spans="1:34" x14ac:dyDescent="0.3">
      <c r="A1072" t="s">
        <v>798</v>
      </c>
      <c r="B1072">
        <v>52200061</v>
      </c>
      <c r="C1072">
        <v>28231012</v>
      </c>
      <c r="D1072" t="s">
        <v>835</v>
      </c>
      <c r="E1072" t="s">
        <v>436</v>
      </c>
      <c r="F1072" t="s">
        <v>431</v>
      </c>
      <c r="G1072" t="s">
        <v>82</v>
      </c>
      <c r="H1072" t="s">
        <v>83</v>
      </c>
      <c r="J1072" t="s">
        <v>52</v>
      </c>
      <c r="K1072" s="15">
        <v>3500</v>
      </c>
      <c r="L1072" s="15">
        <v>0</v>
      </c>
      <c r="M1072" s="13">
        <v>45174</v>
      </c>
      <c r="O1072">
        <v>0</v>
      </c>
      <c r="P1072">
        <v>0</v>
      </c>
      <c r="Q1072">
        <v>0</v>
      </c>
      <c r="R1072">
        <v>611.82932185677896</v>
      </c>
      <c r="S1072">
        <v>0</v>
      </c>
      <c r="T1072">
        <v>0</v>
      </c>
      <c r="U1072">
        <v>0</v>
      </c>
      <c r="V1072">
        <v>52474.929699199274</v>
      </c>
      <c r="W1072">
        <v>0</v>
      </c>
      <c r="X1072">
        <v>0</v>
      </c>
      <c r="Y1072">
        <v>53086.759021056052</v>
      </c>
      <c r="Z1072">
        <v>3673.2450789439495</v>
      </c>
      <c r="AA1072">
        <v>56760.004099999998</v>
      </c>
      <c r="AB1072" t="s">
        <v>242</v>
      </c>
      <c r="AC1072">
        <v>11</v>
      </c>
      <c r="AD1072">
        <v>28000</v>
      </c>
      <c r="AE1072">
        <v>0</v>
      </c>
      <c r="AF1072">
        <v>0</v>
      </c>
      <c r="AG1072">
        <v>1810.3065911495094</v>
      </c>
      <c r="AH1072" t="s">
        <v>58</v>
      </c>
    </row>
    <row r="1073" spans="1:34" x14ac:dyDescent="0.3">
      <c r="A1073" t="s">
        <v>798</v>
      </c>
      <c r="B1073">
        <v>52200185</v>
      </c>
      <c r="C1073">
        <v>24837727</v>
      </c>
      <c r="D1073" t="s">
        <v>133</v>
      </c>
      <c r="E1073" t="s">
        <v>436</v>
      </c>
      <c r="F1073" t="s">
        <v>431</v>
      </c>
      <c r="G1073" t="s">
        <v>82</v>
      </c>
      <c r="H1073" t="s">
        <v>83</v>
      </c>
      <c r="J1073" t="s">
        <v>52</v>
      </c>
      <c r="K1073" s="15">
        <v>2000</v>
      </c>
      <c r="L1073" s="15">
        <v>0</v>
      </c>
      <c r="M1073" s="13">
        <v>45174</v>
      </c>
      <c r="O1073">
        <v>0</v>
      </c>
      <c r="P1073">
        <v>0</v>
      </c>
      <c r="Q1073">
        <v>0</v>
      </c>
      <c r="R1073">
        <v>936.71409510401645</v>
      </c>
      <c r="S1073">
        <v>17606.447209571754</v>
      </c>
      <c r="T1073">
        <v>0</v>
      </c>
      <c r="U1073">
        <v>0</v>
      </c>
      <c r="V1073">
        <v>51964.847111538125</v>
      </c>
      <c r="W1073">
        <v>0</v>
      </c>
      <c r="X1073">
        <v>0</v>
      </c>
      <c r="Y1073">
        <v>70508.008416213896</v>
      </c>
      <c r="Z1073">
        <v>4869.9906024776919</v>
      </c>
      <c r="AA1073">
        <v>75377.999018691582</v>
      </c>
      <c r="AB1073" t="s">
        <v>242</v>
      </c>
      <c r="AC1073">
        <v>2</v>
      </c>
      <c r="AD1073">
        <v>4000</v>
      </c>
      <c r="AE1073">
        <v>0</v>
      </c>
      <c r="AF1073">
        <v>0</v>
      </c>
      <c r="AG1073">
        <v>258.19624921241234</v>
      </c>
      <c r="AH1073" t="s">
        <v>58</v>
      </c>
    </row>
    <row r="1074" spans="1:34" x14ac:dyDescent="0.3">
      <c r="A1074" t="s">
        <v>798</v>
      </c>
      <c r="B1074">
        <v>52200619</v>
      </c>
      <c r="C1074">
        <v>6102060118</v>
      </c>
      <c r="D1074" t="s">
        <v>138</v>
      </c>
      <c r="E1074" t="s">
        <v>437</v>
      </c>
      <c r="F1074" t="s">
        <v>431</v>
      </c>
      <c r="G1074" t="s">
        <v>82</v>
      </c>
      <c r="H1074" t="s">
        <v>83</v>
      </c>
      <c r="J1074" t="s">
        <v>52</v>
      </c>
      <c r="K1074" s="15">
        <v>800</v>
      </c>
      <c r="L1074" s="15">
        <v>0</v>
      </c>
      <c r="M1074" s="13">
        <v>45174</v>
      </c>
      <c r="O1074">
        <v>0</v>
      </c>
      <c r="P1074">
        <v>0</v>
      </c>
      <c r="Q1074">
        <v>0</v>
      </c>
      <c r="R1074">
        <v>0</v>
      </c>
      <c r="S1074">
        <v>1612.785046728972</v>
      </c>
      <c r="T1074">
        <v>0</v>
      </c>
      <c r="U1074">
        <v>0</v>
      </c>
      <c r="V1074">
        <v>10196.728971962617</v>
      </c>
      <c r="W1074">
        <v>0</v>
      </c>
      <c r="X1074">
        <v>0</v>
      </c>
      <c r="Y1074">
        <v>11809.514018691589</v>
      </c>
      <c r="Z1074">
        <v>826.66598130841123</v>
      </c>
      <c r="AA1074">
        <v>12636.18</v>
      </c>
      <c r="AB1074" t="s">
        <v>242</v>
      </c>
      <c r="AC1074">
        <v>9</v>
      </c>
      <c r="AD1074">
        <v>5300</v>
      </c>
      <c r="AE1074">
        <v>0</v>
      </c>
      <c r="AF1074">
        <v>0</v>
      </c>
      <c r="AG1074">
        <v>346.72897196261681</v>
      </c>
      <c r="AH1074" t="s">
        <v>58</v>
      </c>
    </row>
    <row r="1075" spans="1:34" x14ac:dyDescent="0.3">
      <c r="A1075" t="s">
        <v>798</v>
      </c>
      <c r="B1075">
        <v>2200002</v>
      </c>
      <c r="C1075" t="s">
        <v>645</v>
      </c>
      <c r="D1075" t="s">
        <v>407</v>
      </c>
      <c r="E1075" t="s">
        <v>435</v>
      </c>
      <c r="F1075" t="s">
        <v>426</v>
      </c>
      <c r="G1075" t="s">
        <v>235</v>
      </c>
      <c r="H1075" t="s">
        <v>235</v>
      </c>
      <c r="J1075" t="s">
        <v>52</v>
      </c>
      <c r="K1075" s="15">
        <v>5000</v>
      </c>
      <c r="M1075" s="13">
        <v>45174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103625</v>
      </c>
      <c r="W1075">
        <v>0</v>
      </c>
      <c r="X1075">
        <v>0</v>
      </c>
      <c r="Y1075">
        <v>103625</v>
      </c>
      <c r="Z1075">
        <v>0</v>
      </c>
      <c r="AA1075">
        <v>103625</v>
      </c>
      <c r="AB1075" t="s">
        <v>242</v>
      </c>
      <c r="AC1075">
        <v>5</v>
      </c>
      <c r="AD1075">
        <v>25000</v>
      </c>
      <c r="AE1075">
        <v>0</v>
      </c>
      <c r="AF1075">
        <v>0</v>
      </c>
      <c r="AG1075">
        <v>0</v>
      </c>
      <c r="AH1075" t="s">
        <v>58</v>
      </c>
    </row>
    <row r="1076" spans="1:34" x14ac:dyDescent="0.3">
      <c r="A1076" t="s">
        <v>798</v>
      </c>
      <c r="B1076">
        <v>2200003</v>
      </c>
      <c r="C1076" t="s">
        <v>646</v>
      </c>
      <c r="D1076" t="s">
        <v>407</v>
      </c>
      <c r="E1076" t="s">
        <v>435</v>
      </c>
      <c r="F1076" t="s">
        <v>426</v>
      </c>
      <c r="G1076" t="s">
        <v>235</v>
      </c>
      <c r="H1076" t="s">
        <v>235</v>
      </c>
      <c r="J1076" t="s">
        <v>52</v>
      </c>
      <c r="K1076" s="15">
        <v>5000</v>
      </c>
      <c r="M1076" s="13">
        <v>45174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113250</v>
      </c>
      <c r="W1076">
        <v>0</v>
      </c>
      <c r="X1076">
        <v>0</v>
      </c>
      <c r="Y1076">
        <v>113250</v>
      </c>
      <c r="Z1076">
        <v>0</v>
      </c>
      <c r="AA1076">
        <v>113250</v>
      </c>
      <c r="AB1076" t="s">
        <v>242</v>
      </c>
      <c r="AC1076">
        <v>5</v>
      </c>
      <c r="AD1076">
        <v>25000</v>
      </c>
      <c r="AE1076">
        <v>0</v>
      </c>
      <c r="AF1076">
        <v>0</v>
      </c>
      <c r="AG1076">
        <v>0</v>
      </c>
      <c r="AH1076" t="s">
        <v>58</v>
      </c>
    </row>
    <row r="1077" spans="1:34" x14ac:dyDescent="0.3">
      <c r="A1077" t="s">
        <v>798</v>
      </c>
      <c r="B1077">
        <v>52200012</v>
      </c>
      <c r="C1077" t="s">
        <v>638</v>
      </c>
      <c r="D1077" t="s">
        <v>637</v>
      </c>
      <c r="E1077" t="s">
        <v>435</v>
      </c>
      <c r="F1077" t="s">
        <v>431</v>
      </c>
      <c r="G1077" t="s">
        <v>230</v>
      </c>
      <c r="H1077" t="s">
        <v>231</v>
      </c>
      <c r="J1077" t="s">
        <v>52</v>
      </c>
      <c r="K1077" s="15">
        <v>2500</v>
      </c>
      <c r="M1077" s="13">
        <v>45174</v>
      </c>
      <c r="O1077">
        <v>4706.7810160305471</v>
      </c>
      <c r="P1077">
        <v>0</v>
      </c>
      <c r="Q1077">
        <v>0</v>
      </c>
      <c r="R1077">
        <v>0</v>
      </c>
      <c r="S1077">
        <v>0</v>
      </c>
      <c r="T1077">
        <v>23021.699985018171</v>
      </c>
      <c r="U1077">
        <v>0</v>
      </c>
      <c r="V1077">
        <v>0</v>
      </c>
      <c r="W1077">
        <v>42990.654205607476</v>
      </c>
      <c r="X1077">
        <v>0</v>
      </c>
      <c r="Y1077">
        <v>70719.135206656196</v>
      </c>
      <c r="Z1077">
        <v>4620.8647933437951</v>
      </c>
      <c r="AA1077">
        <v>75339.999999999985</v>
      </c>
      <c r="AB1077" t="s">
        <v>242</v>
      </c>
      <c r="AC1077">
        <v>7</v>
      </c>
      <c r="AD1077">
        <v>16300</v>
      </c>
      <c r="AE1077">
        <v>0</v>
      </c>
      <c r="AF1077">
        <v>0</v>
      </c>
      <c r="AG1077">
        <v>994.83614123564303</v>
      </c>
      <c r="AH1077" t="s">
        <v>58</v>
      </c>
    </row>
    <row r="1078" spans="1:34" x14ac:dyDescent="0.3">
      <c r="A1078" t="s">
        <v>798</v>
      </c>
      <c r="B1078">
        <v>62200092</v>
      </c>
      <c r="C1078" t="s">
        <v>659</v>
      </c>
      <c r="D1078" t="s">
        <v>658</v>
      </c>
      <c r="E1078" t="s">
        <v>435</v>
      </c>
      <c r="F1078" t="s">
        <v>432</v>
      </c>
      <c r="G1078" t="s">
        <v>235</v>
      </c>
      <c r="H1078" t="s">
        <v>235</v>
      </c>
      <c r="J1078" t="s">
        <v>52</v>
      </c>
      <c r="K1078" s="15">
        <v>3000</v>
      </c>
      <c r="M1078" s="13">
        <v>45174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57618.739999999991</v>
      </c>
      <c r="W1078">
        <v>0</v>
      </c>
      <c r="X1078">
        <v>0</v>
      </c>
      <c r="Y1078">
        <v>57618.739999999991</v>
      </c>
      <c r="Z1078">
        <v>0</v>
      </c>
      <c r="AA1078">
        <v>57618.739999999991</v>
      </c>
      <c r="AB1078" t="s">
        <v>242</v>
      </c>
      <c r="AC1078">
        <v>2</v>
      </c>
      <c r="AD1078">
        <v>6000</v>
      </c>
      <c r="AE1078">
        <v>0</v>
      </c>
      <c r="AF1078">
        <v>0</v>
      </c>
      <c r="AG1078">
        <v>0</v>
      </c>
      <c r="AH1078" t="s">
        <v>58</v>
      </c>
    </row>
    <row r="1079" spans="1:34" x14ac:dyDescent="0.3">
      <c r="A1079" t="s">
        <v>798</v>
      </c>
      <c r="B1079">
        <v>62200092</v>
      </c>
      <c r="C1079" t="s">
        <v>659</v>
      </c>
      <c r="D1079" t="s">
        <v>658</v>
      </c>
      <c r="E1079" t="s">
        <v>435</v>
      </c>
      <c r="F1079" t="s">
        <v>432</v>
      </c>
      <c r="G1079" t="s">
        <v>235</v>
      </c>
      <c r="H1079" t="s">
        <v>235</v>
      </c>
      <c r="J1079" t="s">
        <v>52</v>
      </c>
      <c r="K1079" s="15">
        <v>3000</v>
      </c>
      <c r="M1079" s="13">
        <v>45174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54618.739999999991</v>
      </c>
      <c r="W1079">
        <v>0</v>
      </c>
      <c r="X1079">
        <v>0</v>
      </c>
      <c r="Y1079">
        <v>54618.739999999991</v>
      </c>
      <c r="Z1079">
        <v>0</v>
      </c>
      <c r="AA1079">
        <v>54618.739999999991</v>
      </c>
      <c r="AB1079" t="s">
        <v>242</v>
      </c>
      <c r="AC1079">
        <v>3</v>
      </c>
      <c r="AD1079">
        <v>9000</v>
      </c>
      <c r="AE1079">
        <v>0</v>
      </c>
      <c r="AF1079">
        <v>0</v>
      </c>
      <c r="AG1079">
        <v>0</v>
      </c>
      <c r="AH1079" t="s">
        <v>58</v>
      </c>
    </row>
    <row r="1080" spans="1:34" x14ac:dyDescent="0.3">
      <c r="A1080" t="s">
        <v>798</v>
      </c>
      <c r="B1080">
        <v>62200095</v>
      </c>
      <c r="C1080" t="s">
        <v>640</v>
      </c>
      <c r="D1080" t="s">
        <v>639</v>
      </c>
      <c r="E1080" t="s">
        <v>435</v>
      </c>
      <c r="F1080" t="s">
        <v>432</v>
      </c>
      <c r="G1080" t="s">
        <v>235</v>
      </c>
      <c r="H1080" t="s">
        <v>235</v>
      </c>
      <c r="J1080" t="s">
        <v>52</v>
      </c>
      <c r="K1080" s="15">
        <v>2000</v>
      </c>
      <c r="M1080" s="13">
        <v>45174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44352.790000000008</v>
      </c>
      <c r="W1080">
        <v>0</v>
      </c>
      <c r="X1080">
        <v>0</v>
      </c>
      <c r="Y1080">
        <v>44352.790000000008</v>
      </c>
      <c r="Z1080">
        <v>0</v>
      </c>
      <c r="AA1080">
        <v>44352.790000000008</v>
      </c>
      <c r="AB1080" t="s">
        <v>242</v>
      </c>
      <c r="AC1080">
        <v>6</v>
      </c>
      <c r="AD1080">
        <v>12000</v>
      </c>
      <c r="AE1080">
        <v>0</v>
      </c>
      <c r="AF1080">
        <v>0</v>
      </c>
      <c r="AG1080">
        <v>0</v>
      </c>
      <c r="AH1080" t="s">
        <v>58</v>
      </c>
    </row>
    <row r="1081" spans="1:34" x14ac:dyDescent="0.3">
      <c r="A1081" t="s">
        <v>798</v>
      </c>
      <c r="B1081">
        <v>52200015</v>
      </c>
      <c r="C1081" t="s">
        <v>601</v>
      </c>
      <c r="D1081" t="s">
        <v>600</v>
      </c>
      <c r="E1081" t="s">
        <v>435</v>
      </c>
      <c r="F1081" t="s">
        <v>431</v>
      </c>
      <c r="G1081" t="s">
        <v>230</v>
      </c>
      <c r="H1081" t="s">
        <v>231</v>
      </c>
      <c r="J1081" t="s">
        <v>672</v>
      </c>
      <c r="M1081" s="13">
        <v>45174</v>
      </c>
      <c r="O1081">
        <v>5500</v>
      </c>
      <c r="P1081">
        <v>0</v>
      </c>
      <c r="Q1081">
        <v>0</v>
      </c>
      <c r="R1081">
        <v>0</v>
      </c>
      <c r="S1081">
        <v>0</v>
      </c>
      <c r="T1081">
        <v>18691.58878504673</v>
      </c>
      <c r="U1081">
        <v>0</v>
      </c>
      <c r="V1081">
        <v>0</v>
      </c>
      <c r="W1081">
        <v>46728.971962616823</v>
      </c>
      <c r="X1081">
        <v>0</v>
      </c>
      <c r="Y1081">
        <v>70920.560747663549</v>
      </c>
      <c r="Z1081">
        <v>4579.4392523364486</v>
      </c>
      <c r="AA1081">
        <v>75500</v>
      </c>
      <c r="AB1081" t="s">
        <v>242</v>
      </c>
      <c r="AC1081">
        <v>1</v>
      </c>
      <c r="AD1081">
        <v>1000</v>
      </c>
      <c r="AE1081">
        <v>0</v>
      </c>
      <c r="AF1081">
        <v>0</v>
      </c>
      <c r="AG1081">
        <v>64.796213713731504</v>
      </c>
      <c r="AH1081" t="s">
        <v>58</v>
      </c>
    </row>
    <row r="1082" spans="1:34" x14ac:dyDescent="0.3">
      <c r="A1082" t="s">
        <v>798</v>
      </c>
      <c r="B1082">
        <v>12200041</v>
      </c>
      <c r="C1082">
        <v>23113175</v>
      </c>
      <c r="D1082" t="s">
        <v>78</v>
      </c>
      <c r="E1082" t="s">
        <v>435</v>
      </c>
      <c r="F1082" t="s">
        <v>427</v>
      </c>
      <c r="G1082" t="s">
        <v>82</v>
      </c>
      <c r="H1082" t="s">
        <v>82</v>
      </c>
      <c r="J1082" t="s">
        <v>52</v>
      </c>
      <c r="K1082" s="15">
        <v>5000</v>
      </c>
      <c r="L1082" s="15">
        <v>0</v>
      </c>
      <c r="M1082" s="13">
        <v>45175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162565.03142572055</v>
      </c>
      <c r="W1082">
        <v>0</v>
      </c>
      <c r="X1082">
        <v>0</v>
      </c>
      <c r="Y1082">
        <v>162565.03142572055</v>
      </c>
      <c r="Z1082">
        <v>0</v>
      </c>
      <c r="AA1082">
        <v>162565.03142572055</v>
      </c>
      <c r="AB1082" t="s">
        <v>242</v>
      </c>
      <c r="AC1082">
        <v>16</v>
      </c>
      <c r="AD1082">
        <v>60000</v>
      </c>
      <c r="AE1082">
        <v>0</v>
      </c>
      <c r="AF1082">
        <v>0</v>
      </c>
      <c r="AG1082">
        <v>0</v>
      </c>
      <c r="AH1082" t="s">
        <v>58</v>
      </c>
    </row>
    <row r="1083" spans="1:34" x14ac:dyDescent="0.3">
      <c r="A1083" t="s">
        <v>798</v>
      </c>
      <c r="B1083">
        <v>42200052</v>
      </c>
      <c r="C1083" t="s">
        <v>90</v>
      </c>
      <c r="D1083" t="s">
        <v>121</v>
      </c>
      <c r="E1083" t="s">
        <v>437</v>
      </c>
      <c r="F1083" t="s">
        <v>430</v>
      </c>
      <c r="G1083" t="s">
        <v>230</v>
      </c>
      <c r="H1083" t="s">
        <v>231</v>
      </c>
      <c r="J1083" t="s">
        <v>52</v>
      </c>
      <c r="K1083" s="15">
        <v>5000</v>
      </c>
      <c r="L1083" s="15">
        <v>0</v>
      </c>
      <c r="M1083" s="13">
        <v>45175</v>
      </c>
      <c r="O1083">
        <v>0</v>
      </c>
      <c r="P1083">
        <v>2766.7496385595327</v>
      </c>
      <c r="Q1083">
        <v>0</v>
      </c>
      <c r="R1083">
        <v>0</v>
      </c>
      <c r="S1083">
        <v>5574.6712328767117</v>
      </c>
      <c r="T1083">
        <v>21246.028375178008</v>
      </c>
      <c r="U1083">
        <v>14018.691588785046</v>
      </c>
      <c r="V1083">
        <v>0</v>
      </c>
      <c r="W1083">
        <v>135514.01869158878</v>
      </c>
      <c r="X1083">
        <v>0</v>
      </c>
      <c r="Y1083">
        <v>179120.15952698808</v>
      </c>
      <c r="Z1083">
        <v>11954.51170588863</v>
      </c>
      <c r="AA1083">
        <v>191074.67123287672</v>
      </c>
      <c r="AB1083" t="s">
        <v>242</v>
      </c>
      <c r="AC1083">
        <v>1</v>
      </c>
      <c r="AD1083">
        <v>5000</v>
      </c>
      <c r="AE1083">
        <v>0</v>
      </c>
      <c r="AF1083">
        <v>0</v>
      </c>
      <c r="AG1083">
        <v>311.84343429828732</v>
      </c>
      <c r="AH1083" t="s">
        <v>72</v>
      </c>
    </row>
    <row r="1084" spans="1:34" x14ac:dyDescent="0.3">
      <c r="A1084" t="s">
        <v>798</v>
      </c>
      <c r="B1084">
        <v>42200737</v>
      </c>
      <c r="C1084">
        <v>2754011893</v>
      </c>
      <c r="D1084" t="s">
        <v>126</v>
      </c>
      <c r="E1084" t="s">
        <v>439</v>
      </c>
      <c r="F1084" t="s">
        <v>430</v>
      </c>
      <c r="G1084" t="s">
        <v>233</v>
      </c>
      <c r="H1084" t="s">
        <v>234</v>
      </c>
      <c r="J1084" t="s">
        <v>52</v>
      </c>
      <c r="K1084" s="15">
        <v>1000</v>
      </c>
      <c r="L1084" s="15">
        <v>0</v>
      </c>
      <c r="M1084" s="13">
        <v>45175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574776.5420560746</v>
      </c>
      <c r="Y1084">
        <v>574776.5420560746</v>
      </c>
      <c r="Z1084">
        <v>40234.357943925228</v>
      </c>
      <c r="AA1084">
        <v>615010.89999999979</v>
      </c>
      <c r="AB1084" t="s">
        <v>242</v>
      </c>
      <c r="AC1084">
        <v>4</v>
      </c>
      <c r="AD1084">
        <v>4000</v>
      </c>
      <c r="AE1084">
        <v>0</v>
      </c>
      <c r="AF1084">
        <v>0</v>
      </c>
      <c r="AG1084">
        <v>261.68224299065423</v>
      </c>
      <c r="AH1084" t="s">
        <v>58</v>
      </c>
    </row>
    <row r="1085" spans="1:34" x14ac:dyDescent="0.3">
      <c r="A1085" t="s">
        <v>798</v>
      </c>
      <c r="B1085">
        <v>42200889</v>
      </c>
      <c r="C1085">
        <v>2754011907</v>
      </c>
      <c r="D1085" t="s">
        <v>126</v>
      </c>
      <c r="E1085" t="s">
        <v>439</v>
      </c>
      <c r="F1085" t="s">
        <v>430</v>
      </c>
      <c r="G1085" t="s">
        <v>233</v>
      </c>
      <c r="H1085" t="s">
        <v>234</v>
      </c>
      <c r="J1085" t="s">
        <v>52</v>
      </c>
      <c r="K1085" s="15">
        <v>1000</v>
      </c>
      <c r="L1085" s="15">
        <v>0</v>
      </c>
      <c r="M1085" s="13">
        <v>45175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384804.67289719632</v>
      </c>
      <c r="Y1085">
        <v>384804.67289719632</v>
      </c>
      <c r="Z1085">
        <v>26936.327102803745</v>
      </c>
      <c r="AA1085">
        <v>411741.00000000006</v>
      </c>
      <c r="AB1085" t="s">
        <v>242</v>
      </c>
      <c r="AC1085">
        <v>2</v>
      </c>
      <c r="AD1085">
        <v>2000</v>
      </c>
      <c r="AE1085">
        <v>0</v>
      </c>
      <c r="AF1085">
        <v>0</v>
      </c>
      <c r="AG1085">
        <v>130.84112149532712</v>
      </c>
      <c r="AH1085" t="s">
        <v>58</v>
      </c>
    </row>
    <row r="1086" spans="1:34" x14ac:dyDescent="0.3">
      <c r="A1086" t="s">
        <v>798</v>
      </c>
      <c r="B1086">
        <v>4302300040</v>
      </c>
      <c r="C1086" t="s">
        <v>109</v>
      </c>
      <c r="D1086" t="s">
        <v>226</v>
      </c>
      <c r="E1086" t="s">
        <v>447</v>
      </c>
      <c r="F1086" t="s">
        <v>433</v>
      </c>
      <c r="G1086" t="s">
        <v>417</v>
      </c>
      <c r="H1086" t="s">
        <v>83</v>
      </c>
      <c r="J1086" t="s">
        <v>52</v>
      </c>
      <c r="K1086" s="15">
        <v>37600</v>
      </c>
      <c r="L1086" s="15">
        <v>0</v>
      </c>
      <c r="M1086" s="13">
        <v>45175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 t="s">
        <v>242</v>
      </c>
      <c r="AC1086">
        <v>4</v>
      </c>
      <c r="AD1086">
        <v>294800</v>
      </c>
      <c r="AE1086">
        <v>0</v>
      </c>
      <c r="AF1086">
        <v>0</v>
      </c>
      <c r="AG1086">
        <v>17750.201644396941</v>
      </c>
      <c r="AH1086" t="s">
        <v>58</v>
      </c>
    </row>
    <row r="1087" spans="1:34" x14ac:dyDescent="0.3">
      <c r="A1087" t="s">
        <v>798</v>
      </c>
      <c r="B1087">
        <v>52201323</v>
      </c>
      <c r="C1087">
        <v>26835889</v>
      </c>
      <c r="D1087" t="s">
        <v>877</v>
      </c>
      <c r="E1087" t="s">
        <v>438</v>
      </c>
      <c r="F1087" t="s">
        <v>431</v>
      </c>
      <c r="G1087" t="s">
        <v>82</v>
      </c>
      <c r="H1087" t="s">
        <v>83</v>
      </c>
      <c r="J1087" t="s">
        <v>52</v>
      </c>
      <c r="K1087" s="15">
        <v>500</v>
      </c>
      <c r="L1087" s="15">
        <v>0</v>
      </c>
      <c r="M1087" s="13">
        <v>45176</v>
      </c>
      <c r="O1087">
        <v>0</v>
      </c>
      <c r="P1087">
        <v>0</v>
      </c>
      <c r="Q1087">
        <v>0</v>
      </c>
      <c r="R1087">
        <v>918.83863121310264</v>
      </c>
      <c r="S1087">
        <v>15715.362957009911</v>
      </c>
      <c r="T1087">
        <v>0</v>
      </c>
      <c r="U1087">
        <v>0</v>
      </c>
      <c r="V1087">
        <v>48109.079118336827</v>
      </c>
      <c r="W1087">
        <v>0</v>
      </c>
      <c r="X1087">
        <v>0</v>
      </c>
      <c r="Y1087">
        <v>64743.280706559846</v>
      </c>
      <c r="Z1087">
        <v>4467.7109452742725</v>
      </c>
      <c r="AA1087">
        <v>69210.99165183412</v>
      </c>
      <c r="AB1087" t="s">
        <v>242</v>
      </c>
      <c r="AC1087">
        <v>7</v>
      </c>
      <c r="AD1087">
        <v>5000</v>
      </c>
      <c r="AE1087">
        <v>0</v>
      </c>
      <c r="AF1087">
        <v>0</v>
      </c>
      <c r="AG1087">
        <v>322.44738708870767</v>
      </c>
      <c r="AH1087" t="s">
        <v>58</v>
      </c>
    </row>
    <row r="1088" spans="1:34" x14ac:dyDescent="0.3">
      <c r="A1088" t="s">
        <v>798</v>
      </c>
      <c r="B1088">
        <v>4142300221</v>
      </c>
      <c r="C1088">
        <v>10089343</v>
      </c>
      <c r="D1088" t="s">
        <v>194</v>
      </c>
      <c r="E1088" t="s">
        <v>445</v>
      </c>
      <c r="F1088" t="s">
        <v>430</v>
      </c>
      <c r="G1088" t="s">
        <v>230</v>
      </c>
      <c r="H1088" t="s">
        <v>234</v>
      </c>
      <c r="J1088" t="s">
        <v>52</v>
      </c>
      <c r="K1088" s="15">
        <v>15000</v>
      </c>
      <c r="L1088" s="15">
        <v>0</v>
      </c>
      <c r="M1088" s="13">
        <v>45176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144451.4018691589</v>
      </c>
      <c r="Y1088">
        <v>144451.4018691589</v>
      </c>
      <c r="Z1088">
        <v>10111.598130841125</v>
      </c>
      <c r="AA1088">
        <v>154563.00000000003</v>
      </c>
      <c r="AB1088" t="s">
        <v>242</v>
      </c>
      <c r="AC1088">
        <v>3</v>
      </c>
      <c r="AD1088">
        <v>40000</v>
      </c>
      <c r="AE1088">
        <v>0</v>
      </c>
      <c r="AF1088">
        <v>0</v>
      </c>
      <c r="AG1088">
        <v>2616.8224299065423</v>
      </c>
      <c r="AH1088" t="s">
        <v>58</v>
      </c>
    </row>
    <row r="1089" spans="1:34" x14ac:dyDescent="0.3">
      <c r="A1089" t="s">
        <v>798</v>
      </c>
      <c r="B1089">
        <v>4142300377</v>
      </c>
      <c r="C1089">
        <v>10166278</v>
      </c>
      <c r="D1089" t="s">
        <v>917</v>
      </c>
      <c r="E1089" t="s">
        <v>445</v>
      </c>
      <c r="F1089" t="s">
        <v>430</v>
      </c>
      <c r="G1089" t="s">
        <v>230</v>
      </c>
      <c r="H1089" t="s">
        <v>234</v>
      </c>
      <c r="J1089" t="s">
        <v>52</v>
      </c>
      <c r="K1089" s="15">
        <v>20000</v>
      </c>
      <c r="L1089" s="15">
        <v>0</v>
      </c>
      <c r="M1089" s="13">
        <v>45176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663290.48777365265</v>
      </c>
      <c r="Y1089">
        <v>663290.48777365265</v>
      </c>
      <c r="Z1089">
        <v>46430.334144155691</v>
      </c>
      <c r="AA1089">
        <v>709720.82191780838</v>
      </c>
      <c r="AB1089" t="s">
        <v>242</v>
      </c>
      <c r="AC1089">
        <v>2</v>
      </c>
      <c r="AD1089">
        <v>40000</v>
      </c>
      <c r="AE1089">
        <v>0</v>
      </c>
      <c r="AF1089">
        <v>0</v>
      </c>
      <c r="AG1089">
        <v>2616.8224299065405</v>
      </c>
      <c r="AH1089" t="s">
        <v>58</v>
      </c>
    </row>
    <row r="1090" spans="1:34" x14ac:dyDescent="0.3">
      <c r="A1090" t="s">
        <v>798</v>
      </c>
      <c r="B1090">
        <v>42200022</v>
      </c>
      <c r="C1090" t="s">
        <v>451</v>
      </c>
      <c r="D1090" t="s">
        <v>520</v>
      </c>
      <c r="E1090" t="s">
        <v>440</v>
      </c>
      <c r="F1090" t="s">
        <v>430</v>
      </c>
      <c r="G1090" t="s">
        <v>82</v>
      </c>
      <c r="H1090" t="s">
        <v>83</v>
      </c>
      <c r="J1090" t="s">
        <v>416</v>
      </c>
      <c r="K1090" s="15">
        <v>0.28387385516255137</v>
      </c>
      <c r="L1090" s="15">
        <v>0</v>
      </c>
      <c r="M1090" s="13">
        <v>45176</v>
      </c>
      <c r="O1090">
        <v>0</v>
      </c>
      <c r="P1090">
        <v>0</v>
      </c>
      <c r="Q1090">
        <v>2136.7986747503242</v>
      </c>
      <c r="R1090">
        <v>22610.959735836153</v>
      </c>
      <c r="S1090">
        <v>10403.00695830175</v>
      </c>
      <c r="T1090">
        <v>0</v>
      </c>
      <c r="U1090">
        <v>0</v>
      </c>
      <c r="V1090">
        <v>8524.321629935188</v>
      </c>
      <c r="W1090">
        <v>0</v>
      </c>
      <c r="X1090">
        <v>0</v>
      </c>
      <c r="Y1090">
        <v>43675.086998823419</v>
      </c>
      <c r="Z1090">
        <v>1324.9130011765858</v>
      </c>
      <c r="AA1090">
        <v>45000.000000000007</v>
      </c>
      <c r="AB1090" t="s">
        <v>242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 t="s">
        <v>72</v>
      </c>
    </row>
    <row r="1091" spans="1:34" x14ac:dyDescent="0.3">
      <c r="A1091" t="s">
        <v>798</v>
      </c>
      <c r="B1091">
        <v>42200022</v>
      </c>
      <c r="C1091" t="s">
        <v>451</v>
      </c>
      <c r="D1091" t="s">
        <v>520</v>
      </c>
      <c r="E1091" t="s">
        <v>440</v>
      </c>
      <c r="F1091" t="s">
        <v>430</v>
      </c>
      <c r="G1091" t="s">
        <v>417</v>
      </c>
      <c r="H1091" t="s">
        <v>83</v>
      </c>
      <c r="J1091" t="s">
        <v>52</v>
      </c>
      <c r="K1091" s="15">
        <v>45000</v>
      </c>
      <c r="L1091" s="15">
        <v>0</v>
      </c>
      <c r="M1091" s="13">
        <v>45176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 t="s">
        <v>242</v>
      </c>
      <c r="AC1091">
        <v>1</v>
      </c>
      <c r="AD1091">
        <v>45000</v>
      </c>
      <c r="AE1091">
        <v>0</v>
      </c>
      <c r="AF1091">
        <v>0</v>
      </c>
      <c r="AG1091">
        <v>1324.9130011765847</v>
      </c>
      <c r="AH1091" t="s">
        <v>58</v>
      </c>
    </row>
    <row r="1092" spans="1:34" x14ac:dyDescent="0.3">
      <c r="A1092" t="s">
        <v>798</v>
      </c>
      <c r="B1092">
        <v>4302300012</v>
      </c>
      <c r="C1092" t="s">
        <v>108</v>
      </c>
      <c r="D1092" t="s">
        <v>591</v>
      </c>
      <c r="E1092" t="s">
        <v>447</v>
      </c>
      <c r="F1092" t="s">
        <v>433</v>
      </c>
      <c r="G1092" t="s">
        <v>82</v>
      </c>
      <c r="H1092" t="s">
        <v>83</v>
      </c>
      <c r="J1092" t="s">
        <v>416</v>
      </c>
      <c r="K1092" s="15">
        <v>0.24920441570512397</v>
      </c>
      <c r="L1092" s="15">
        <v>0</v>
      </c>
      <c r="M1092" s="13">
        <v>45176</v>
      </c>
      <c r="O1092">
        <v>0</v>
      </c>
      <c r="P1092">
        <v>0</v>
      </c>
      <c r="Q1092">
        <v>5324.7549031569051</v>
      </c>
      <c r="R1092">
        <v>43.298381346285503</v>
      </c>
      <c r="S1092">
        <v>3985.1253580112434</v>
      </c>
      <c r="T1092">
        <v>0</v>
      </c>
      <c r="U1092">
        <v>0</v>
      </c>
      <c r="V1092">
        <v>343.7968060044667</v>
      </c>
      <c r="W1092">
        <v>0</v>
      </c>
      <c r="X1092">
        <v>0</v>
      </c>
      <c r="Y1092">
        <v>9696.9754485189005</v>
      </c>
      <c r="Z1092">
        <v>303.02455148109976</v>
      </c>
      <c r="AA1092">
        <v>10000</v>
      </c>
      <c r="AB1092" t="s">
        <v>242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 t="s">
        <v>72</v>
      </c>
    </row>
    <row r="1093" spans="1:34" x14ac:dyDescent="0.3">
      <c r="A1093" t="s">
        <v>798</v>
      </c>
      <c r="B1093">
        <v>4142300653</v>
      </c>
      <c r="C1093">
        <v>10280769</v>
      </c>
      <c r="D1093" t="s">
        <v>204</v>
      </c>
      <c r="E1093" t="s">
        <v>445</v>
      </c>
      <c r="F1093" t="s">
        <v>430</v>
      </c>
      <c r="G1093" t="s">
        <v>230</v>
      </c>
      <c r="H1093" t="s">
        <v>234</v>
      </c>
      <c r="J1093" t="s">
        <v>52</v>
      </c>
      <c r="K1093" s="15">
        <v>15000</v>
      </c>
      <c r="L1093" s="15">
        <v>0</v>
      </c>
      <c r="M1093" s="13">
        <v>45177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867787.84112149535</v>
      </c>
      <c r="Y1093">
        <v>867787.84112149535</v>
      </c>
      <c r="Z1093">
        <v>60745.148878504682</v>
      </c>
      <c r="AA1093">
        <v>928532.99</v>
      </c>
      <c r="AB1093" t="s">
        <v>242</v>
      </c>
      <c r="AC1093">
        <v>2</v>
      </c>
      <c r="AD1093">
        <v>30000</v>
      </c>
      <c r="AE1093">
        <v>0</v>
      </c>
      <c r="AF1093">
        <v>0</v>
      </c>
      <c r="AG1093">
        <v>1962.6168224299072</v>
      </c>
      <c r="AH1093" t="s">
        <v>58</v>
      </c>
    </row>
    <row r="1094" spans="1:34" x14ac:dyDescent="0.3">
      <c r="A1094" t="s">
        <v>798</v>
      </c>
      <c r="B1094">
        <v>4302300005</v>
      </c>
      <c r="C1094">
        <v>901019061099</v>
      </c>
      <c r="D1094" t="s">
        <v>222</v>
      </c>
      <c r="E1094" t="s">
        <v>447</v>
      </c>
      <c r="F1094" t="s">
        <v>433</v>
      </c>
      <c r="G1094" t="s">
        <v>82</v>
      </c>
      <c r="H1094" t="s">
        <v>83</v>
      </c>
      <c r="J1094" t="s">
        <v>52</v>
      </c>
      <c r="K1094" s="15">
        <v>49000</v>
      </c>
      <c r="L1094" s="15">
        <v>0</v>
      </c>
      <c r="M1094" s="13">
        <v>45177</v>
      </c>
      <c r="O1094">
        <v>0</v>
      </c>
      <c r="P1094">
        <v>0</v>
      </c>
      <c r="Q1094">
        <v>100785.73643660166</v>
      </c>
      <c r="R1094">
        <v>2677.89</v>
      </c>
      <c r="S1094">
        <v>7795.3554798115438</v>
      </c>
      <c r="T1094">
        <v>0</v>
      </c>
      <c r="U1094">
        <v>0</v>
      </c>
      <c r="V1094">
        <v>1434816.39</v>
      </c>
      <c r="W1094">
        <v>0</v>
      </c>
      <c r="X1094">
        <v>0</v>
      </c>
      <c r="Y1094">
        <v>1546075.3719164131</v>
      </c>
      <c r="Z1094">
        <v>100982.82218358682</v>
      </c>
      <c r="AA1094">
        <v>1647058.1941</v>
      </c>
      <c r="AB1094" t="s">
        <v>242</v>
      </c>
      <c r="AC1094">
        <v>1</v>
      </c>
      <c r="AD1094">
        <v>49000</v>
      </c>
      <c r="AE1094">
        <v>0</v>
      </c>
      <c r="AF1094">
        <v>0</v>
      </c>
      <c r="AG1094">
        <v>2990.6719164131937</v>
      </c>
      <c r="AH1094" t="s">
        <v>72</v>
      </c>
    </row>
    <row r="1095" spans="1:34" x14ac:dyDescent="0.3">
      <c r="A1095" t="s">
        <v>798</v>
      </c>
      <c r="B1095">
        <v>22200050</v>
      </c>
      <c r="C1095">
        <v>20757954</v>
      </c>
      <c r="D1095" t="s">
        <v>120</v>
      </c>
      <c r="E1095" t="s">
        <v>435</v>
      </c>
      <c r="F1095" t="s">
        <v>428</v>
      </c>
      <c r="G1095" t="s">
        <v>82</v>
      </c>
      <c r="H1095" t="s">
        <v>82</v>
      </c>
      <c r="J1095" t="s">
        <v>52</v>
      </c>
      <c r="K1095" s="15">
        <v>500</v>
      </c>
      <c r="L1095" s="15">
        <v>0</v>
      </c>
      <c r="M1095" s="13">
        <v>45180</v>
      </c>
      <c r="O1095">
        <v>0</v>
      </c>
      <c r="P1095">
        <v>0</v>
      </c>
      <c r="Q1095">
        <v>0</v>
      </c>
      <c r="R1095">
        <v>0</v>
      </c>
      <c r="S1095">
        <v>932.2079698630132</v>
      </c>
      <c r="T1095">
        <v>0</v>
      </c>
      <c r="U1095">
        <v>0</v>
      </c>
      <c r="V1095">
        <v>14084.08</v>
      </c>
      <c r="W1095">
        <v>0</v>
      </c>
      <c r="X1095">
        <v>0</v>
      </c>
      <c r="Y1095">
        <v>15016.287969863013</v>
      </c>
      <c r="Z1095">
        <v>0</v>
      </c>
      <c r="AA1095">
        <v>15016.287969863013</v>
      </c>
      <c r="AB1095" t="s">
        <v>242</v>
      </c>
      <c r="AC1095">
        <v>8</v>
      </c>
      <c r="AD1095">
        <v>5000</v>
      </c>
      <c r="AE1095">
        <v>0</v>
      </c>
      <c r="AF1095">
        <v>0</v>
      </c>
      <c r="AG1095">
        <v>0</v>
      </c>
      <c r="AH1095" t="s">
        <v>58</v>
      </c>
    </row>
    <row r="1096" spans="1:34" x14ac:dyDescent="0.3">
      <c r="A1096" t="s">
        <v>798</v>
      </c>
      <c r="B1096">
        <v>32200045</v>
      </c>
      <c r="C1096">
        <v>20758058</v>
      </c>
      <c r="D1096" t="s">
        <v>120</v>
      </c>
      <c r="E1096" t="s">
        <v>435</v>
      </c>
      <c r="F1096" t="s">
        <v>429</v>
      </c>
      <c r="G1096" t="s">
        <v>82</v>
      </c>
      <c r="H1096" t="s">
        <v>82</v>
      </c>
      <c r="J1096" t="s">
        <v>52</v>
      </c>
      <c r="K1096" s="15">
        <v>500</v>
      </c>
      <c r="L1096" s="15">
        <v>0</v>
      </c>
      <c r="M1096" s="13">
        <v>45180</v>
      </c>
      <c r="O1096">
        <v>0</v>
      </c>
      <c r="P1096">
        <v>0</v>
      </c>
      <c r="Q1096">
        <v>0</v>
      </c>
      <c r="R1096">
        <v>0</v>
      </c>
      <c r="S1096">
        <v>4424.0488810958905</v>
      </c>
      <c r="T1096">
        <v>0</v>
      </c>
      <c r="U1096">
        <v>0</v>
      </c>
      <c r="V1096">
        <v>18314.54</v>
      </c>
      <c r="W1096">
        <v>0</v>
      </c>
      <c r="X1096">
        <v>0</v>
      </c>
      <c r="Y1096">
        <v>22738.588881095893</v>
      </c>
      <c r="Z1096">
        <v>0</v>
      </c>
      <c r="AA1096">
        <v>22738.588881095893</v>
      </c>
      <c r="AB1096" t="s">
        <v>242</v>
      </c>
      <c r="AC1096">
        <v>6</v>
      </c>
      <c r="AD1096">
        <v>3000</v>
      </c>
      <c r="AE1096">
        <v>0</v>
      </c>
      <c r="AF1096">
        <v>0</v>
      </c>
      <c r="AG1096">
        <v>0</v>
      </c>
      <c r="AH1096" t="s">
        <v>58</v>
      </c>
    </row>
    <row r="1097" spans="1:34" x14ac:dyDescent="0.3">
      <c r="A1097" t="s">
        <v>798</v>
      </c>
      <c r="B1097">
        <v>52200698</v>
      </c>
      <c r="C1097">
        <v>29796909</v>
      </c>
      <c r="D1097" t="s">
        <v>858</v>
      </c>
      <c r="E1097" t="s">
        <v>438</v>
      </c>
      <c r="F1097" t="s">
        <v>431</v>
      </c>
      <c r="G1097" t="s">
        <v>82</v>
      </c>
      <c r="H1097" t="s">
        <v>83</v>
      </c>
      <c r="J1097" t="s">
        <v>52</v>
      </c>
      <c r="K1097" s="15">
        <v>1400</v>
      </c>
      <c r="L1097" s="15">
        <v>0</v>
      </c>
      <c r="M1097" s="13">
        <v>45180</v>
      </c>
      <c r="O1097">
        <v>0</v>
      </c>
      <c r="P1097">
        <v>0</v>
      </c>
      <c r="Q1097">
        <v>0</v>
      </c>
      <c r="R1097">
        <v>884.38641129504015</v>
      </c>
      <c r="S1097">
        <v>25252.027933369103</v>
      </c>
      <c r="T1097">
        <v>0</v>
      </c>
      <c r="U1097">
        <v>0</v>
      </c>
      <c r="V1097">
        <v>52314.898317757012</v>
      </c>
      <c r="W1097">
        <v>0</v>
      </c>
      <c r="X1097">
        <v>0</v>
      </c>
      <c r="Y1097">
        <v>78451.312662421158</v>
      </c>
      <c r="Z1097">
        <v>5429.6848375788286</v>
      </c>
      <c r="AA1097">
        <v>83880.997499999983</v>
      </c>
      <c r="AB1097" t="s">
        <v>242</v>
      </c>
      <c r="AC1097">
        <v>5</v>
      </c>
      <c r="AD1097">
        <v>9326</v>
      </c>
      <c r="AE1097">
        <v>0</v>
      </c>
      <c r="AF1097">
        <v>0</v>
      </c>
      <c r="AG1097">
        <v>603.20284933705875</v>
      </c>
      <c r="AH1097" t="s">
        <v>58</v>
      </c>
    </row>
    <row r="1098" spans="1:34" x14ac:dyDescent="0.3">
      <c r="A1098" t="s">
        <v>798</v>
      </c>
      <c r="B1098">
        <v>52200698</v>
      </c>
      <c r="C1098">
        <v>29796909</v>
      </c>
      <c r="D1098" t="s">
        <v>858</v>
      </c>
      <c r="E1098" t="s">
        <v>438</v>
      </c>
      <c r="F1098" t="s">
        <v>431</v>
      </c>
      <c r="G1098" t="s">
        <v>82</v>
      </c>
      <c r="H1098" t="s">
        <v>83</v>
      </c>
      <c r="J1098" t="s">
        <v>52</v>
      </c>
      <c r="K1098" s="15">
        <v>1600</v>
      </c>
      <c r="L1098" s="15">
        <v>0</v>
      </c>
      <c r="M1098" s="13">
        <v>45180</v>
      </c>
      <c r="O1098">
        <v>0</v>
      </c>
      <c r="P1098">
        <v>0</v>
      </c>
      <c r="Q1098">
        <v>0</v>
      </c>
      <c r="R1098">
        <v>866.34951414124816</v>
      </c>
      <c r="S1098">
        <v>23773.557743793208</v>
      </c>
      <c r="T1098">
        <v>0</v>
      </c>
      <c r="U1098">
        <v>0</v>
      </c>
      <c r="V1098">
        <v>52314.898317757012</v>
      </c>
      <c r="W1098">
        <v>0</v>
      </c>
      <c r="X1098">
        <v>0</v>
      </c>
      <c r="Y1098">
        <v>76954.805575691469</v>
      </c>
      <c r="Z1098">
        <v>5326.1919243085158</v>
      </c>
      <c r="AA1098">
        <v>82280.997499999983</v>
      </c>
      <c r="AB1098" t="s">
        <v>242</v>
      </c>
      <c r="AC1098">
        <v>6</v>
      </c>
      <c r="AD1098">
        <v>10926</v>
      </c>
      <c r="AE1098">
        <v>0</v>
      </c>
      <c r="AF1098">
        <v>0</v>
      </c>
      <c r="AG1098">
        <v>706.69576260737153</v>
      </c>
      <c r="AH1098" t="s">
        <v>58</v>
      </c>
    </row>
    <row r="1099" spans="1:34" x14ac:dyDescent="0.3">
      <c r="A1099" t="s">
        <v>798</v>
      </c>
      <c r="B1099">
        <v>52201823</v>
      </c>
      <c r="C1099">
        <v>26207055</v>
      </c>
      <c r="D1099" t="s">
        <v>165</v>
      </c>
      <c r="E1099" t="s">
        <v>438</v>
      </c>
      <c r="F1099" t="s">
        <v>431</v>
      </c>
      <c r="G1099" t="s">
        <v>82</v>
      </c>
      <c r="H1099" t="s">
        <v>83</v>
      </c>
      <c r="J1099" t="s">
        <v>52</v>
      </c>
      <c r="K1099" s="15">
        <v>1000</v>
      </c>
      <c r="L1099" s="15">
        <v>0</v>
      </c>
      <c r="M1099" s="13">
        <v>45180</v>
      </c>
      <c r="O1099">
        <v>0</v>
      </c>
      <c r="P1099">
        <v>0</v>
      </c>
      <c r="Q1099">
        <v>0</v>
      </c>
      <c r="R1099">
        <v>868.75057752985231</v>
      </c>
      <c r="S1099">
        <v>33793.954234975063</v>
      </c>
      <c r="T1099">
        <v>0</v>
      </c>
      <c r="U1099">
        <v>0</v>
      </c>
      <c r="V1099">
        <v>82604.409809083882</v>
      </c>
      <c r="W1099">
        <v>0</v>
      </c>
      <c r="X1099">
        <v>0</v>
      </c>
      <c r="Y1099">
        <v>117267.1146215888</v>
      </c>
      <c r="Z1099">
        <v>8147.8854830841274</v>
      </c>
      <c r="AA1099">
        <v>125415.00010467293</v>
      </c>
      <c r="AB1099" t="s">
        <v>242</v>
      </c>
      <c r="AC1099">
        <v>3</v>
      </c>
      <c r="AD1099">
        <v>3000</v>
      </c>
      <c r="AE1099">
        <v>0</v>
      </c>
      <c r="AF1099">
        <v>0</v>
      </c>
      <c r="AG1099">
        <v>194.80611254868188</v>
      </c>
      <c r="AH1099" t="s">
        <v>58</v>
      </c>
    </row>
    <row r="1100" spans="1:34" x14ac:dyDescent="0.3">
      <c r="A1100" t="s">
        <v>798</v>
      </c>
      <c r="B1100">
        <v>4142300044</v>
      </c>
      <c r="C1100">
        <v>120810</v>
      </c>
      <c r="D1100" t="s">
        <v>186</v>
      </c>
      <c r="E1100" t="s">
        <v>444</v>
      </c>
      <c r="F1100" t="s">
        <v>430</v>
      </c>
      <c r="G1100" t="s">
        <v>233</v>
      </c>
      <c r="H1100" t="s">
        <v>231</v>
      </c>
      <c r="J1100" t="s">
        <v>52</v>
      </c>
      <c r="K1100" s="15">
        <v>5396</v>
      </c>
      <c r="L1100" s="15">
        <v>0</v>
      </c>
      <c r="M1100" s="13">
        <v>45180</v>
      </c>
      <c r="O1100">
        <v>0</v>
      </c>
      <c r="P1100">
        <v>0</v>
      </c>
      <c r="Q1100">
        <v>20604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20604</v>
      </c>
      <c r="Z1100">
        <v>0</v>
      </c>
      <c r="AA1100">
        <v>20604</v>
      </c>
      <c r="AB1100" t="s">
        <v>242</v>
      </c>
      <c r="AC1100">
        <v>1</v>
      </c>
      <c r="AD1100">
        <v>5396</v>
      </c>
      <c r="AE1100">
        <v>0</v>
      </c>
      <c r="AF1100">
        <v>0</v>
      </c>
      <c r="AG1100">
        <v>0</v>
      </c>
      <c r="AH1100" t="s">
        <v>72</v>
      </c>
    </row>
    <row r="1101" spans="1:34" x14ac:dyDescent="0.3">
      <c r="A1101" t="s">
        <v>798</v>
      </c>
      <c r="B1101">
        <v>4142300416</v>
      </c>
      <c r="C1101">
        <v>10179898</v>
      </c>
      <c r="D1101" t="s">
        <v>198</v>
      </c>
      <c r="E1101" t="s">
        <v>445</v>
      </c>
      <c r="F1101" t="s">
        <v>430</v>
      </c>
      <c r="G1101" t="s">
        <v>230</v>
      </c>
      <c r="H1101" t="s">
        <v>234</v>
      </c>
      <c r="J1101" t="s">
        <v>52</v>
      </c>
      <c r="K1101" s="15">
        <v>1200</v>
      </c>
      <c r="L1101" s="15">
        <v>0</v>
      </c>
      <c r="M1101" s="13">
        <v>45180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336782.23364485987</v>
      </c>
      <c r="Y1101">
        <v>336782.23364485987</v>
      </c>
      <c r="Z1101">
        <v>23574.756355140195</v>
      </c>
      <c r="AA1101">
        <v>360356.99000000005</v>
      </c>
      <c r="AB1101" t="s">
        <v>242</v>
      </c>
      <c r="AC1101">
        <v>4</v>
      </c>
      <c r="AD1101">
        <v>16400</v>
      </c>
      <c r="AE1101">
        <v>0</v>
      </c>
      <c r="AF1101">
        <v>0</v>
      </c>
      <c r="AG1101">
        <v>1072.8971962616827</v>
      </c>
      <c r="AH1101" t="s">
        <v>58</v>
      </c>
    </row>
    <row r="1102" spans="1:34" x14ac:dyDescent="0.3">
      <c r="A1102" t="s">
        <v>798</v>
      </c>
      <c r="B1102">
        <v>82200013</v>
      </c>
      <c r="C1102" t="s">
        <v>108</v>
      </c>
      <c r="D1102" t="s">
        <v>533</v>
      </c>
      <c r="E1102" t="s">
        <v>440</v>
      </c>
      <c r="F1102" t="s">
        <v>433</v>
      </c>
      <c r="G1102" t="s">
        <v>82</v>
      </c>
      <c r="H1102" t="s">
        <v>83</v>
      </c>
      <c r="J1102" t="s">
        <v>416</v>
      </c>
      <c r="K1102" s="15">
        <v>0.51837308087963541</v>
      </c>
      <c r="L1102" s="15">
        <v>0</v>
      </c>
      <c r="M1102" s="13">
        <v>45180</v>
      </c>
      <c r="O1102">
        <v>0</v>
      </c>
      <c r="P1102">
        <v>0</v>
      </c>
      <c r="Q1102">
        <v>28943.11925854037</v>
      </c>
      <c r="R1102">
        <v>6894.1907385181648</v>
      </c>
      <c r="S1102">
        <v>46477.898337453938</v>
      </c>
      <c r="T1102">
        <v>0</v>
      </c>
      <c r="U1102">
        <v>0</v>
      </c>
      <c r="V1102">
        <v>406010.5969923978</v>
      </c>
      <c r="W1102">
        <v>0</v>
      </c>
      <c r="X1102">
        <v>0</v>
      </c>
      <c r="Y1102">
        <v>488325.80532691028</v>
      </c>
      <c r="Z1102">
        <v>31674.194673089627</v>
      </c>
      <c r="AA1102">
        <v>519999.99999999988</v>
      </c>
      <c r="AB1102" t="s">
        <v>242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 t="s">
        <v>72</v>
      </c>
    </row>
    <row r="1103" spans="1:34" x14ac:dyDescent="0.3">
      <c r="A1103" t="s">
        <v>798</v>
      </c>
      <c r="B1103">
        <v>82200019</v>
      </c>
      <c r="C1103" t="s">
        <v>109</v>
      </c>
      <c r="D1103" t="s">
        <v>533</v>
      </c>
      <c r="E1103" t="s">
        <v>440</v>
      </c>
      <c r="F1103" t="s">
        <v>433</v>
      </c>
      <c r="G1103" t="s">
        <v>82</v>
      </c>
      <c r="H1103" t="s">
        <v>83</v>
      </c>
      <c r="J1103" t="s">
        <v>416</v>
      </c>
      <c r="K1103" s="15">
        <v>0.46633093960396987</v>
      </c>
      <c r="L1103" s="15">
        <v>0</v>
      </c>
      <c r="M1103" s="13">
        <v>45180</v>
      </c>
      <c r="O1103">
        <v>0</v>
      </c>
      <c r="P1103">
        <v>0</v>
      </c>
      <c r="Q1103">
        <v>15603.602772030266</v>
      </c>
      <c r="R1103">
        <v>2685.118520548398</v>
      </c>
      <c r="S1103">
        <v>23790.529103825498</v>
      </c>
      <c r="T1103">
        <v>0</v>
      </c>
      <c r="U1103">
        <v>0</v>
      </c>
      <c r="V1103">
        <v>218575.1519311477</v>
      </c>
      <c r="W1103">
        <v>0</v>
      </c>
      <c r="X1103">
        <v>0</v>
      </c>
      <c r="Y1103">
        <v>260654.40232755186</v>
      </c>
      <c r="Z1103">
        <v>16965.597672448126</v>
      </c>
      <c r="AA1103">
        <v>277620</v>
      </c>
      <c r="AB1103" t="s">
        <v>242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 t="s">
        <v>72</v>
      </c>
    </row>
    <row r="1104" spans="1:34" x14ac:dyDescent="0.3">
      <c r="A1104" t="s">
        <v>798</v>
      </c>
      <c r="B1104">
        <v>4142301118</v>
      </c>
      <c r="C1104" t="s">
        <v>375</v>
      </c>
      <c r="D1104" t="s">
        <v>414</v>
      </c>
      <c r="E1104" t="s">
        <v>445</v>
      </c>
      <c r="F1104" t="s">
        <v>430</v>
      </c>
      <c r="G1104" t="s">
        <v>237</v>
      </c>
      <c r="H1104" t="s">
        <v>234</v>
      </c>
      <c r="J1104" t="s">
        <v>52</v>
      </c>
      <c r="K1104" s="15">
        <v>10000</v>
      </c>
      <c r="L1104" s="15">
        <v>0</v>
      </c>
      <c r="M1104" s="13">
        <v>45180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128806.14517987451</v>
      </c>
      <c r="Y1104">
        <v>128806.14517987451</v>
      </c>
      <c r="Z1104">
        <v>9016.4301625912158</v>
      </c>
      <c r="AA1104">
        <v>137822.57534246572</v>
      </c>
      <c r="AB1104" t="s">
        <v>242</v>
      </c>
      <c r="AC1104">
        <v>1</v>
      </c>
      <c r="AD1104">
        <v>10000</v>
      </c>
      <c r="AE1104">
        <v>0</v>
      </c>
      <c r="AF1104">
        <v>0</v>
      </c>
      <c r="AG1104">
        <v>654.20560747663512</v>
      </c>
      <c r="AH1104" t="s">
        <v>72</v>
      </c>
    </row>
    <row r="1105" spans="1:34" x14ac:dyDescent="0.3">
      <c r="A1105" t="s">
        <v>798</v>
      </c>
      <c r="B1105">
        <v>32200123</v>
      </c>
      <c r="C1105">
        <v>26112598</v>
      </c>
      <c r="D1105" t="s">
        <v>815</v>
      </c>
      <c r="E1105" t="s">
        <v>438</v>
      </c>
      <c r="F1105" t="s">
        <v>429</v>
      </c>
      <c r="G1105" t="s">
        <v>82</v>
      </c>
      <c r="H1105" t="s">
        <v>82</v>
      </c>
      <c r="J1105" t="s">
        <v>52</v>
      </c>
      <c r="K1105" s="15">
        <v>2000</v>
      </c>
      <c r="L1105" s="15">
        <v>0</v>
      </c>
      <c r="M1105" s="13">
        <v>45181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17404.701369863014</v>
      </c>
      <c r="W1105">
        <v>0</v>
      </c>
      <c r="X1105">
        <v>0</v>
      </c>
      <c r="Y1105">
        <v>17404.701369863014</v>
      </c>
      <c r="Z1105">
        <v>0</v>
      </c>
      <c r="AA1105">
        <v>17404.701369863014</v>
      </c>
      <c r="AB1105" t="s">
        <v>242</v>
      </c>
      <c r="AC1105">
        <v>4</v>
      </c>
      <c r="AD1105">
        <v>8000</v>
      </c>
      <c r="AE1105">
        <v>0</v>
      </c>
      <c r="AF1105">
        <v>0</v>
      </c>
      <c r="AG1105">
        <v>0</v>
      </c>
      <c r="AH1105" t="s">
        <v>58</v>
      </c>
    </row>
    <row r="1106" spans="1:34" x14ac:dyDescent="0.3">
      <c r="A1106" t="s">
        <v>798</v>
      </c>
      <c r="B1106">
        <v>52200152</v>
      </c>
      <c r="C1106">
        <v>27277111</v>
      </c>
      <c r="D1106" t="s">
        <v>838</v>
      </c>
      <c r="E1106" t="s">
        <v>436</v>
      </c>
      <c r="F1106" t="s">
        <v>431</v>
      </c>
      <c r="G1106" t="s">
        <v>82</v>
      </c>
      <c r="H1106" t="s">
        <v>83</v>
      </c>
      <c r="J1106" t="s">
        <v>52</v>
      </c>
      <c r="K1106" s="15">
        <v>2000</v>
      </c>
      <c r="L1106" s="15">
        <v>0</v>
      </c>
      <c r="M1106" s="13">
        <v>45181</v>
      </c>
      <c r="O1106">
        <v>0</v>
      </c>
      <c r="P1106">
        <v>0</v>
      </c>
      <c r="Q1106">
        <v>0</v>
      </c>
      <c r="R1106">
        <v>868.84167122311521</v>
      </c>
      <c r="S1106">
        <v>9251.5498399783974</v>
      </c>
      <c r="T1106">
        <v>0</v>
      </c>
      <c r="U1106">
        <v>0</v>
      </c>
      <c r="V1106">
        <v>54801.8691588785</v>
      </c>
      <c r="W1106">
        <v>0</v>
      </c>
      <c r="X1106">
        <v>0</v>
      </c>
      <c r="Y1106">
        <v>64922.26067008001</v>
      </c>
      <c r="Z1106">
        <v>4483.739329919983</v>
      </c>
      <c r="AA1106">
        <v>69406</v>
      </c>
      <c r="AB1106" t="s">
        <v>242</v>
      </c>
      <c r="AC1106">
        <v>3</v>
      </c>
      <c r="AD1106">
        <v>9000</v>
      </c>
      <c r="AE1106">
        <v>0</v>
      </c>
      <c r="AF1106">
        <v>0</v>
      </c>
      <c r="AG1106">
        <v>580.85880092113825</v>
      </c>
      <c r="AH1106" t="s">
        <v>58</v>
      </c>
    </row>
    <row r="1107" spans="1:34" x14ac:dyDescent="0.3">
      <c r="A1107" t="s">
        <v>798</v>
      </c>
      <c r="B1107">
        <v>52201571</v>
      </c>
      <c r="C1107">
        <v>25111736</v>
      </c>
      <c r="D1107" t="s">
        <v>161</v>
      </c>
      <c r="E1107" t="s">
        <v>438</v>
      </c>
      <c r="F1107" t="s">
        <v>431</v>
      </c>
      <c r="G1107" t="s">
        <v>82</v>
      </c>
      <c r="H1107" t="s">
        <v>83</v>
      </c>
      <c r="J1107" t="s">
        <v>52</v>
      </c>
      <c r="K1107" s="15">
        <v>1000</v>
      </c>
      <c r="L1107" s="15">
        <v>0</v>
      </c>
      <c r="M1107" s="13">
        <v>45181</v>
      </c>
      <c r="O1107">
        <v>0</v>
      </c>
      <c r="P1107">
        <v>0</v>
      </c>
      <c r="Q1107">
        <v>0</v>
      </c>
      <c r="R1107">
        <v>870.60038262140688</v>
      </c>
      <c r="S1107">
        <v>32570.030521744011</v>
      </c>
      <c r="T1107">
        <v>0</v>
      </c>
      <c r="U1107">
        <v>0</v>
      </c>
      <c r="V1107">
        <v>52010.71595270362</v>
      </c>
      <c r="W1107">
        <v>0</v>
      </c>
      <c r="X1107">
        <v>0</v>
      </c>
      <c r="Y1107">
        <v>85451.346857069031</v>
      </c>
      <c r="Z1107">
        <v>5920.6522532113349</v>
      </c>
      <c r="AA1107">
        <v>91371.999110280361</v>
      </c>
      <c r="AB1107" t="s">
        <v>242</v>
      </c>
      <c r="AC1107">
        <v>2</v>
      </c>
      <c r="AD1107">
        <v>2000</v>
      </c>
      <c r="AE1107">
        <v>0</v>
      </c>
      <c r="AF1107">
        <v>0</v>
      </c>
      <c r="AG1107">
        <v>129.50656708738177</v>
      </c>
      <c r="AH1107" t="s">
        <v>58</v>
      </c>
    </row>
    <row r="1108" spans="1:34" x14ac:dyDescent="0.3">
      <c r="A1108" t="s">
        <v>798</v>
      </c>
      <c r="B1108">
        <v>52201958</v>
      </c>
      <c r="C1108">
        <v>31404770</v>
      </c>
      <c r="D1108" t="s">
        <v>889</v>
      </c>
      <c r="E1108" t="s">
        <v>438</v>
      </c>
      <c r="F1108" t="s">
        <v>431</v>
      </c>
      <c r="G1108" t="s">
        <v>82</v>
      </c>
      <c r="H1108" t="s">
        <v>83</v>
      </c>
      <c r="J1108" t="s">
        <v>52</v>
      </c>
      <c r="K1108" s="15">
        <v>1690</v>
      </c>
      <c r="L1108" s="15">
        <v>0</v>
      </c>
      <c r="M1108" s="13">
        <v>45181</v>
      </c>
      <c r="O1108">
        <v>0</v>
      </c>
      <c r="P1108">
        <v>0</v>
      </c>
      <c r="Q1108">
        <v>0</v>
      </c>
      <c r="R1108">
        <v>802.4634752260813</v>
      </c>
      <c r="S1108">
        <v>34307.04348109712</v>
      </c>
      <c r="T1108">
        <v>0</v>
      </c>
      <c r="U1108">
        <v>0</v>
      </c>
      <c r="V1108">
        <v>56074.766355140193</v>
      </c>
      <c r="W1108">
        <v>0</v>
      </c>
      <c r="X1108">
        <v>0</v>
      </c>
      <c r="Y1108">
        <v>91184.273311463388</v>
      </c>
      <c r="Z1108">
        <v>6326.7266885366125</v>
      </c>
      <c r="AA1108">
        <v>97511</v>
      </c>
      <c r="AB1108" t="s">
        <v>242</v>
      </c>
      <c r="AC1108">
        <v>4</v>
      </c>
      <c r="AD1108">
        <v>4370</v>
      </c>
      <c r="AE1108">
        <v>0</v>
      </c>
      <c r="AF1108">
        <v>0</v>
      </c>
      <c r="AG1108">
        <v>283.36676940731377</v>
      </c>
      <c r="AH1108" t="s">
        <v>58</v>
      </c>
    </row>
    <row r="1109" spans="1:34" x14ac:dyDescent="0.3">
      <c r="A1109" t="s">
        <v>798</v>
      </c>
      <c r="B1109">
        <v>4142300044</v>
      </c>
      <c r="C1109">
        <v>120810</v>
      </c>
      <c r="D1109" t="s">
        <v>186</v>
      </c>
      <c r="E1109" t="s">
        <v>444</v>
      </c>
      <c r="F1109" t="s">
        <v>430</v>
      </c>
      <c r="G1109" t="s">
        <v>233</v>
      </c>
      <c r="H1109" t="s">
        <v>231</v>
      </c>
      <c r="J1109" t="s">
        <v>52</v>
      </c>
      <c r="K1109" s="15">
        <v>1104</v>
      </c>
      <c r="L1109" s="15">
        <v>0</v>
      </c>
      <c r="M1109" s="13">
        <v>45182</v>
      </c>
      <c r="O1109">
        <v>0</v>
      </c>
      <c r="P1109">
        <v>0</v>
      </c>
      <c r="Q1109">
        <v>19500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19500</v>
      </c>
      <c r="Z1109">
        <v>0</v>
      </c>
      <c r="AA1109">
        <v>19500</v>
      </c>
      <c r="AB1109" t="s">
        <v>242</v>
      </c>
      <c r="AC1109">
        <v>2</v>
      </c>
      <c r="AD1109">
        <v>6500</v>
      </c>
      <c r="AE1109">
        <v>0</v>
      </c>
      <c r="AF1109">
        <v>0</v>
      </c>
      <c r="AG1109">
        <v>0</v>
      </c>
      <c r="AH1109" t="s">
        <v>58</v>
      </c>
    </row>
    <row r="1110" spans="1:34" x14ac:dyDescent="0.3">
      <c r="A1110" t="s">
        <v>798</v>
      </c>
      <c r="B1110">
        <v>52200750</v>
      </c>
      <c r="C1110">
        <v>26151957</v>
      </c>
      <c r="D1110" t="s">
        <v>141</v>
      </c>
      <c r="E1110" t="s">
        <v>438</v>
      </c>
      <c r="F1110" t="s">
        <v>431</v>
      </c>
      <c r="G1110" t="s">
        <v>82</v>
      </c>
      <c r="H1110" t="s">
        <v>83</v>
      </c>
      <c r="J1110" t="s">
        <v>52</v>
      </c>
      <c r="K1110" s="15">
        <v>1000</v>
      </c>
      <c r="L1110" s="15">
        <v>0</v>
      </c>
      <c r="M1110" s="13">
        <v>45183</v>
      </c>
      <c r="O1110">
        <v>0</v>
      </c>
      <c r="P1110">
        <v>0</v>
      </c>
      <c r="Q1110">
        <v>0</v>
      </c>
      <c r="R1110">
        <v>869.467431832486</v>
      </c>
      <c r="S1110">
        <v>23856.507966000783</v>
      </c>
      <c r="T1110">
        <v>0</v>
      </c>
      <c r="U1110">
        <v>0</v>
      </c>
      <c r="V1110">
        <v>47756.1392450563</v>
      </c>
      <c r="W1110">
        <v>0</v>
      </c>
      <c r="X1110">
        <v>0</v>
      </c>
      <c r="Y1110">
        <v>72482.114642889574</v>
      </c>
      <c r="Z1110">
        <v>5012.8853047739958</v>
      </c>
      <c r="AA1110">
        <v>77494.999947663571</v>
      </c>
      <c r="AB1110" t="s">
        <v>242</v>
      </c>
      <c r="AC1110">
        <v>9</v>
      </c>
      <c r="AD1110">
        <v>10000</v>
      </c>
      <c r="AE1110">
        <v>0</v>
      </c>
      <c r="AF1110">
        <v>0</v>
      </c>
      <c r="AG1110">
        <v>646.32029927876101</v>
      </c>
      <c r="AH1110" t="s">
        <v>58</v>
      </c>
    </row>
    <row r="1111" spans="1:34" x14ac:dyDescent="0.3">
      <c r="A1111" t="s">
        <v>798</v>
      </c>
      <c r="B1111">
        <v>4142300798</v>
      </c>
      <c r="C1111">
        <v>10364170</v>
      </c>
      <c r="D1111" t="s">
        <v>210</v>
      </c>
      <c r="E1111" t="s">
        <v>445</v>
      </c>
      <c r="F1111" t="s">
        <v>430</v>
      </c>
      <c r="G1111" t="s">
        <v>230</v>
      </c>
      <c r="H1111" t="s">
        <v>234</v>
      </c>
      <c r="J1111" t="s">
        <v>52</v>
      </c>
      <c r="K1111" s="15">
        <v>20000</v>
      </c>
      <c r="L1111" s="15">
        <v>0</v>
      </c>
      <c r="M1111" s="13">
        <v>45183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888978.51645115868</v>
      </c>
      <c r="Y1111">
        <v>888978.51645115868</v>
      </c>
      <c r="Z1111">
        <v>62228.496151581116</v>
      </c>
      <c r="AA1111">
        <v>951207.01260273973</v>
      </c>
      <c r="AB1111" t="s">
        <v>242</v>
      </c>
      <c r="AC1111">
        <v>1</v>
      </c>
      <c r="AD1111">
        <v>20000</v>
      </c>
      <c r="AE1111">
        <v>0</v>
      </c>
      <c r="AF1111">
        <v>0</v>
      </c>
      <c r="AG1111">
        <v>1308.4112149532702</v>
      </c>
      <c r="AH1111" t="s">
        <v>72</v>
      </c>
    </row>
    <row r="1112" spans="1:34" x14ac:dyDescent="0.3">
      <c r="A1112" t="s">
        <v>798</v>
      </c>
      <c r="B1112">
        <v>4302300012</v>
      </c>
      <c r="C1112" t="s">
        <v>108</v>
      </c>
      <c r="D1112" t="s">
        <v>591</v>
      </c>
      <c r="E1112" t="s">
        <v>447</v>
      </c>
      <c r="F1112" t="s">
        <v>433</v>
      </c>
      <c r="G1112" t="s">
        <v>417</v>
      </c>
      <c r="H1112" t="s">
        <v>83</v>
      </c>
      <c r="J1112" t="s">
        <v>52</v>
      </c>
      <c r="K1112" s="15">
        <v>10000</v>
      </c>
      <c r="L1112" s="15">
        <v>0</v>
      </c>
      <c r="M1112" s="13">
        <v>45183</v>
      </c>
      <c r="O1112">
        <v>0</v>
      </c>
      <c r="P1112">
        <v>0</v>
      </c>
      <c r="Q1112">
        <v>0</v>
      </c>
      <c r="R1112">
        <v>3.3395508580724709E-13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3.3395508580724709E-13</v>
      </c>
      <c r="Z1112">
        <v>0</v>
      </c>
      <c r="AA1112">
        <v>3.3395508580724709E-13</v>
      </c>
      <c r="AB1112" t="s">
        <v>242</v>
      </c>
      <c r="AC1112">
        <v>1</v>
      </c>
      <c r="AD1112">
        <v>10000</v>
      </c>
      <c r="AE1112">
        <v>0</v>
      </c>
      <c r="AF1112">
        <v>0</v>
      </c>
      <c r="AG1112">
        <v>303.02455148109948</v>
      </c>
      <c r="AH1112" t="s">
        <v>58</v>
      </c>
    </row>
    <row r="1113" spans="1:34" x14ac:dyDescent="0.3">
      <c r="A1113" t="s">
        <v>798</v>
      </c>
      <c r="B1113">
        <v>4302300018</v>
      </c>
      <c r="C1113">
        <v>901019005667</v>
      </c>
      <c r="D1113" t="s">
        <v>224</v>
      </c>
      <c r="E1113" t="s">
        <v>447</v>
      </c>
      <c r="F1113" t="s">
        <v>433</v>
      </c>
      <c r="G1113" t="s">
        <v>232</v>
      </c>
      <c r="H1113" t="s">
        <v>83</v>
      </c>
      <c r="J1113" t="s">
        <v>450</v>
      </c>
      <c r="K1113" s="15">
        <v>588500</v>
      </c>
      <c r="L1113" s="15">
        <v>4511</v>
      </c>
      <c r="M1113" s="13">
        <v>45184</v>
      </c>
      <c r="O1113">
        <v>4511</v>
      </c>
      <c r="P1113">
        <v>0</v>
      </c>
      <c r="Q1113">
        <v>98439.569999999992</v>
      </c>
      <c r="R1113">
        <v>10666.65</v>
      </c>
      <c r="S1113">
        <v>120672.41849498847</v>
      </c>
      <c r="T1113">
        <v>0</v>
      </c>
      <c r="U1113">
        <v>0</v>
      </c>
      <c r="V1113">
        <v>869484.30150501151</v>
      </c>
      <c r="W1113">
        <v>0</v>
      </c>
      <c r="X1113">
        <v>0</v>
      </c>
      <c r="Y1113">
        <v>1103773.94</v>
      </c>
      <c r="Z1113">
        <v>69310.970400000006</v>
      </c>
      <c r="AA1113">
        <v>1173084.9103999999</v>
      </c>
      <c r="AB1113" t="s">
        <v>242</v>
      </c>
      <c r="AC1113">
        <v>0</v>
      </c>
      <c r="AD1113">
        <v>0</v>
      </c>
      <c r="AE1113">
        <v>0</v>
      </c>
      <c r="AF1113">
        <v>588500</v>
      </c>
      <c r="AG1113">
        <v>38500</v>
      </c>
      <c r="AH1113" t="s">
        <v>72</v>
      </c>
    </row>
    <row r="1114" spans="1:34" x14ac:dyDescent="0.3">
      <c r="A1114" t="s">
        <v>798</v>
      </c>
      <c r="B1114">
        <v>12200198</v>
      </c>
      <c r="C1114">
        <v>21155200</v>
      </c>
      <c r="D1114" t="s">
        <v>815</v>
      </c>
      <c r="E1114" t="s">
        <v>438</v>
      </c>
      <c r="F1114" t="s">
        <v>427</v>
      </c>
      <c r="G1114" t="s">
        <v>82</v>
      </c>
      <c r="H1114" t="s">
        <v>82</v>
      </c>
      <c r="J1114" t="s">
        <v>52</v>
      </c>
      <c r="K1114" s="15">
        <v>1500</v>
      </c>
      <c r="L1114" s="15">
        <v>0</v>
      </c>
      <c r="M1114" s="13">
        <v>45184</v>
      </c>
      <c r="O1114">
        <v>0</v>
      </c>
      <c r="P1114">
        <v>0</v>
      </c>
      <c r="Q1114">
        <v>0</v>
      </c>
      <c r="R1114">
        <v>0</v>
      </c>
      <c r="S1114">
        <v>16752.267691327819</v>
      </c>
      <c r="T1114">
        <v>0</v>
      </c>
      <c r="U1114">
        <v>0</v>
      </c>
      <c r="V1114">
        <v>142102.18304325169</v>
      </c>
      <c r="W1114">
        <v>0</v>
      </c>
      <c r="X1114">
        <v>0</v>
      </c>
      <c r="Y1114">
        <v>158854.4507345795</v>
      </c>
      <c r="Z1114">
        <v>0</v>
      </c>
      <c r="AA1114">
        <v>158854.4507345795</v>
      </c>
      <c r="AB1114" t="s">
        <v>242</v>
      </c>
      <c r="AC1114">
        <v>9</v>
      </c>
      <c r="AD1114">
        <v>22500</v>
      </c>
      <c r="AE1114">
        <v>0</v>
      </c>
      <c r="AF1114">
        <v>0</v>
      </c>
      <c r="AG1114">
        <v>0</v>
      </c>
      <c r="AH1114" t="s">
        <v>58</v>
      </c>
    </row>
    <row r="1115" spans="1:34" x14ac:dyDescent="0.3">
      <c r="A1115" t="s">
        <v>798</v>
      </c>
      <c r="B1115">
        <v>42200128</v>
      </c>
      <c r="C1115">
        <v>2759027402</v>
      </c>
      <c r="D1115" t="s">
        <v>824</v>
      </c>
      <c r="E1115" t="s">
        <v>439</v>
      </c>
      <c r="F1115" t="s">
        <v>430</v>
      </c>
      <c r="G1115" t="s">
        <v>232</v>
      </c>
      <c r="H1115" t="s">
        <v>71</v>
      </c>
      <c r="J1115" t="s">
        <v>52</v>
      </c>
      <c r="K1115" s="15">
        <v>2000</v>
      </c>
      <c r="L1115" s="15">
        <v>0</v>
      </c>
      <c r="M1115" s="13">
        <v>45184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69004.355140186919</v>
      </c>
      <c r="Y1115">
        <v>69004.355140186919</v>
      </c>
      <c r="Z1115">
        <v>4830.3048598130845</v>
      </c>
      <c r="AA1115">
        <v>73834.66</v>
      </c>
      <c r="AB1115" t="s">
        <v>242</v>
      </c>
      <c r="AC1115">
        <v>1</v>
      </c>
      <c r="AD1115">
        <v>2000</v>
      </c>
      <c r="AE1115">
        <v>0</v>
      </c>
      <c r="AF1115">
        <v>0</v>
      </c>
      <c r="AG1115">
        <v>130.84112149532712</v>
      </c>
      <c r="AH1115" t="s">
        <v>72</v>
      </c>
    </row>
    <row r="1116" spans="1:34" x14ac:dyDescent="0.3">
      <c r="A1116" t="s">
        <v>798</v>
      </c>
      <c r="B1116">
        <v>52200764</v>
      </c>
      <c r="C1116">
        <v>29315611</v>
      </c>
      <c r="D1116" t="s">
        <v>142</v>
      </c>
      <c r="E1116" t="s">
        <v>438</v>
      </c>
      <c r="F1116" t="s">
        <v>431</v>
      </c>
      <c r="G1116" t="s">
        <v>82</v>
      </c>
      <c r="H1116" t="s">
        <v>83</v>
      </c>
      <c r="J1116" t="s">
        <v>52</v>
      </c>
      <c r="K1116" s="15">
        <v>2256</v>
      </c>
      <c r="L1116" s="15">
        <v>0</v>
      </c>
      <c r="M1116" s="13">
        <v>45184</v>
      </c>
      <c r="O1116">
        <v>0</v>
      </c>
      <c r="P1116">
        <v>0</v>
      </c>
      <c r="Q1116">
        <v>0</v>
      </c>
      <c r="R1116">
        <v>852.58430366379969</v>
      </c>
      <c r="S1116">
        <v>15078.118407790847</v>
      </c>
      <c r="T1116">
        <v>0</v>
      </c>
      <c r="U1116">
        <v>0</v>
      </c>
      <c r="V1116">
        <v>50364.328598130844</v>
      </c>
      <c r="W1116">
        <v>0</v>
      </c>
      <c r="X1116">
        <v>0</v>
      </c>
      <c r="Y1116">
        <v>66295.031309585494</v>
      </c>
      <c r="Z1116">
        <v>4580.971290414519</v>
      </c>
      <c r="AA1116">
        <v>70876.002600000007</v>
      </c>
      <c r="AB1116" t="s">
        <v>242</v>
      </c>
      <c r="AC1116">
        <v>3</v>
      </c>
      <c r="AD1116">
        <v>6768</v>
      </c>
      <c r="AE1116">
        <v>0</v>
      </c>
      <c r="AF1116">
        <v>0</v>
      </c>
      <c r="AG1116">
        <v>437.04757126772529</v>
      </c>
      <c r="AH1116" t="s">
        <v>58</v>
      </c>
    </row>
    <row r="1117" spans="1:34" x14ac:dyDescent="0.3">
      <c r="A1117" t="s">
        <v>798</v>
      </c>
      <c r="B1117">
        <v>52201039</v>
      </c>
      <c r="C1117">
        <v>29379502</v>
      </c>
      <c r="D1117" t="s">
        <v>146</v>
      </c>
      <c r="E1117" t="s">
        <v>438</v>
      </c>
      <c r="F1117" t="s">
        <v>431</v>
      </c>
      <c r="G1117" t="s">
        <v>82</v>
      </c>
      <c r="H1117" t="s">
        <v>83</v>
      </c>
      <c r="J1117" t="s">
        <v>52</v>
      </c>
      <c r="K1117" s="15">
        <v>2500</v>
      </c>
      <c r="L1117" s="15">
        <v>0</v>
      </c>
      <c r="M1117" s="13">
        <v>45184</v>
      </c>
      <c r="O1117">
        <v>0</v>
      </c>
      <c r="P1117">
        <v>0</v>
      </c>
      <c r="Q1117">
        <v>0</v>
      </c>
      <c r="R1117">
        <v>890.01702545278147</v>
      </c>
      <c r="S1117">
        <v>17004.795728182449</v>
      </c>
      <c r="T1117">
        <v>0</v>
      </c>
      <c r="U1117">
        <v>0</v>
      </c>
      <c r="V1117">
        <v>49170.889355899591</v>
      </c>
      <c r="W1117">
        <v>0</v>
      </c>
      <c r="X1117">
        <v>0</v>
      </c>
      <c r="Y1117">
        <v>67065.702109534817</v>
      </c>
      <c r="Z1117">
        <v>4632.2979558857432</v>
      </c>
      <c r="AA1117">
        <v>71698.000065420565</v>
      </c>
      <c r="AB1117" t="s">
        <v>242</v>
      </c>
      <c r="AC1117">
        <v>4</v>
      </c>
      <c r="AD1117">
        <v>7500</v>
      </c>
      <c r="AE1117">
        <v>0</v>
      </c>
      <c r="AF1117">
        <v>0</v>
      </c>
      <c r="AG1117">
        <v>484.11326334737851</v>
      </c>
      <c r="AH1117" t="s">
        <v>58</v>
      </c>
    </row>
    <row r="1118" spans="1:34" x14ac:dyDescent="0.3">
      <c r="A1118" t="s">
        <v>798</v>
      </c>
      <c r="B1118">
        <v>52201063</v>
      </c>
      <c r="C1118">
        <v>23710909</v>
      </c>
      <c r="D1118" t="s">
        <v>147</v>
      </c>
      <c r="E1118" t="s">
        <v>438</v>
      </c>
      <c r="F1118" t="s">
        <v>431</v>
      </c>
      <c r="G1118" t="s">
        <v>82</v>
      </c>
      <c r="H1118" t="s">
        <v>83</v>
      </c>
      <c r="J1118" t="s">
        <v>52</v>
      </c>
      <c r="K1118" s="15">
        <v>1000</v>
      </c>
      <c r="L1118" s="15">
        <v>0</v>
      </c>
      <c r="M1118" s="13">
        <v>45184</v>
      </c>
      <c r="O1118">
        <v>0</v>
      </c>
      <c r="P1118">
        <v>0</v>
      </c>
      <c r="Q1118">
        <v>0</v>
      </c>
      <c r="R1118">
        <v>846.45642490586829</v>
      </c>
      <c r="S1118">
        <v>25358.068789159963</v>
      </c>
      <c r="T1118">
        <v>0</v>
      </c>
      <c r="U1118">
        <v>0</v>
      </c>
      <c r="V1118">
        <v>49966.73843998649</v>
      </c>
      <c r="W1118">
        <v>0</v>
      </c>
      <c r="X1118">
        <v>0</v>
      </c>
      <c r="Y1118">
        <v>76171.263654052324</v>
      </c>
      <c r="Z1118">
        <v>5272.7365060402517</v>
      </c>
      <c r="AA1118">
        <v>81444.000160092575</v>
      </c>
      <c r="AB1118" t="s">
        <v>242</v>
      </c>
      <c r="AC1118">
        <v>4</v>
      </c>
      <c r="AD1118">
        <v>4000</v>
      </c>
      <c r="AE1118">
        <v>0</v>
      </c>
      <c r="AF1118">
        <v>0</v>
      </c>
      <c r="AG1118">
        <v>258.76817733029054</v>
      </c>
      <c r="AH1118" t="s">
        <v>58</v>
      </c>
    </row>
    <row r="1119" spans="1:34" x14ac:dyDescent="0.3">
      <c r="A1119" t="s">
        <v>798</v>
      </c>
      <c r="B1119">
        <v>52201342</v>
      </c>
      <c r="C1119">
        <v>26280203</v>
      </c>
      <c r="D1119" t="s">
        <v>879</v>
      </c>
      <c r="E1119" t="s">
        <v>438</v>
      </c>
      <c r="F1119" t="s">
        <v>431</v>
      </c>
      <c r="G1119" t="s">
        <v>82</v>
      </c>
      <c r="H1119" t="s">
        <v>83</v>
      </c>
      <c r="J1119" t="s">
        <v>52</v>
      </c>
      <c r="K1119" s="15">
        <v>500</v>
      </c>
      <c r="L1119" s="15">
        <v>0</v>
      </c>
      <c r="M1119" s="13">
        <v>45184</v>
      </c>
      <c r="O1119">
        <v>0</v>
      </c>
      <c r="P1119">
        <v>0</v>
      </c>
      <c r="Q1119">
        <v>0</v>
      </c>
      <c r="R1119">
        <v>1112.7563393792718</v>
      </c>
      <c r="S1119">
        <v>17933.665836956221</v>
      </c>
      <c r="T1119">
        <v>0</v>
      </c>
      <c r="U1119">
        <v>0</v>
      </c>
      <c r="V1119">
        <v>47138.524897487107</v>
      </c>
      <c r="W1119">
        <v>0</v>
      </c>
      <c r="X1119">
        <v>0</v>
      </c>
      <c r="Y1119">
        <v>66184.947073822608</v>
      </c>
      <c r="Z1119">
        <v>4555.053351411033</v>
      </c>
      <c r="AA1119">
        <v>70740.000425233637</v>
      </c>
      <c r="AB1119" t="s">
        <v>242</v>
      </c>
      <c r="AC1119">
        <v>3</v>
      </c>
      <c r="AD1119">
        <v>1500</v>
      </c>
      <c r="AE1119">
        <v>0</v>
      </c>
      <c r="AF1119">
        <v>0</v>
      </c>
      <c r="AG1119">
        <v>96.479386688363661</v>
      </c>
      <c r="AH1119" t="s">
        <v>58</v>
      </c>
    </row>
    <row r="1120" spans="1:34" x14ac:dyDescent="0.3">
      <c r="A1120" t="s">
        <v>798</v>
      </c>
      <c r="B1120">
        <v>4142300600</v>
      </c>
      <c r="C1120">
        <v>10261717</v>
      </c>
      <c r="D1120" t="s">
        <v>202</v>
      </c>
      <c r="E1120" t="s">
        <v>445</v>
      </c>
      <c r="F1120" t="s">
        <v>430</v>
      </c>
      <c r="G1120" t="s">
        <v>230</v>
      </c>
      <c r="H1120" t="s">
        <v>234</v>
      </c>
      <c r="J1120" t="s">
        <v>52</v>
      </c>
      <c r="K1120" s="15">
        <v>10000</v>
      </c>
      <c r="L1120" s="15">
        <v>0</v>
      </c>
      <c r="M1120" s="13">
        <v>45184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226760.46728971964</v>
      </c>
      <c r="Y1120">
        <v>226760.46728971964</v>
      </c>
      <c r="Z1120">
        <v>15873.232710280377</v>
      </c>
      <c r="AA1120">
        <v>242633.7</v>
      </c>
      <c r="AB1120" t="s">
        <v>242</v>
      </c>
      <c r="AC1120">
        <v>3</v>
      </c>
      <c r="AD1120">
        <v>120000</v>
      </c>
      <c r="AE1120">
        <v>0</v>
      </c>
      <c r="AF1120">
        <v>0</v>
      </c>
      <c r="AG1120">
        <v>7850.4672897196251</v>
      </c>
      <c r="AH1120" t="s">
        <v>58</v>
      </c>
    </row>
    <row r="1121" spans="1:34" x14ac:dyDescent="0.3">
      <c r="A1121" t="s">
        <v>798</v>
      </c>
      <c r="B1121">
        <v>4142300652</v>
      </c>
      <c r="C1121">
        <v>10289270</v>
      </c>
      <c r="D1121" t="s">
        <v>203</v>
      </c>
      <c r="E1121" t="s">
        <v>445</v>
      </c>
      <c r="F1121" t="s">
        <v>430</v>
      </c>
      <c r="G1121" t="s">
        <v>237</v>
      </c>
      <c r="H1121" t="s">
        <v>234</v>
      </c>
      <c r="J1121" t="s">
        <v>52</v>
      </c>
      <c r="K1121" s="15">
        <v>2000</v>
      </c>
      <c r="L1121" s="15">
        <v>0</v>
      </c>
      <c r="M1121" s="13">
        <v>45184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46983.17757009346</v>
      </c>
      <c r="Y1121">
        <v>46983.17757009346</v>
      </c>
      <c r="Z1121">
        <v>3288.8224299065423</v>
      </c>
      <c r="AA1121">
        <v>50272</v>
      </c>
      <c r="AB1121" t="s">
        <v>242</v>
      </c>
      <c r="AC1121">
        <v>3</v>
      </c>
      <c r="AD1121">
        <v>12000</v>
      </c>
      <c r="AE1121">
        <v>0</v>
      </c>
      <c r="AF1121">
        <v>0</v>
      </c>
      <c r="AG1121">
        <v>785.04672897196224</v>
      </c>
      <c r="AH1121" t="s">
        <v>58</v>
      </c>
    </row>
    <row r="1122" spans="1:34" x14ac:dyDescent="0.3">
      <c r="A1122" t="s">
        <v>798</v>
      </c>
      <c r="B1122">
        <v>4242300005</v>
      </c>
      <c r="C1122">
        <v>123246</v>
      </c>
      <c r="D1122" t="s">
        <v>219</v>
      </c>
      <c r="E1122" t="s">
        <v>444</v>
      </c>
      <c r="F1122" t="s">
        <v>431</v>
      </c>
      <c r="G1122" t="s">
        <v>237</v>
      </c>
      <c r="H1122" t="s">
        <v>231</v>
      </c>
      <c r="J1122" t="s">
        <v>52</v>
      </c>
      <c r="K1122" s="15">
        <v>5000</v>
      </c>
      <c r="L1122" s="15">
        <v>0</v>
      </c>
      <c r="M1122" s="13">
        <v>45184</v>
      </c>
      <c r="O1122">
        <v>0</v>
      </c>
      <c r="P1122">
        <v>10921.233595029902</v>
      </c>
      <c r="Q1122">
        <v>0</v>
      </c>
      <c r="R1122">
        <v>0</v>
      </c>
      <c r="S1122">
        <v>0</v>
      </c>
      <c r="T1122">
        <v>14093.865799037472</v>
      </c>
      <c r="U1122">
        <v>22429.906542056076</v>
      </c>
      <c r="V1122">
        <v>0</v>
      </c>
      <c r="W1122">
        <v>0</v>
      </c>
      <c r="X1122">
        <v>0</v>
      </c>
      <c r="Y1122">
        <v>47445.005936123445</v>
      </c>
      <c r="Z1122">
        <v>2556.6640638765489</v>
      </c>
      <c r="AA1122">
        <v>50001.669999999991</v>
      </c>
      <c r="AB1122" t="s">
        <v>242</v>
      </c>
      <c r="AC1122">
        <v>2</v>
      </c>
      <c r="AD1122">
        <v>17200</v>
      </c>
      <c r="AE1122">
        <v>0</v>
      </c>
      <c r="AF1122">
        <v>0</v>
      </c>
      <c r="AG1122">
        <v>862.65079593653491</v>
      </c>
      <c r="AH1122" t="s">
        <v>58</v>
      </c>
    </row>
    <row r="1123" spans="1:34" x14ac:dyDescent="0.3">
      <c r="A1123" t="s">
        <v>798</v>
      </c>
      <c r="B1123">
        <v>4142301008</v>
      </c>
      <c r="C1123">
        <v>10493806</v>
      </c>
      <c r="D1123" t="s">
        <v>278</v>
      </c>
      <c r="E1123" t="s">
        <v>445</v>
      </c>
      <c r="F1123" t="s">
        <v>430</v>
      </c>
      <c r="G1123" t="s">
        <v>237</v>
      </c>
      <c r="H1123" t="s">
        <v>234</v>
      </c>
      <c r="J1123" t="s">
        <v>425</v>
      </c>
      <c r="K1123" s="15">
        <v>60000</v>
      </c>
      <c r="L1123" s="15">
        <v>96</v>
      </c>
      <c r="M1123" s="13">
        <v>45185</v>
      </c>
      <c r="O1123">
        <v>96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124299.06542056074</v>
      </c>
      <c r="Y1123">
        <v>124395.06542056074</v>
      </c>
      <c r="Z1123">
        <v>8700.934579439252</v>
      </c>
      <c r="AA1123">
        <v>133096</v>
      </c>
      <c r="AB1123" t="s">
        <v>242</v>
      </c>
      <c r="AC1123">
        <v>0</v>
      </c>
      <c r="AD1123">
        <v>0</v>
      </c>
      <c r="AE1123">
        <v>0</v>
      </c>
      <c r="AF1123">
        <v>64200</v>
      </c>
      <c r="AG1123">
        <v>4200</v>
      </c>
      <c r="AH1123" t="s">
        <v>72</v>
      </c>
    </row>
    <row r="1124" spans="1:34" x14ac:dyDescent="0.3">
      <c r="A1124" t="s">
        <v>798</v>
      </c>
      <c r="B1124">
        <v>52200112</v>
      </c>
      <c r="C1124">
        <v>25062909</v>
      </c>
      <c r="D1124" t="s">
        <v>132</v>
      </c>
      <c r="E1124" t="s">
        <v>436</v>
      </c>
      <c r="F1124" t="s">
        <v>431</v>
      </c>
      <c r="G1124" t="s">
        <v>82</v>
      </c>
      <c r="H1124" t="s">
        <v>83</v>
      </c>
      <c r="J1124" t="s">
        <v>52</v>
      </c>
      <c r="K1124" s="15">
        <v>1000</v>
      </c>
      <c r="L1124" s="15">
        <v>0</v>
      </c>
      <c r="M1124" s="13">
        <v>45185</v>
      </c>
      <c r="O1124">
        <v>0</v>
      </c>
      <c r="P1124">
        <v>0</v>
      </c>
      <c r="Q1124">
        <v>0</v>
      </c>
      <c r="R1124">
        <v>739.59257215892228</v>
      </c>
      <c r="S1124">
        <v>13353.462194768066</v>
      </c>
      <c r="T1124">
        <v>0</v>
      </c>
      <c r="U1124">
        <v>0</v>
      </c>
      <c r="V1124">
        <v>48171.217589309104</v>
      </c>
      <c r="W1124">
        <v>0</v>
      </c>
      <c r="X1124">
        <v>0</v>
      </c>
      <c r="Y1124">
        <v>62264.272356236092</v>
      </c>
      <c r="Z1124">
        <v>4306.7275848854024</v>
      </c>
      <c r="AA1124">
        <v>66570.999941121496</v>
      </c>
      <c r="AB1124" t="s">
        <v>242</v>
      </c>
      <c r="AC1124">
        <v>5</v>
      </c>
      <c r="AD1124">
        <v>4400</v>
      </c>
      <c r="AE1124">
        <v>0</v>
      </c>
      <c r="AF1124">
        <v>0</v>
      </c>
      <c r="AG1124">
        <v>284.42194397301358</v>
      </c>
      <c r="AH1124" t="s">
        <v>58</v>
      </c>
    </row>
    <row r="1125" spans="1:34" x14ac:dyDescent="0.3">
      <c r="A1125" t="s">
        <v>798</v>
      </c>
      <c r="B1125">
        <v>52200548</v>
      </c>
      <c r="C1125">
        <v>6001920035</v>
      </c>
      <c r="D1125" t="s">
        <v>855</v>
      </c>
      <c r="E1125" t="s">
        <v>437</v>
      </c>
      <c r="F1125" t="s">
        <v>431</v>
      </c>
      <c r="G1125" t="s">
        <v>82</v>
      </c>
      <c r="H1125" t="s">
        <v>83</v>
      </c>
      <c r="J1125" t="s">
        <v>52</v>
      </c>
      <c r="K1125" s="15">
        <v>1000</v>
      </c>
      <c r="L1125" s="15">
        <v>0</v>
      </c>
      <c r="M1125" s="13">
        <v>45185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3504.4859813084104</v>
      </c>
      <c r="W1125">
        <v>0</v>
      </c>
      <c r="X1125">
        <v>0</v>
      </c>
      <c r="Y1125">
        <v>3504.4859813084104</v>
      </c>
      <c r="Z1125">
        <v>245.31401869158876</v>
      </c>
      <c r="AA1125">
        <v>3749.7999999999993</v>
      </c>
      <c r="AB1125" t="s">
        <v>242</v>
      </c>
      <c r="AC1125">
        <v>4</v>
      </c>
      <c r="AD1125">
        <v>5000</v>
      </c>
      <c r="AE1125">
        <v>0</v>
      </c>
      <c r="AF1125">
        <v>0</v>
      </c>
      <c r="AG1125">
        <v>327.10280373831779</v>
      </c>
      <c r="AH1125" t="s">
        <v>58</v>
      </c>
    </row>
    <row r="1126" spans="1:34" x14ac:dyDescent="0.3">
      <c r="A1126" t="s">
        <v>798</v>
      </c>
      <c r="B1126">
        <v>52201828</v>
      </c>
      <c r="C1126">
        <v>25536725</v>
      </c>
      <c r="D1126" t="s">
        <v>166</v>
      </c>
      <c r="E1126" t="s">
        <v>438</v>
      </c>
      <c r="F1126" t="s">
        <v>431</v>
      </c>
      <c r="G1126" t="s">
        <v>82</v>
      </c>
      <c r="H1126" t="s">
        <v>83</v>
      </c>
      <c r="J1126" t="s">
        <v>52</v>
      </c>
      <c r="K1126" s="15">
        <v>1500</v>
      </c>
      <c r="L1126" s="15">
        <v>0</v>
      </c>
      <c r="M1126" s="13">
        <v>45185</v>
      </c>
      <c r="O1126">
        <v>0</v>
      </c>
      <c r="P1126">
        <v>0</v>
      </c>
      <c r="Q1126">
        <v>0</v>
      </c>
      <c r="R1126">
        <v>862.18429866644215</v>
      </c>
      <c r="S1126">
        <v>16702.502712358393</v>
      </c>
      <c r="T1126">
        <v>0</v>
      </c>
      <c r="U1126">
        <v>0</v>
      </c>
      <c r="V1126">
        <v>46273.024665951423</v>
      </c>
      <c r="W1126">
        <v>0</v>
      </c>
      <c r="X1126">
        <v>0</v>
      </c>
      <c r="Y1126">
        <v>63837.711676976258</v>
      </c>
      <c r="Z1126">
        <v>4408.2869164816875</v>
      </c>
      <c r="AA1126">
        <v>68245.998593457945</v>
      </c>
      <c r="AB1126" t="s">
        <v>242</v>
      </c>
      <c r="AC1126">
        <v>8</v>
      </c>
      <c r="AD1126">
        <v>13000</v>
      </c>
      <c r="AE1126">
        <v>0</v>
      </c>
      <c r="AF1126">
        <v>0</v>
      </c>
      <c r="AG1126">
        <v>838.89990738939332</v>
      </c>
      <c r="AH1126" t="s">
        <v>58</v>
      </c>
    </row>
    <row r="1127" spans="1:34" x14ac:dyDescent="0.3">
      <c r="A1127" t="s">
        <v>798</v>
      </c>
      <c r="B1127">
        <v>52201220</v>
      </c>
      <c r="C1127">
        <v>25378599</v>
      </c>
      <c r="D1127" t="s">
        <v>150</v>
      </c>
      <c r="E1127" t="s">
        <v>438</v>
      </c>
      <c r="F1127" t="s">
        <v>431</v>
      </c>
      <c r="G1127" t="s">
        <v>82</v>
      </c>
      <c r="H1127" t="s">
        <v>83</v>
      </c>
      <c r="J1127" t="s">
        <v>52</v>
      </c>
      <c r="K1127" s="15">
        <v>1000</v>
      </c>
      <c r="L1127" s="15">
        <v>0</v>
      </c>
      <c r="M1127" s="13">
        <v>45187</v>
      </c>
      <c r="O1127">
        <v>0</v>
      </c>
      <c r="P1127">
        <v>0</v>
      </c>
      <c r="Q1127">
        <v>0</v>
      </c>
      <c r="R1127">
        <v>696.2791734257936</v>
      </c>
      <c r="S1127">
        <v>14619.675684638749</v>
      </c>
      <c r="T1127">
        <v>0</v>
      </c>
      <c r="U1127">
        <v>0</v>
      </c>
      <c r="V1127">
        <v>79718.38097920474</v>
      </c>
      <c r="W1127">
        <v>0</v>
      </c>
      <c r="X1127">
        <v>0</v>
      </c>
      <c r="Y1127">
        <v>95034.335837269289</v>
      </c>
      <c r="Z1127">
        <v>6603.6639664690447</v>
      </c>
      <c r="AA1127">
        <v>101637.99980373833</v>
      </c>
      <c r="AB1127" t="s">
        <v>242</v>
      </c>
      <c r="AC1127">
        <v>7</v>
      </c>
      <c r="AD1127">
        <v>13000</v>
      </c>
      <c r="AE1127">
        <v>0</v>
      </c>
      <c r="AF1127">
        <v>0</v>
      </c>
      <c r="AG1127">
        <v>844.20517956991182</v>
      </c>
      <c r="AH1127" t="s">
        <v>58</v>
      </c>
    </row>
    <row r="1128" spans="1:34" x14ac:dyDescent="0.3">
      <c r="A1128" t="s">
        <v>798</v>
      </c>
      <c r="B1128">
        <v>12200035</v>
      </c>
      <c r="C1128" t="s">
        <v>632</v>
      </c>
      <c r="D1128" t="s">
        <v>631</v>
      </c>
      <c r="E1128" t="s">
        <v>435</v>
      </c>
      <c r="F1128" t="s">
        <v>427</v>
      </c>
      <c r="G1128" t="s">
        <v>230</v>
      </c>
      <c r="H1128" t="s">
        <v>230</v>
      </c>
      <c r="J1128" t="s">
        <v>52</v>
      </c>
      <c r="K1128" s="15">
        <v>1500</v>
      </c>
      <c r="M1128" s="13">
        <v>45187</v>
      </c>
      <c r="O1128">
        <v>0</v>
      </c>
      <c r="P1128">
        <v>0</v>
      </c>
      <c r="Q1128">
        <v>0</v>
      </c>
      <c r="R1128">
        <v>0</v>
      </c>
      <c r="S1128">
        <v>67599.029999999984</v>
      </c>
      <c r="T1128">
        <v>0</v>
      </c>
      <c r="U1128">
        <v>0</v>
      </c>
      <c r="V1128">
        <v>79907.710000000006</v>
      </c>
      <c r="W1128">
        <v>0</v>
      </c>
      <c r="X1128">
        <v>0</v>
      </c>
      <c r="Y1128">
        <v>147506.74</v>
      </c>
      <c r="Z1128">
        <v>0</v>
      </c>
      <c r="AA1128">
        <v>147506.74</v>
      </c>
      <c r="AB1128" t="s">
        <v>242</v>
      </c>
      <c r="AC1128">
        <v>7</v>
      </c>
      <c r="AD1128">
        <v>10500</v>
      </c>
      <c r="AE1128">
        <v>0</v>
      </c>
      <c r="AF1128">
        <v>0</v>
      </c>
      <c r="AG1128">
        <v>0</v>
      </c>
      <c r="AH1128" t="s">
        <v>58</v>
      </c>
    </row>
    <row r="1129" spans="1:34" x14ac:dyDescent="0.3">
      <c r="A1129" t="s">
        <v>798</v>
      </c>
      <c r="B1129">
        <v>52200619</v>
      </c>
      <c r="C1129">
        <v>6102060118</v>
      </c>
      <c r="D1129" t="s">
        <v>138</v>
      </c>
      <c r="E1129" t="s">
        <v>437</v>
      </c>
      <c r="F1129" t="s">
        <v>431</v>
      </c>
      <c r="G1129" t="s">
        <v>82</v>
      </c>
      <c r="H1129" t="s">
        <v>83</v>
      </c>
      <c r="J1129" t="s">
        <v>52</v>
      </c>
      <c r="K1129" s="15">
        <v>700</v>
      </c>
      <c r="L1129" s="15">
        <v>0</v>
      </c>
      <c r="M1129" s="13">
        <v>45188</v>
      </c>
      <c r="O1129">
        <v>0</v>
      </c>
      <c r="P1129">
        <v>0</v>
      </c>
      <c r="Q1129">
        <v>0</v>
      </c>
      <c r="R1129">
        <v>0</v>
      </c>
      <c r="S1129">
        <v>958.57943925233656</v>
      </c>
      <c r="T1129">
        <v>0</v>
      </c>
      <c r="U1129">
        <v>0</v>
      </c>
      <c r="V1129">
        <v>10196.728971962617</v>
      </c>
      <c r="W1129">
        <v>0</v>
      </c>
      <c r="X1129">
        <v>0</v>
      </c>
      <c r="Y1129">
        <v>11155.308411214954</v>
      </c>
      <c r="Z1129">
        <v>780.87158878504681</v>
      </c>
      <c r="AA1129">
        <v>11936.18</v>
      </c>
      <c r="AB1129" t="s">
        <v>242</v>
      </c>
      <c r="AC1129">
        <v>10</v>
      </c>
      <c r="AD1129">
        <v>6000</v>
      </c>
      <c r="AE1129">
        <v>0</v>
      </c>
      <c r="AF1129">
        <v>0</v>
      </c>
      <c r="AG1129">
        <v>392.52336448598135</v>
      </c>
      <c r="AH1129" t="s">
        <v>58</v>
      </c>
    </row>
    <row r="1130" spans="1:34" x14ac:dyDescent="0.3">
      <c r="A1130" t="s">
        <v>798</v>
      </c>
      <c r="B1130">
        <v>52201351</v>
      </c>
      <c r="C1130">
        <v>22940816</v>
      </c>
      <c r="D1130" t="s">
        <v>155</v>
      </c>
      <c r="E1130" t="s">
        <v>438</v>
      </c>
      <c r="F1130" t="s">
        <v>431</v>
      </c>
      <c r="G1130" t="s">
        <v>82</v>
      </c>
      <c r="H1130" t="s">
        <v>83</v>
      </c>
      <c r="J1130" t="s">
        <v>52</v>
      </c>
      <c r="K1130" s="15">
        <v>1300</v>
      </c>
      <c r="L1130" s="15">
        <v>0</v>
      </c>
      <c r="M1130" s="13">
        <v>45188</v>
      </c>
      <c r="O1130">
        <v>0</v>
      </c>
      <c r="P1130">
        <v>0</v>
      </c>
      <c r="Q1130">
        <v>0</v>
      </c>
      <c r="R1130">
        <v>867.37194295750521</v>
      </c>
      <c r="S1130">
        <v>28225.05131192987</v>
      </c>
      <c r="T1130">
        <v>0</v>
      </c>
      <c r="U1130">
        <v>0</v>
      </c>
      <c r="V1130">
        <v>73829.741339665459</v>
      </c>
      <c r="W1130">
        <v>0</v>
      </c>
      <c r="X1130">
        <v>0</v>
      </c>
      <c r="Y1130">
        <v>102922.16459455283</v>
      </c>
      <c r="Z1130">
        <v>7143.8354856116739</v>
      </c>
      <c r="AA1130">
        <v>110066.00008016451</v>
      </c>
      <c r="AB1130" t="s">
        <v>242</v>
      </c>
      <c r="AC1130">
        <v>2</v>
      </c>
      <c r="AD1130">
        <v>2800</v>
      </c>
      <c r="AE1130">
        <v>0</v>
      </c>
      <c r="AF1130">
        <v>0</v>
      </c>
      <c r="AG1130">
        <v>181.63180935236028</v>
      </c>
      <c r="AH1130" t="s">
        <v>58</v>
      </c>
    </row>
    <row r="1131" spans="1:34" x14ac:dyDescent="0.3">
      <c r="A1131" t="s">
        <v>798</v>
      </c>
      <c r="B1131">
        <v>52201718</v>
      </c>
      <c r="C1131">
        <v>28964368</v>
      </c>
      <c r="D1131" t="s">
        <v>884</v>
      </c>
      <c r="E1131" t="s">
        <v>438</v>
      </c>
      <c r="F1131" t="s">
        <v>431</v>
      </c>
      <c r="G1131" t="s">
        <v>82</v>
      </c>
      <c r="H1131" t="s">
        <v>83</v>
      </c>
      <c r="J1131" t="s">
        <v>52</v>
      </c>
      <c r="K1131" s="15">
        <v>3000</v>
      </c>
      <c r="L1131" s="15">
        <v>0</v>
      </c>
      <c r="M1131" s="13">
        <v>45188</v>
      </c>
      <c r="O1131">
        <v>0</v>
      </c>
      <c r="P1131">
        <v>0</v>
      </c>
      <c r="Q1131">
        <v>0</v>
      </c>
      <c r="R1131">
        <v>873.07944057146597</v>
      </c>
      <c r="S1131">
        <v>58056.516650665901</v>
      </c>
      <c r="T1131">
        <v>0</v>
      </c>
      <c r="U1131">
        <v>0</v>
      </c>
      <c r="V1131">
        <v>87423.783206604203</v>
      </c>
      <c r="W1131">
        <v>0</v>
      </c>
      <c r="X1131">
        <v>0</v>
      </c>
      <c r="Y1131">
        <v>146353.37929784157</v>
      </c>
      <c r="Z1131">
        <v>10183.620990008907</v>
      </c>
      <c r="AA1131">
        <v>156537.00028785047</v>
      </c>
      <c r="AB1131" t="s">
        <v>242</v>
      </c>
      <c r="AC1131">
        <v>1</v>
      </c>
      <c r="AD1131">
        <v>3000</v>
      </c>
      <c r="AE1131">
        <v>0</v>
      </c>
      <c r="AF1131">
        <v>0</v>
      </c>
      <c r="AG1131">
        <v>195.08930919626437</v>
      </c>
      <c r="AH1131" t="s">
        <v>72</v>
      </c>
    </row>
    <row r="1132" spans="1:34" x14ac:dyDescent="0.3">
      <c r="A1132" t="s">
        <v>798</v>
      </c>
      <c r="B1132">
        <v>4142300192</v>
      </c>
      <c r="C1132">
        <v>10067571</v>
      </c>
      <c r="D1132" t="s">
        <v>192</v>
      </c>
      <c r="E1132" t="s">
        <v>445</v>
      </c>
      <c r="F1132" t="s">
        <v>430</v>
      </c>
      <c r="G1132" t="s">
        <v>233</v>
      </c>
      <c r="H1132" t="s">
        <v>234</v>
      </c>
      <c r="J1132" t="s">
        <v>52</v>
      </c>
      <c r="K1132" s="15">
        <v>5000</v>
      </c>
      <c r="L1132" s="15">
        <v>0</v>
      </c>
      <c r="M1132" s="13">
        <v>45188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284599.93457943923</v>
      </c>
      <c r="Y1132">
        <v>284599.93457943923</v>
      </c>
      <c r="Z1132">
        <v>19921.995420560746</v>
      </c>
      <c r="AA1132">
        <v>304521.93</v>
      </c>
      <c r="AB1132" t="s">
        <v>242</v>
      </c>
      <c r="AC1132">
        <v>2</v>
      </c>
      <c r="AD1132">
        <v>10000</v>
      </c>
      <c r="AE1132">
        <v>0</v>
      </c>
      <c r="AF1132">
        <v>0</v>
      </c>
      <c r="AG1132">
        <v>654.20560747663512</v>
      </c>
      <c r="AH1132" t="s">
        <v>58</v>
      </c>
    </row>
    <row r="1133" spans="1:34" x14ac:dyDescent="0.3">
      <c r="A1133" t="s">
        <v>798</v>
      </c>
      <c r="B1133">
        <v>4302300039</v>
      </c>
      <c r="C1133" t="s">
        <v>109</v>
      </c>
      <c r="D1133" t="s">
        <v>226</v>
      </c>
      <c r="E1133" t="s">
        <v>447</v>
      </c>
      <c r="F1133" t="s">
        <v>433</v>
      </c>
      <c r="G1133" t="s">
        <v>82</v>
      </c>
      <c r="H1133" t="s">
        <v>83</v>
      </c>
      <c r="J1133" t="s">
        <v>416</v>
      </c>
      <c r="K1133" s="15">
        <v>0.25210401883644351</v>
      </c>
      <c r="L1133" s="15">
        <v>0</v>
      </c>
      <c r="M1133" s="13">
        <v>45189</v>
      </c>
      <c r="O1133">
        <v>0</v>
      </c>
      <c r="P1133">
        <v>0</v>
      </c>
      <c r="Q1133">
        <v>12673.27803671981</v>
      </c>
      <c r="R1133">
        <v>6700.9984120292329</v>
      </c>
      <c r="S1133">
        <v>24378.98382806265</v>
      </c>
      <c r="T1133">
        <v>0</v>
      </c>
      <c r="U1133">
        <v>0</v>
      </c>
      <c r="V1133">
        <v>181813.28117310643</v>
      </c>
      <c r="W1133">
        <v>0</v>
      </c>
      <c r="X1133">
        <v>0</v>
      </c>
      <c r="Y1133">
        <v>225566.54144991812</v>
      </c>
      <c r="Z1133">
        <v>14433.458550081838</v>
      </c>
      <c r="AA1133">
        <v>239999.99999999997</v>
      </c>
      <c r="AB1133" t="s">
        <v>242</v>
      </c>
      <c r="AC1133">
        <v>2</v>
      </c>
      <c r="AD1133">
        <v>6000</v>
      </c>
      <c r="AE1133">
        <v>0</v>
      </c>
      <c r="AF1133">
        <v>0</v>
      </c>
      <c r="AG1133">
        <v>358.7788848416435</v>
      </c>
      <c r="AH1133" t="s">
        <v>58</v>
      </c>
    </row>
    <row r="1134" spans="1:34" x14ac:dyDescent="0.3">
      <c r="A1134" t="s">
        <v>798</v>
      </c>
      <c r="B1134">
        <v>4132300331</v>
      </c>
      <c r="C1134">
        <v>9040040746</v>
      </c>
      <c r="D1134" t="s">
        <v>174</v>
      </c>
      <c r="E1134" t="s">
        <v>441</v>
      </c>
      <c r="F1134" t="s">
        <v>430</v>
      </c>
      <c r="G1134" t="s">
        <v>230</v>
      </c>
      <c r="H1134" t="s">
        <v>231</v>
      </c>
      <c r="J1134" t="s">
        <v>52</v>
      </c>
      <c r="K1134" s="15">
        <v>2000</v>
      </c>
      <c r="L1134" s="15">
        <v>0</v>
      </c>
      <c r="M1134" s="13">
        <v>45190</v>
      </c>
      <c r="O1134">
        <v>0</v>
      </c>
      <c r="P1134">
        <v>9332.6875042831871</v>
      </c>
      <c r="Q1134">
        <v>0</v>
      </c>
      <c r="R1134">
        <v>0</v>
      </c>
      <c r="S1134">
        <v>7733.8356164383558</v>
      </c>
      <c r="T1134">
        <v>40703.095790389547</v>
      </c>
      <c r="U1134">
        <v>0</v>
      </c>
      <c r="V1134">
        <v>0</v>
      </c>
      <c r="W1134">
        <v>168224.29906542055</v>
      </c>
      <c r="X1134">
        <v>0</v>
      </c>
      <c r="Y1134">
        <v>225993.91797653164</v>
      </c>
      <c r="Z1134">
        <v>14624.917639906707</v>
      </c>
      <c r="AA1134">
        <v>240618.83561643836</v>
      </c>
      <c r="AB1134" t="s">
        <v>242</v>
      </c>
      <c r="AC1134">
        <v>2</v>
      </c>
      <c r="AD1134">
        <v>4000</v>
      </c>
      <c r="AE1134">
        <v>0</v>
      </c>
      <c r="AF1134">
        <v>0</v>
      </c>
      <c r="AG1134">
        <v>241.90478999983452</v>
      </c>
      <c r="AH1134" t="s">
        <v>58</v>
      </c>
    </row>
    <row r="1135" spans="1:34" x14ac:dyDescent="0.3">
      <c r="A1135" t="s">
        <v>798</v>
      </c>
      <c r="B1135">
        <v>4142300097</v>
      </c>
      <c r="C1135">
        <v>82365</v>
      </c>
      <c r="D1135" t="s">
        <v>187</v>
      </c>
      <c r="E1135" t="s">
        <v>444</v>
      </c>
      <c r="F1135" t="s">
        <v>430</v>
      </c>
      <c r="G1135" t="s">
        <v>230</v>
      </c>
      <c r="H1135" t="s">
        <v>231</v>
      </c>
      <c r="J1135" t="s">
        <v>52</v>
      </c>
      <c r="K1135" s="15">
        <v>6000</v>
      </c>
      <c r="L1135" s="15">
        <v>0</v>
      </c>
      <c r="M1135" s="13">
        <v>45190</v>
      </c>
      <c r="O1135">
        <v>0</v>
      </c>
      <c r="P1135">
        <v>4157.4725124744618</v>
      </c>
      <c r="Q1135">
        <v>0</v>
      </c>
      <c r="R1135">
        <v>0</v>
      </c>
      <c r="S1135">
        <v>0</v>
      </c>
      <c r="T1135">
        <v>5809.2126051640553</v>
      </c>
      <c r="U1135">
        <v>7476.6355140186915</v>
      </c>
      <c r="V1135">
        <v>0</v>
      </c>
      <c r="W1135">
        <v>71222.429906542064</v>
      </c>
      <c r="X1135">
        <v>0</v>
      </c>
      <c r="Y1135">
        <v>88665.750538199267</v>
      </c>
      <c r="Z1135">
        <v>5915.5794618007376</v>
      </c>
      <c r="AA1135">
        <v>94581.33</v>
      </c>
      <c r="AB1135" t="s">
        <v>242</v>
      </c>
      <c r="AC1135">
        <v>1</v>
      </c>
      <c r="AD1135">
        <v>6000</v>
      </c>
      <c r="AE1135">
        <v>0</v>
      </c>
      <c r="AF1135">
        <v>0</v>
      </c>
      <c r="AG1135">
        <v>374.04025782543249</v>
      </c>
      <c r="AH1135" t="s">
        <v>72</v>
      </c>
    </row>
    <row r="1136" spans="1:34" x14ac:dyDescent="0.3">
      <c r="A1136" t="s">
        <v>798</v>
      </c>
      <c r="B1136">
        <v>4142301118</v>
      </c>
      <c r="C1136" t="s">
        <v>375</v>
      </c>
      <c r="D1136" t="s">
        <v>414</v>
      </c>
      <c r="E1136" t="s">
        <v>445</v>
      </c>
      <c r="F1136" t="s">
        <v>430</v>
      </c>
      <c r="G1136" t="s">
        <v>237</v>
      </c>
      <c r="H1136" t="s">
        <v>234</v>
      </c>
      <c r="J1136" t="s">
        <v>416</v>
      </c>
      <c r="K1136" s="15">
        <v>0.56465767780851439</v>
      </c>
      <c r="L1136" s="15">
        <v>0</v>
      </c>
      <c r="M1136" s="13">
        <v>45190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56074.766355140207</v>
      </c>
      <c r="Y1136">
        <v>56074.766355140207</v>
      </c>
      <c r="Z1136">
        <v>3925.2336448598148</v>
      </c>
      <c r="AA1136">
        <v>60000.000000000022</v>
      </c>
      <c r="AB1136" t="s">
        <v>242</v>
      </c>
      <c r="AC1136">
        <v>1</v>
      </c>
      <c r="AD1136">
        <v>10000</v>
      </c>
      <c r="AE1136">
        <v>0</v>
      </c>
      <c r="AF1136">
        <v>0</v>
      </c>
      <c r="AG1136">
        <v>654.20560747663512</v>
      </c>
      <c r="AH1136" t="s">
        <v>58</v>
      </c>
    </row>
    <row r="1137" spans="1:34" x14ac:dyDescent="0.3">
      <c r="A1137" t="s">
        <v>798</v>
      </c>
      <c r="B1137">
        <v>4142300885</v>
      </c>
      <c r="C1137">
        <v>10411002</v>
      </c>
      <c r="D1137" t="s">
        <v>279</v>
      </c>
      <c r="E1137" t="s">
        <v>445</v>
      </c>
      <c r="F1137" t="s">
        <v>430</v>
      </c>
      <c r="G1137" t="s">
        <v>237</v>
      </c>
      <c r="H1137" t="s">
        <v>234</v>
      </c>
      <c r="J1137" t="s">
        <v>425</v>
      </c>
      <c r="K1137" s="15">
        <v>350000</v>
      </c>
      <c r="L1137" s="15">
        <v>65</v>
      </c>
      <c r="M1137" s="13">
        <v>45191</v>
      </c>
      <c r="O1137">
        <v>65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385925.23364485987</v>
      </c>
      <c r="Y1137">
        <v>385990.23364485987</v>
      </c>
      <c r="Z1137">
        <v>27014.766355140193</v>
      </c>
      <c r="AA1137">
        <v>413005.00000000006</v>
      </c>
      <c r="AB1137" t="s">
        <v>242</v>
      </c>
      <c r="AC1137">
        <v>0</v>
      </c>
      <c r="AD1137">
        <v>0</v>
      </c>
      <c r="AE1137">
        <v>0</v>
      </c>
      <c r="AF1137">
        <v>374500</v>
      </c>
      <c r="AG1137">
        <v>24500</v>
      </c>
      <c r="AH1137" t="s">
        <v>72</v>
      </c>
    </row>
    <row r="1138" spans="1:34" x14ac:dyDescent="0.3">
      <c r="A1138" t="s">
        <v>798</v>
      </c>
      <c r="B1138">
        <v>52200647</v>
      </c>
      <c r="C1138">
        <v>29594859</v>
      </c>
      <c r="D1138" t="s">
        <v>139</v>
      </c>
      <c r="E1138" t="s">
        <v>438</v>
      </c>
      <c r="F1138" t="s">
        <v>431</v>
      </c>
      <c r="G1138" t="s">
        <v>82</v>
      </c>
      <c r="H1138" t="s">
        <v>83</v>
      </c>
      <c r="J1138" t="s">
        <v>52</v>
      </c>
      <c r="K1138" s="15">
        <v>500</v>
      </c>
      <c r="L1138" s="15">
        <v>0</v>
      </c>
      <c r="M1138" s="13">
        <v>45191</v>
      </c>
      <c r="O1138">
        <v>0</v>
      </c>
      <c r="P1138">
        <v>0</v>
      </c>
      <c r="Q1138">
        <v>0</v>
      </c>
      <c r="R1138">
        <v>969.64064927287438</v>
      </c>
      <c r="S1138">
        <v>38698.673131520678</v>
      </c>
      <c r="T1138">
        <v>0</v>
      </c>
      <c r="U1138">
        <v>0</v>
      </c>
      <c r="V1138">
        <v>58470.824672897194</v>
      </c>
      <c r="W1138">
        <v>0</v>
      </c>
      <c r="X1138">
        <v>0</v>
      </c>
      <c r="Y1138">
        <v>98139.138453690743</v>
      </c>
      <c r="Z1138">
        <v>6801.8648463092513</v>
      </c>
      <c r="AA1138">
        <v>104941.0033</v>
      </c>
      <c r="AB1138" t="s">
        <v>242</v>
      </c>
      <c r="AC1138">
        <v>5</v>
      </c>
      <c r="AD1138">
        <v>7000</v>
      </c>
      <c r="AE1138">
        <v>0</v>
      </c>
      <c r="AF1138">
        <v>0</v>
      </c>
      <c r="AG1138">
        <v>453.40639761598243</v>
      </c>
      <c r="AH1138" t="s">
        <v>58</v>
      </c>
    </row>
    <row r="1139" spans="1:34" x14ac:dyDescent="0.3">
      <c r="A1139" t="s">
        <v>798</v>
      </c>
      <c r="B1139">
        <v>52200671</v>
      </c>
      <c r="C1139">
        <v>27488939</v>
      </c>
      <c r="D1139" t="s">
        <v>857</v>
      </c>
      <c r="E1139" t="s">
        <v>438</v>
      </c>
      <c r="F1139" t="s">
        <v>431</v>
      </c>
      <c r="G1139" t="s">
        <v>82</v>
      </c>
      <c r="H1139" t="s">
        <v>83</v>
      </c>
      <c r="J1139" t="s">
        <v>52</v>
      </c>
      <c r="K1139" s="15">
        <v>1000</v>
      </c>
      <c r="L1139" s="15">
        <v>0</v>
      </c>
      <c r="M1139" s="13">
        <v>45191</v>
      </c>
      <c r="O1139">
        <v>0</v>
      </c>
      <c r="P1139">
        <v>0</v>
      </c>
      <c r="Q1139">
        <v>0</v>
      </c>
      <c r="R1139">
        <v>872.61282341717617</v>
      </c>
      <c r="S1139">
        <v>24079.038367808986</v>
      </c>
      <c r="T1139">
        <v>0</v>
      </c>
      <c r="U1139">
        <v>0</v>
      </c>
      <c r="V1139">
        <v>53483.939690487481</v>
      </c>
      <c r="W1139">
        <v>0</v>
      </c>
      <c r="X1139">
        <v>0</v>
      </c>
      <c r="Y1139">
        <v>78435.590881713637</v>
      </c>
      <c r="Z1139">
        <v>5429.4084640807523</v>
      </c>
      <c r="AA1139">
        <v>83864.999345794393</v>
      </c>
      <c r="AB1139" t="s">
        <v>242</v>
      </c>
      <c r="AC1139">
        <v>7</v>
      </c>
      <c r="AD1139">
        <v>10500</v>
      </c>
      <c r="AE1139">
        <v>0</v>
      </c>
      <c r="AF1139">
        <v>0</v>
      </c>
      <c r="AG1139">
        <v>679.23635293383438</v>
      </c>
      <c r="AH1139" t="s">
        <v>58</v>
      </c>
    </row>
    <row r="1140" spans="1:34" x14ac:dyDescent="0.3">
      <c r="A1140" t="s">
        <v>798</v>
      </c>
      <c r="B1140">
        <v>52200938</v>
      </c>
      <c r="C1140">
        <v>26269572</v>
      </c>
      <c r="D1140" t="s">
        <v>144</v>
      </c>
      <c r="E1140" t="s">
        <v>438</v>
      </c>
      <c r="F1140" t="s">
        <v>431</v>
      </c>
      <c r="G1140" t="s">
        <v>82</v>
      </c>
      <c r="H1140" t="s">
        <v>83</v>
      </c>
      <c r="J1140" t="s">
        <v>52</v>
      </c>
      <c r="K1140" s="15">
        <v>3000</v>
      </c>
      <c r="L1140" s="15">
        <v>0</v>
      </c>
      <c r="M1140" s="13">
        <v>45191</v>
      </c>
      <c r="O1140">
        <v>0</v>
      </c>
      <c r="P1140">
        <v>0</v>
      </c>
      <c r="Q1140">
        <v>0</v>
      </c>
      <c r="R1140">
        <v>960.89807572133122</v>
      </c>
      <c r="S1140">
        <v>16641.551507615641</v>
      </c>
      <c r="T1140">
        <v>0</v>
      </c>
      <c r="U1140">
        <v>0</v>
      </c>
      <c r="V1140">
        <v>47963.216707056527</v>
      </c>
      <c r="W1140">
        <v>0</v>
      </c>
      <c r="X1140">
        <v>0</v>
      </c>
      <c r="Y1140">
        <v>65565.666290393507</v>
      </c>
      <c r="Z1140">
        <v>4522.3337750270521</v>
      </c>
      <c r="AA1140">
        <v>70088.000065420565</v>
      </c>
      <c r="AB1140" t="s">
        <v>242</v>
      </c>
      <c r="AC1140">
        <v>5</v>
      </c>
      <c r="AD1140">
        <v>12000</v>
      </c>
      <c r="AE1140">
        <v>0</v>
      </c>
      <c r="AF1140">
        <v>0</v>
      </c>
      <c r="AG1140">
        <v>773.46062177616204</v>
      </c>
      <c r="AH1140" t="s">
        <v>58</v>
      </c>
    </row>
    <row r="1141" spans="1:34" x14ac:dyDescent="0.3">
      <c r="A1141" t="s">
        <v>798</v>
      </c>
      <c r="B1141">
        <v>4132300375</v>
      </c>
      <c r="C1141">
        <v>1010227956</v>
      </c>
      <c r="D1141" t="s">
        <v>175</v>
      </c>
      <c r="E1141" t="s">
        <v>441</v>
      </c>
      <c r="F1141" t="s">
        <v>430</v>
      </c>
      <c r="G1141" t="s">
        <v>233</v>
      </c>
      <c r="H1141" t="s">
        <v>231</v>
      </c>
      <c r="J1141" t="s">
        <v>52</v>
      </c>
      <c r="K1141" s="15">
        <v>2000</v>
      </c>
      <c r="L1141" s="15">
        <v>0</v>
      </c>
      <c r="M1141" s="13">
        <v>45191</v>
      </c>
      <c r="O1141">
        <v>0</v>
      </c>
      <c r="P1141">
        <v>923.68414747057477</v>
      </c>
      <c r="Q1141">
        <v>0</v>
      </c>
      <c r="R1141">
        <v>0</v>
      </c>
      <c r="S1141">
        <v>15778.047945205479</v>
      </c>
      <c r="T1141">
        <v>4370.3886472237627</v>
      </c>
      <c r="U1141">
        <v>0</v>
      </c>
      <c r="V1141">
        <v>0</v>
      </c>
      <c r="W1141">
        <v>0</v>
      </c>
      <c r="X1141">
        <v>0</v>
      </c>
      <c r="Y1141">
        <v>21072.120739899816</v>
      </c>
      <c r="Z1141">
        <v>305.92720530566345</v>
      </c>
      <c r="AA1141">
        <v>21378.047945205479</v>
      </c>
      <c r="AB1141" t="s">
        <v>242</v>
      </c>
      <c r="AC1141">
        <v>2</v>
      </c>
      <c r="AD1141">
        <v>4000</v>
      </c>
      <c r="AE1141">
        <v>0</v>
      </c>
      <c r="AF1141">
        <v>0</v>
      </c>
      <c r="AG1141">
        <v>53.885878806486176</v>
      </c>
      <c r="AH1141" t="s">
        <v>58</v>
      </c>
    </row>
    <row r="1142" spans="1:34" x14ac:dyDescent="0.3">
      <c r="A1142" t="s">
        <v>798</v>
      </c>
      <c r="B1142">
        <v>4142300377</v>
      </c>
      <c r="C1142">
        <v>10166278</v>
      </c>
      <c r="D1142" t="s">
        <v>917</v>
      </c>
      <c r="E1142" t="s">
        <v>445</v>
      </c>
      <c r="F1142" t="s">
        <v>430</v>
      </c>
      <c r="G1142" t="s">
        <v>230</v>
      </c>
      <c r="H1142" t="s">
        <v>234</v>
      </c>
      <c r="J1142" t="s">
        <v>52</v>
      </c>
      <c r="K1142" s="15">
        <v>50000</v>
      </c>
      <c r="L1142" s="15">
        <v>0</v>
      </c>
      <c r="M1142" s="13">
        <v>45191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616561.51581103588</v>
      </c>
      <c r="Y1142">
        <v>616561.51581103588</v>
      </c>
      <c r="Z1142">
        <v>43159.306106772514</v>
      </c>
      <c r="AA1142">
        <v>659720.82191780838</v>
      </c>
      <c r="AB1142" t="s">
        <v>242</v>
      </c>
      <c r="AC1142">
        <v>3</v>
      </c>
      <c r="AD1142">
        <v>90000</v>
      </c>
      <c r="AE1142">
        <v>0</v>
      </c>
      <c r="AF1142">
        <v>0</v>
      </c>
      <c r="AG1142">
        <v>5887.8504672897179</v>
      </c>
      <c r="AH1142" t="s">
        <v>58</v>
      </c>
    </row>
    <row r="1143" spans="1:34" x14ac:dyDescent="0.3">
      <c r="A1143" t="s">
        <v>798</v>
      </c>
      <c r="B1143">
        <v>4302300048</v>
      </c>
      <c r="C1143">
        <v>901020006420</v>
      </c>
      <c r="D1143" t="s">
        <v>228</v>
      </c>
      <c r="E1143" t="s">
        <v>447</v>
      </c>
      <c r="F1143" t="s">
        <v>433</v>
      </c>
      <c r="G1143" t="s">
        <v>82</v>
      </c>
      <c r="H1143" t="s">
        <v>83</v>
      </c>
      <c r="J1143" t="s">
        <v>52</v>
      </c>
      <c r="K1143" s="15">
        <v>20000</v>
      </c>
      <c r="L1143" s="15">
        <v>0</v>
      </c>
      <c r="M1143" s="13">
        <v>45191</v>
      </c>
      <c r="O1143">
        <v>0</v>
      </c>
      <c r="P1143">
        <v>0</v>
      </c>
      <c r="Q1143">
        <v>24319.87522474091</v>
      </c>
      <c r="R1143">
        <v>2772.12</v>
      </c>
      <c r="S1143">
        <v>0</v>
      </c>
      <c r="T1143">
        <v>0</v>
      </c>
      <c r="U1143">
        <v>0</v>
      </c>
      <c r="V1143">
        <v>365724.35296753177</v>
      </c>
      <c r="W1143">
        <v>0</v>
      </c>
      <c r="X1143">
        <v>0</v>
      </c>
      <c r="Y1143">
        <v>392816.34819227271</v>
      </c>
      <c r="Z1143">
        <v>25600.704707727225</v>
      </c>
      <c r="AA1143">
        <v>418417.05289999995</v>
      </c>
      <c r="AB1143" t="s">
        <v>242</v>
      </c>
      <c r="AC1143">
        <v>5</v>
      </c>
      <c r="AD1143">
        <v>142804</v>
      </c>
      <c r="AE1143">
        <v>0</v>
      </c>
      <c r="AF1143">
        <v>0</v>
      </c>
      <c r="AG1143">
        <v>8690.0181922727679</v>
      </c>
      <c r="AH1143" t="s">
        <v>58</v>
      </c>
    </row>
    <row r="1144" spans="1:34" x14ac:dyDescent="0.3">
      <c r="A1144" t="s">
        <v>798</v>
      </c>
      <c r="B1144">
        <v>4132301299</v>
      </c>
      <c r="C1144" t="s">
        <v>469</v>
      </c>
      <c r="D1144" t="s">
        <v>542</v>
      </c>
      <c r="E1144" t="s">
        <v>441</v>
      </c>
      <c r="F1144" t="s">
        <v>430</v>
      </c>
      <c r="G1144" t="s">
        <v>230</v>
      </c>
      <c r="H1144" t="s">
        <v>231</v>
      </c>
      <c r="J1144" t="s">
        <v>416</v>
      </c>
      <c r="K1144" s="15">
        <v>0.21358240148234331</v>
      </c>
      <c r="L1144" s="15">
        <v>0</v>
      </c>
      <c r="M1144" s="13">
        <v>45191</v>
      </c>
      <c r="O1144">
        <v>0</v>
      </c>
      <c r="P1144">
        <v>3224.3121539223926</v>
      </c>
      <c r="Q1144">
        <v>0</v>
      </c>
      <c r="R1144">
        <v>0</v>
      </c>
      <c r="S1144">
        <v>2396.7422920302497</v>
      </c>
      <c r="T1144">
        <v>734.9697182408006</v>
      </c>
      <c r="U1144">
        <v>0</v>
      </c>
      <c r="V1144">
        <v>0</v>
      </c>
      <c r="W1144">
        <v>22049.091547224019</v>
      </c>
      <c r="X1144">
        <v>0</v>
      </c>
      <c r="Y1144">
        <v>28405.115711417464</v>
      </c>
      <c r="Z1144">
        <v>1594.8842885825377</v>
      </c>
      <c r="AA1144">
        <v>30000</v>
      </c>
      <c r="AB1144" t="s">
        <v>242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 t="s">
        <v>72</v>
      </c>
    </row>
    <row r="1145" spans="1:34" x14ac:dyDescent="0.3">
      <c r="A1145" t="s">
        <v>798</v>
      </c>
      <c r="B1145">
        <v>4132301299</v>
      </c>
      <c r="C1145" t="s">
        <v>469</v>
      </c>
      <c r="D1145" t="s">
        <v>542</v>
      </c>
      <c r="E1145" t="s">
        <v>441</v>
      </c>
      <c r="F1145" t="s">
        <v>430</v>
      </c>
      <c r="G1145" t="s">
        <v>421</v>
      </c>
      <c r="H1145" t="s">
        <v>231</v>
      </c>
      <c r="J1145" t="s">
        <v>52</v>
      </c>
      <c r="K1145" s="15">
        <v>30000</v>
      </c>
      <c r="L1145" s="15">
        <v>0</v>
      </c>
      <c r="M1145" s="13">
        <v>45191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 t="s">
        <v>242</v>
      </c>
      <c r="AC1145">
        <v>1</v>
      </c>
      <c r="AD1145">
        <v>30000</v>
      </c>
      <c r="AE1145">
        <v>0</v>
      </c>
      <c r="AF1145">
        <v>0</v>
      </c>
      <c r="AG1145">
        <v>1594.8842885825361</v>
      </c>
      <c r="AH1145" t="s">
        <v>58</v>
      </c>
    </row>
    <row r="1146" spans="1:34" x14ac:dyDescent="0.3">
      <c r="A1146" t="s">
        <v>798</v>
      </c>
      <c r="B1146">
        <v>4142300366</v>
      </c>
      <c r="C1146" t="s">
        <v>488</v>
      </c>
      <c r="D1146" t="s">
        <v>560</v>
      </c>
      <c r="E1146" t="s">
        <v>445</v>
      </c>
      <c r="F1146" t="s">
        <v>430</v>
      </c>
      <c r="G1146" t="s">
        <v>421</v>
      </c>
      <c r="H1146" t="s">
        <v>234</v>
      </c>
      <c r="J1146" t="s">
        <v>450</v>
      </c>
      <c r="K1146" s="15">
        <v>192600</v>
      </c>
      <c r="L1146" s="15">
        <v>0</v>
      </c>
      <c r="M1146" s="13">
        <v>45191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198599.82242990652</v>
      </c>
      <c r="Y1146">
        <v>198599.82242990652</v>
      </c>
      <c r="Z1146">
        <v>13901.987570093457</v>
      </c>
      <c r="AA1146">
        <v>212501.80999999997</v>
      </c>
      <c r="AB1146" t="s">
        <v>242</v>
      </c>
      <c r="AC1146">
        <v>0</v>
      </c>
      <c r="AD1146">
        <v>0</v>
      </c>
      <c r="AE1146">
        <v>0</v>
      </c>
      <c r="AF1146">
        <v>192600</v>
      </c>
      <c r="AG1146">
        <v>12600</v>
      </c>
      <c r="AH1146" t="s">
        <v>72</v>
      </c>
    </row>
    <row r="1147" spans="1:34" x14ac:dyDescent="0.3">
      <c r="A1147" t="s">
        <v>798</v>
      </c>
      <c r="B1147">
        <v>4142300439</v>
      </c>
      <c r="C1147" t="s">
        <v>490</v>
      </c>
      <c r="D1147" t="s">
        <v>562</v>
      </c>
      <c r="E1147" t="s">
        <v>445</v>
      </c>
      <c r="F1147" t="s">
        <v>430</v>
      </c>
      <c r="G1147" t="s">
        <v>421</v>
      </c>
      <c r="H1147" t="s">
        <v>234</v>
      </c>
      <c r="J1147" t="s">
        <v>450</v>
      </c>
      <c r="K1147" s="15">
        <v>80250</v>
      </c>
      <c r="L1147" s="15">
        <v>0</v>
      </c>
      <c r="M1147" s="13">
        <v>45191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161349.78773524519</v>
      </c>
      <c r="Y1147">
        <v>161349.78773524519</v>
      </c>
      <c r="Z1147">
        <v>11294.485141467165</v>
      </c>
      <c r="AA1147">
        <v>172644.27287671235</v>
      </c>
      <c r="AB1147" t="s">
        <v>242</v>
      </c>
      <c r="AC1147">
        <v>0</v>
      </c>
      <c r="AD1147">
        <v>0</v>
      </c>
      <c r="AE1147">
        <v>0</v>
      </c>
      <c r="AF1147">
        <v>80250</v>
      </c>
      <c r="AG1147">
        <v>5250</v>
      </c>
      <c r="AH1147" t="s">
        <v>72</v>
      </c>
    </row>
    <row r="1148" spans="1:34" x14ac:dyDescent="0.3">
      <c r="A1148" t="s">
        <v>798</v>
      </c>
      <c r="B1148">
        <v>4142300923</v>
      </c>
      <c r="C1148" t="s">
        <v>502</v>
      </c>
      <c r="D1148" t="s">
        <v>574</v>
      </c>
      <c r="E1148" t="s">
        <v>445</v>
      </c>
      <c r="F1148" t="s">
        <v>430</v>
      </c>
      <c r="G1148" t="s">
        <v>421</v>
      </c>
      <c r="H1148" t="s">
        <v>234</v>
      </c>
      <c r="J1148" t="s">
        <v>450</v>
      </c>
      <c r="K1148" s="15">
        <v>181900</v>
      </c>
      <c r="L1148" s="15">
        <v>0</v>
      </c>
      <c r="M1148" s="13">
        <v>45191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187689.41121495329</v>
      </c>
      <c r="Y1148">
        <v>187689.41121495329</v>
      </c>
      <c r="Z1148">
        <v>13138.258785046732</v>
      </c>
      <c r="AA1148">
        <v>200827.67</v>
      </c>
      <c r="AB1148" t="s">
        <v>242</v>
      </c>
      <c r="AC1148">
        <v>0</v>
      </c>
      <c r="AD1148">
        <v>0</v>
      </c>
      <c r="AE1148">
        <v>0</v>
      </c>
      <c r="AF1148">
        <v>181900</v>
      </c>
      <c r="AG1148">
        <v>11900</v>
      </c>
      <c r="AH1148" t="s">
        <v>72</v>
      </c>
    </row>
    <row r="1149" spans="1:34" x14ac:dyDescent="0.3">
      <c r="A1149" t="s">
        <v>798</v>
      </c>
      <c r="B1149">
        <v>4302300039</v>
      </c>
      <c r="C1149" t="s">
        <v>109</v>
      </c>
      <c r="D1149" t="s">
        <v>226</v>
      </c>
      <c r="E1149" t="s">
        <v>447</v>
      </c>
      <c r="F1149" t="s">
        <v>433</v>
      </c>
      <c r="G1149" t="s">
        <v>82</v>
      </c>
      <c r="H1149" t="s">
        <v>83</v>
      </c>
      <c r="J1149" t="s">
        <v>52</v>
      </c>
      <c r="K1149" s="15">
        <v>200000</v>
      </c>
      <c r="L1149" s="15">
        <v>0</v>
      </c>
      <c r="M1149" s="13">
        <v>45191</v>
      </c>
      <c r="O1149">
        <v>0</v>
      </c>
      <c r="P1149">
        <v>0</v>
      </c>
      <c r="Q1149">
        <v>0</v>
      </c>
      <c r="R1149">
        <v>2195.9517519981755</v>
      </c>
      <c r="S1149">
        <v>0</v>
      </c>
      <c r="T1149">
        <v>0</v>
      </c>
      <c r="U1149">
        <v>0</v>
      </c>
      <c r="V1149">
        <v>35330.886213085789</v>
      </c>
      <c r="W1149">
        <v>0</v>
      </c>
      <c r="X1149">
        <v>0</v>
      </c>
      <c r="Y1149">
        <v>37526.837965083963</v>
      </c>
      <c r="Z1149">
        <v>2473.1620349160053</v>
      </c>
      <c r="AA1149">
        <v>39999.999999999971</v>
      </c>
      <c r="AB1149" t="s">
        <v>242</v>
      </c>
      <c r="AC1149">
        <v>3</v>
      </c>
      <c r="AD1149">
        <v>206000</v>
      </c>
      <c r="AE1149">
        <v>0</v>
      </c>
      <c r="AF1149">
        <v>0</v>
      </c>
      <c r="AG1149">
        <v>12319.075400007472</v>
      </c>
      <c r="AH1149" t="s">
        <v>58</v>
      </c>
    </row>
    <row r="1150" spans="1:34" x14ac:dyDescent="0.3">
      <c r="A1150" t="s">
        <v>798</v>
      </c>
      <c r="B1150">
        <v>4142300628</v>
      </c>
      <c r="C1150">
        <v>10270495</v>
      </c>
      <c r="D1150" t="s">
        <v>921</v>
      </c>
      <c r="E1150" t="s">
        <v>445</v>
      </c>
      <c r="F1150" t="s">
        <v>430</v>
      </c>
      <c r="G1150" t="s">
        <v>237</v>
      </c>
      <c r="H1150" t="s">
        <v>234</v>
      </c>
      <c r="J1150" t="s">
        <v>52</v>
      </c>
      <c r="K1150" s="15">
        <v>1000</v>
      </c>
      <c r="L1150" s="15">
        <v>0</v>
      </c>
      <c r="M1150" s="13">
        <v>45192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89383.177570093452</v>
      </c>
      <c r="Y1150">
        <v>89383.177570093452</v>
      </c>
      <c r="Z1150">
        <v>6256.8224299065423</v>
      </c>
      <c r="AA1150">
        <v>95640</v>
      </c>
      <c r="AB1150" t="s">
        <v>242</v>
      </c>
      <c r="AC1150">
        <v>1</v>
      </c>
      <c r="AD1150">
        <v>1000</v>
      </c>
      <c r="AE1150">
        <v>0</v>
      </c>
      <c r="AF1150">
        <v>0</v>
      </c>
      <c r="AG1150">
        <v>65.420560747663558</v>
      </c>
      <c r="AH1150" t="s">
        <v>72</v>
      </c>
    </row>
    <row r="1151" spans="1:34" x14ac:dyDescent="0.3">
      <c r="A1151" t="s">
        <v>798</v>
      </c>
      <c r="B1151">
        <v>12200153</v>
      </c>
      <c r="C1151">
        <v>19444639</v>
      </c>
      <c r="D1151" t="s">
        <v>114</v>
      </c>
      <c r="E1151" t="s">
        <v>438</v>
      </c>
      <c r="F1151" t="s">
        <v>427</v>
      </c>
      <c r="G1151" t="s">
        <v>82</v>
      </c>
      <c r="H1151" t="s">
        <v>82</v>
      </c>
      <c r="J1151" t="s">
        <v>52</v>
      </c>
      <c r="K1151" s="15">
        <v>3700</v>
      </c>
      <c r="L1151" s="15">
        <v>0</v>
      </c>
      <c r="M1151" s="13">
        <v>45194</v>
      </c>
      <c r="O1151">
        <v>0</v>
      </c>
      <c r="P1151">
        <v>0</v>
      </c>
      <c r="Q1151">
        <v>0</v>
      </c>
      <c r="R1151">
        <v>0</v>
      </c>
      <c r="S1151">
        <v>8806.3348539576109</v>
      </c>
      <c r="T1151">
        <v>0</v>
      </c>
      <c r="U1151">
        <v>0</v>
      </c>
      <c r="V1151">
        <v>128346.39254936486</v>
      </c>
      <c r="W1151">
        <v>0</v>
      </c>
      <c r="X1151">
        <v>0</v>
      </c>
      <c r="Y1151">
        <v>137152.72740332247</v>
      </c>
      <c r="Z1151">
        <v>0</v>
      </c>
      <c r="AA1151">
        <v>137152.72740332247</v>
      </c>
      <c r="AB1151" t="s">
        <v>242</v>
      </c>
      <c r="AC1151">
        <v>4</v>
      </c>
      <c r="AD1151">
        <v>37400</v>
      </c>
      <c r="AE1151">
        <v>0</v>
      </c>
      <c r="AF1151">
        <v>0</v>
      </c>
      <c r="AG1151">
        <v>0</v>
      </c>
      <c r="AH1151" t="s">
        <v>58</v>
      </c>
    </row>
    <row r="1152" spans="1:34" x14ac:dyDescent="0.3">
      <c r="A1152" t="s">
        <v>798</v>
      </c>
      <c r="B1152">
        <v>12200198</v>
      </c>
      <c r="C1152">
        <v>21155200</v>
      </c>
      <c r="D1152" t="s">
        <v>815</v>
      </c>
      <c r="E1152" t="s">
        <v>438</v>
      </c>
      <c r="F1152" t="s">
        <v>427</v>
      </c>
      <c r="G1152" t="s">
        <v>82</v>
      </c>
      <c r="H1152" t="s">
        <v>82</v>
      </c>
      <c r="J1152" t="s">
        <v>52</v>
      </c>
      <c r="K1152" s="15">
        <v>1500</v>
      </c>
      <c r="L1152" s="15">
        <v>0</v>
      </c>
      <c r="M1152" s="13">
        <v>45194</v>
      </c>
      <c r="O1152">
        <v>0</v>
      </c>
      <c r="P1152">
        <v>0</v>
      </c>
      <c r="Q1152">
        <v>0</v>
      </c>
      <c r="R1152">
        <v>0</v>
      </c>
      <c r="S1152">
        <v>15252.267691327819</v>
      </c>
      <c r="T1152">
        <v>0</v>
      </c>
      <c r="U1152">
        <v>0</v>
      </c>
      <c r="V1152">
        <v>142102.18304325169</v>
      </c>
      <c r="W1152">
        <v>0</v>
      </c>
      <c r="X1152">
        <v>0</v>
      </c>
      <c r="Y1152">
        <v>157354.4507345795</v>
      </c>
      <c r="Z1152">
        <v>0</v>
      </c>
      <c r="AA1152">
        <v>157354.4507345795</v>
      </c>
      <c r="AB1152" t="s">
        <v>242</v>
      </c>
      <c r="AC1152">
        <v>10</v>
      </c>
      <c r="AD1152">
        <v>24000</v>
      </c>
      <c r="AE1152">
        <v>0</v>
      </c>
      <c r="AF1152">
        <v>0</v>
      </c>
      <c r="AG1152">
        <v>0</v>
      </c>
      <c r="AH1152" t="s">
        <v>58</v>
      </c>
    </row>
    <row r="1153" spans="1:34" x14ac:dyDescent="0.3">
      <c r="A1153" t="s">
        <v>798</v>
      </c>
      <c r="B1153">
        <v>52200413</v>
      </c>
      <c r="C1153">
        <v>25523297</v>
      </c>
      <c r="D1153" t="s">
        <v>137</v>
      </c>
      <c r="E1153" t="s">
        <v>436</v>
      </c>
      <c r="F1153" t="s">
        <v>431</v>
      </c>
      <c r="G1153" t="s">
        <v>82</v>
      </c>
      <c r="H1153" t="s">
        <v>83</v>
      </c>
      <c r="J1153" t="s">
        <v>52</v>
      </c>
      <c r="K1153" s="15">
        <v>1000</v>
      </c>
      <c r="L1153" s="15">
        <v>0</v>
      </c>
      <c r="M1153" s="13">
        <v>45194</v>
      </c>
      <c r="O1153">
        <v>0</v>
      </c>
      <c r="P1153">
        <v>0</v>
      </c>
      <c r="Q1153">
        <v>0</v>
      </c>
      <c r="R1153">
        <v>958.26749742349534</v>
      </c>
      <c r="S1153">
        <v>36354.945188013677</v>
      </c>
      <c r="T1153">
        <v>0</v>
      </c>
      <c r="U1153">
        <v>0</v>
      </c>
      <c r="V1153">
        <v>53410.225185605734</v>
      </c>
      <c r="W1153">
        <v>0</v>
      </c>
      <c r="X1153">
        <v>0</v>
      </c>
      <c r="Y1153">
        <v>90723.437871042901</v>
      </c>
      <c r="Z1153">
        <v>6283.5619261533602</v>
      </c>
      <c r="AA1153">
        <v>97006.999797196258</v>
      </c>
      <c r="AB1153" t="s">
        <v>242</v>
      </c>
      <c r="AC1153">
        <v>3</v>
      </c>
      <c r="AD1153">
        <v>3000</v>
      </c>
      <c r="AE1153">
        <v>0</v>
      </c>
      <c r="AF1153">
        <v>0</v>
      </c>
      <c r="AG1153">
        <v>194.18572413050902</v>
      </c>
      <c r="AH1153" t="s">
        <v>58</v>
      </c>
    </row>
    <row r="1154" spans="1:34" x14ac:dyDescent="0.3">
      <c r="A1154" t="s">
        <v>798</v>
      </c>
      <c r="B1154">
        <v>52201351</v>
      </c>
      <c r="C1154">
        <v>22940816</v>
      </c>
      <c r="D1154" t="s">
        <v>155</v>
      </c>
      <c r="E1154" t="s">
        <v>438</v>
      </c>
      <c r="F1154" t="s">
        <v>431</v>
      </c>
      <c r="G1154" t="s">
        <v>82</v>
      </c>
      <c r="H1154" t="s">
        <v>83</v>
      </c>
      <c r="J1154" t="s">
        <v>52</v>
      </c>
      <c r="K1154" s="15">
        <v>1000</v>
      </c>
      <c r="L1154" s="15">
        <v>0</v>
      </c>
      <c r="M1154" s="13">
        <v>45194</v>
      </c>
      <c r="O1154">
        <v>0</v>
      </c>
      <c r="P1154">
        <v>0</v>
      </c>
      <c r="Q1154">
        <v>0</v>
      </c>
      <c r="R1154">
        <v>858.94448764334243</v>
      </c>
      <c r="S1154">
        <v>27298.347999139369</v>
      </c>
      <c r="T1154">
        <v>0</v>
      </c>
      <c r="U1154">
        <v>0</v>
      </c>
      <c r="V1154">
        <v>73829.741339665459</v>
      </c>
      <c r="W1154">
        <v>0</v>
      </c>
      <c r="X1154">
        <v>0</v>
      </c>
      <c r="Y1154">
        <v>101987.03382644817</v>
      </c>
      <c r="Z1154">
        <v>7078.9662537163385</v>
      </c>
      <c r="AA1154">
        <v>109066.00008016451</v>
      </c>
      <c r="AB1154" t="s">
        <v>242</v>
      </c>
      <c r="AC1154">
        <v>3</v>
      </c>
      <c r="AD1154">
        <v>3800</v>
      </c>
      <c r="AE1154">
        <v>0</v>
      </c>
      <c r="AF1154">
        <v>0</v>
      </c>
      <c r="AG1154">
        <v>246.50104124769541</v>
      </c>
      <c r="AH1154" t="s">
        <v>58</v>
      </c>
    </row>
    <row r="1155" spans="1:34" x14ac:dyDescent="0.3">
      <c r="A1155" t="s">
        <v>798</v>
      </c>
      <c r="B1155">
        <v>4132301147</v>
      </c>
      <c r="C1155">
        <v>3100025875</v>
      </c>
      <c r="D1155" t="s">
        <v>180</v>
      </c>
      <c r="E1155" t="s">
        <v>441</v>
      </c>
      <c r="F1155" t="s">
        <v>430</v>
      </c>
      <c r="G1155" t="s">
        <v>233</v>
      </c>
      <c r="H1155" t="s">
        <v>231</v>
      </c>
      <c r="J1155" t="s">
        <v>52</v>
      </c>
      <c r="K1155" s="15">
        <v>1000</v>
      </c>
      <c r="L1155" s="15">
        <v>0</v>
      </c>
      <c r="M1155" s="13">
        <v>45194</v>
      </c>
      <c r="O1155">
        <v>0</v>
      </c>
      <c r="P1155">
        <v>2410.2123659065683</v>
      </c>
      <c r="Q1155">
        <v>0</v>
      </c>
      <c r="R1155">
        <v>0</v>
      </c>
      <c r="S1155">
        <v>1065.7191780821918</v>
      </c>
      <c r="T1155">
        <v>2747.4650785919926</v>
      </c>
      <c r="U1155">
        <v>0</v>
      </c>
      <c r="V1155">
        <v>0</v>
      </c>
      <c r="W1155">
        <v>0</v>
      </c>
      <c r="X1155">
        <v>0</v>
      </c>
      <c r="Y1155">
        <v>6223.3966225807526</v>
      </c>
      <c r="Z1155">
        <v>192.3225555014395</v>
      </c>
      <c r="AA1155">
        <v>6415.7191780821922</v>
      </c>
      <c r="AB1155" t="s">
        <v>242</v>
      </c>
      <c r="AC1155">
        <v>3</v>
      </c>
      <c r="AD1155">
        <v>3000</v>
      </c>
      <c r="AE1155">
        <v>0</v>
      </c>
      <c r="AF1155">
        <v>0</v>
      </c>
      <c r="AG1155">
        <v>85.714827676130653</v>
      </c>
      <c r="AH1155" t="s">
        <v>58</v>
      </c>
    </row>
    <row r="1156" spans="1:34" x14ac:dyDescent="0.3">
      <c r="A1156" t="s">
        <v>798</v>
      </c>
      <c r="B1156">
        <v>42200038</v>
      </c>
      <c r="C1156" t="s">
        <v>452</v>
      </c>
      <c r="D1156" t="s">
        <v>521</v>
      </c>
      <c r="E1156" t="s">
        <v>437</v>
      </c>
      <c r="F1156" t="s">
        <v>430</v>
      </c>
      <c r="G1156" t="s">
        <v>230</v>
      </c>
      <c r="H1156" t="s">
        <v>231</v>
      </c>
      <c r="J1156" t="s">
        <v>52</v>
      </c>
      <c r="K1156" s="15">
        <v>1000</v>
      </c>
      <c r="L1156" s="15">
        <v>0</v>
      </c>
      <c r="M1156" s="13">
        <v>45194</v>
      </c>
      <c r="O1156">
        <v>0</v>
      </c>
      <c r="P1156">
        <v>0</v>
      </c>
      <c r="Q1156">
        <v>0</v>
      </c>
      <c r="R1156">
        <v>0</v>
      </c>
      <c r="S1156">
        <v>22214.272480301472</v>
      </c>
      <c r="T1156">
        <v>12559.216988068019</v>
      </c>
      <c r="U1156">
        <v>22429.906542056076</v>
      </c>
      <c r="V1156">
        <v>0</v>
      </c>
      <c r="W1156">
        <v>310280.37383177568</v>
      </c>
      <c r="X1156">
        <v>0</v>
      </c>
      <c r="Y1156">
        <v>367483.76984220126</v>
      </c>
      <c r="Z1156">
        <v>24168.864815332985</v>
      </c>
      <c r="AA1156">
        <v>391652.63465753425</v>
      </c>
      <c r="AB1156" t="s">
        <v>242</v>
      </c>
      <c r="AC1156">
        <v>8</v>
      </c>
      <c r="AD1156">
        <v>15500</v>
      </c>
      <c r="AE1156">
        <v>0</v>
      </c>
      <c r="AF1156">
        <v>0</v>
      </c>
      <c r="AG1156">
        <v>952.6305117698181</v>
      </c>
      <c r="AH1156" t="s">
        <v>58</v>
      </c>
    </row>
    <row r="1157" spans="1:34" x14ac:dyDescent="0.3">
      <c r="A1157" t="s">
        <v>798</v>
      </c>
      <c r="B1157">
        <v>42200850</v>
      </c>
      <c r="C1157" t="s">
        <v>345</v>
      </c>
      <c r="D1157" t="s">
        <v>384</v>
      </c>
      <c r="E1157" t="s">
        <v>439</v>
      </c>
      <c r="F1157" t="s">
        <v>430</v>
      </c>
      <c r="G1157" t="s">
        <v>233</v>
      </c>
      <c r="H1157" t="s">
        <v>234</v>
      </c>
      <c r="J1157" t="s">
        <v>52</v>
      </c>
      <c r="K1157" s="15">
        <v>3500</v>
      </c>
      <c r="L1157" s="15">
        <v>0</v>
      </c>
      <c r="M1157" s="13">
        <v>45194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51132.392523364484</v>
      </c>
      <c r="Y1157">
        <v>51132.392523364484</v>
      </c>
      <c r="Z1157">
        <v>3579.2674766355144</v>
      </c>
      <c r="AA1157">
        <v>54711.659999999996</v>
      </c>
      <c r="AB1157" t="s">
        <v>242</v>
      </c>
      <c r="AC1157">
        <v>2</v>
      </c>
      <c r="AD1157">
        <v>4500</v>
      </c>
      <c r="AE1157">
        <v>0</v>
      </c>
      <c r="AF1157">
        <v>0</v>
      </c>
      <c r="AG1157">
        <v>294.39252336448612</v>
      </c>
      <c r="AH1157" t="s">
        <v>58</v>
      </c>
    </row>
    <row r="1158" spans="1:34" x14ac:dyDescent="0.3">
      <c r="A1158" t="s">
        <v>798</v>
      </c>
      <c r="B1158">
        <v>4132300350</v>
      </c>
      <c r="C1158" t="s">
        <v>466</v>
      </c>
      <c r="D1158" t="s">
        <v>539</v>
      </c>
      <c r="E1158" t="s">
        <v>441</v>
      </c>
      <c r="F1158" t="s">
        <v>430</v>
      </c>
      <c r="G1158" t="s">
        <v>230</v>
      </c>
      <c r="H1158" t="s">
        <v>231</v>
      </c>
      <c r="J1158" t="s">
        <v>52</v>
      </c>
      <c r="K1158" s="15">
        <v>3000</v>
      </c>
      <c r="L1158" s="15">
        <v>0</v>
      </c>
      <c r="M1158" s="13">
        <v>45194</v>
      </c>
      <c r="O1158">
        <v>0</v>
      </c>
      <c r="P1158">
        <v>1008.833713998583</v>
      </c>
      <c r="Q1158">
        <v>0</v>
      </c>
      <c r="R1158">
        <v>0</v>
      </c>
      <c r="S1158">
        <v>3496.6438356164385</v>
      </c>
      <c r="T1158">
        <v>0</v>
      </c>
      <c r="U1158">
        <v>0</v>
      </c>
      <c r="V1158">
        <v>0</v>
      </c>
      <c r="W1158">
        <v>10390.809613085437</v>
      </c>
      <c r="X1158">
        <v>0</v>
      </c>
      <c r="Y1158">
        <v>14896.287162700459</v>
      </c>
      <c r="Z1158">
        <v>727.35667291598065</v>
      </c>
      <c r="AA1158">
        <v>15623.64383561644</v>
      </c>
      <c r="AB1158" t="s">
        <v>242</v>
      </c>
      <c r="AC1158">
        <v>2</v>
      </c>
      <c r="AD1158">
        <v>10000</v>
      </c>
      <c r="AE1158">
        <v>0</v>
      </c>
      <c r="AF1158">
        <v>0</v>
      </c>
      <c r="AG1158">
        <v>451.97977568215015</v>
      </c>
      <c r="AH1158" t="s">
        <v>58</v>
      </c>
    </row>
    <row r="1159" spans="1:34" x14ac:dyDescent="0.3">
      <c r="A1159" t="s">
        <v>798</v>
      </c>
      <c r="B1159">
        <v>4132300995</v>
      </c>
      <c r="C1159" t="s">
        <v>356</v>
      </c>
      <c r="D1159" t="s">
        <v>395</v>
      </c>
      <c r="E1159" t="s">
        <v>441</v>
      </c>
      <c r="F1159" t="s">
        <v>430</v>
      </c>
      <c r="G1159" t="s">
        <v>326</v>
      </c>
      <c r="H1159" t="s">
        <v>236</v>
      </c>
      <c r="J1159" t="s">
        <v>52</v>
      </c>
      <c r="K1159" s="15">
        <v>25000</v>
      </c>
      <c r="L1159" s="15">
        <v>0</v>
      </c>
      <c r="M1159" s="13">
        <v>45194</v>
      </c>
      <c r="O1159">
        <v>0</v>
      </c>
      <c r="P1159">
        <v>0</v>
      </c>
      <c r="Q1159">
        <v>0</v>
      </c>
      <c r="R1159">
        <v>0</v>
      </c>
      <c r="S1159">
        <v>43727.623252042176</v>
      </c>
      <c r="T1159">
        <v>0</v>
      </c>
      <c r="U1159">
        <v>0</v>
      </c>
      <c r="V1159">
        <v>85301.286680334408</v>
      </c>
      <c r="W1159">
        <v>0</v>
      </c>
      <c r="X1159">
        <v>0</v>
      </c>
      <c r="Y1159">
        <v>129028.90993237658</v>
      </c>
      <c r="Z1159">
        <v>5971.0900676234087</v>
      </c>
      <c r="AA1159">
        <v>135000</v>
      </c>
      <c r="AB1159" t="s">
        <v>242</v>
      </c>
      <c r="AC1159">
        <v>3</v>
      </c>
      <c r="AD1159">
        <v>65000</v>
      </c>
      <c r="AE1159">
        <v>0</v>
      </c>
      <c r="AF1159">
        <v>0</v>
      </c>
      <c r="AG1159">
        <v>2791.8048611065406</v>
      </c>
      <c r="AH1159" t="s">
        <v>58</v>
      </c>
    </row>
    <row r="1160" spans="1:34" x14ac:dyDescent="0.3">
      <c r="A1160" t="s">
        <v>798</v>
      </c>
      <c r="B1160">
        <v>4142300589</v>
      </c>
      <c r="C1160" t="s">
        <v>496</v>
      </c>
      <c r="D1160" t="s">
        <v>568</v>
      </c>
      <c r="E1160" t="s">
        <v>445</v>
      </c>
      <c r="F1160" t="s">
        <v>430</v>
      </c>
      <c r="G1160" t="s">
        <v>421</v>
      </c>
      <c r="H1160" t="s">
        <v>234</v>
      </c>
      <c r="J1160" t="s">
        <v>450</v>
      </c>
      <c r="K1160" s="15">
        <v>85600</v>
      </c>
      <c r="L1160" s="15">
        <v>0</v>
      </c>
      <c r="M1160" s="13">
        <v>45194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229246.23364485981</v>
      </c>
      <c r="Y1160">
        <v>229246.23364485981</v>
      </c>
      <c r="Z1160">
        <v>16047.236355140189</v>
      </c>
      <c r="AA1160">
        <v>245293.47</v>
      </c>
      <c r="AB1160" t="s">
        <v>242</v>
      </c>
      <c r="AC1160">
        <v>0</v>
      </c>
      <c r="AD1160">
        <v>0</v>
      </c>
      <c r="AE1160">
        <v>0</v>
      </c>
      <c r="AF1160">
        <v>85600</v>
      </c>
      <c r="AG1160">
        <v>5600</v>
      </c>
      <c r="AH1160" t="s">
        <v>72</v>
      </c>
    </row>
    <row r="1161" spans="1:34" x14ac:dyDescent="0.3">
      <c r="A1161" t="s">
        <v>798</v>
      </c>
      <c r="B1161">
        <v>4302300009</v>
      </c>
      <c r="C1161" t="s">
        <v>107</v>
      </c>
      <c r="D1161" t="s">
        <v>223</v>
      </c>
      <c r="E1161" t="s">
        <v>447</v>
      </c>
      <c r="F1161" t="s">
        <v>433</v>
      </c>
      <c r="G1161" t="s">
        <v>82</v>
      </c>
      <c r="H1161" t="s">
        <v>83</v>
      </c>
      <c r="J1161" t="s">
        <v>416</v>
      </c>
      <c r="K1161" s="15">
        <v>0.37676284965115481</v>
      </c>
      <c r="L1161" s="15">
        <v>0</v>
      </c>
      <c r="M1161" s="13">
        <v>45194</v>
      </c>
      <c r="O1161">
        <v>0</v>
      </c>
      <c r="P1161">
        <v>0</v>
      </c>
      <c r="Q1161">
        <v>40026.748178808208</v>
      </c>
      <c r="R1161">
        <v>30624.172130721803</v>
      </c>
      <c r="S1161">
        <v>102245.59634276359</v>
      </c>
      <c r="T1161">
        <v>0</v>
      </c>
      <c r="U1161">
        <v>0</v>
      </c>
      <c r="V1161">
        <v>579389.05757356354</v>
      </c>
      <c r="W1161">
        <v>0</v>
      </c>
      <c r="X1161">
        <v>0</v>
      </c>
      <c r="Y1161">
        <v>752285.57422585716</v>
      </c>
      <c r="Z1161">
        <v>47714.425774142903</v>
      </c>
      <c r="AA1161">
        <v>800000</v>
      </c>
      <c r="AB1161" t="s">
        <v>242</v>
      </c>
      <c r="AC1161">
        <v>2</v>
      </c>
      <c r="AD1161">
        <v>35000</v>
      </c>
      <c r="AE1161">
        <v>0</v>
      </c>
      <c r="AF1161">
        <v>0</v>
      </c>
      <c r="AG1161">
        <v>2074.3874932223571</v>
      </c>
      <c r="AH1161" t="s">
        <v>58</v>
      </c>
    </row>
    <row r="1162" spans="1:34" x14ac:dyDescent="0.3">
      <c r="A1162" t="s">
        <v>798</v>
      </c>
      <c r="B1162">
        <v>2200001</v>
      </c>
      <c r="C1162" t="s">
        <v>630</v>
      </c>
      <c r="D1162" t="s">
        <v>407</v>
      </c>
      <c r="E1162" t="s">
        <v>435</v>
      </c>
      <c r="F1162" t="s">
        <v>675</v>
      </c>
      <c r="G1162" t="s">
        <v>235</v>
      </c>
      <c r="H1162" t="s">
        <v>235</v>
      </c>
      <c r="J1162" t="s">
        <v>52</v>
      </c>
      <c r="K1162" s="15">
        <v>3000</v>
      </c>
      <c r="M1162" s="13">
        <v>45194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45246.990000000005</v>
      </c>
      <c r="W1162">
        <v>0</v>
      </c>
      <c r="X1162">
        <v>0</v>
      </c>
      <c r="Y1162">
        <v>45246.990000000005</v>
      </c>
      <c r="Z1162">
        <v>0</v>
      </c>
      <c r="AA1162">
        <v>45246.990000000005</v>
      </c>
      <c r="AB1162" t="s">
        <v>242</v>
      </c>
      <c r="AC1162">
        <v>8</v>
      </c>
      <c r="AD1162">
        <v>24000</v>
      </c>
      <c r="AE1162">
        <v>0</v>
      </c>
      <c r="AF1162">
        <v>0</v>
      </c>
      <c r="AG1162">
        <v>0</v>
      </c>
      <c r="AH1162" t="s">
        <v>58</v>
      </c>
    </row>
    <row r="1163" spans="1:34" x14ac:dyDescent="0.3">
      <c r="A1163" t="s">
        <v>798</v>
      </c>
      <c r="B1163">
        <v>52200044</v>
      </c>
      <c r="C1163" t="s">
        <v>669</v>
      </c>
      <c r="D1163" t="s">
        <v>383</v>
      </c>
      <c r="E1163" t="s">
        <v>435</v>
      </c>
      <c r="F1163" t="s">
        <v>431</v>
      </c>
      <c r="G1163" t="s">
        <v>235</v>
      </c>
      <c r="H1163" t="s">
        <v>236</v>
      </c>
      <c r="J1163" t="s">
        <v>672</v>
      </c>
      <c r="M1163" s="13">
        <v>45194</v>
      </c>
      <c r="O1163">
        <v>4900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143977.57009345794</v>
      </c>
      <c r="W1163">
        <v>0</v>
      </c>
      <c r="X1163">
        <v>0</v>
      </c>
      <c r="Y1163">
        <v>148877.57009345794</v>
      </c>
      <c r="Z1163">
        <v>10078.429906542056</v>
      </c>
      <c r="AA1163">
        <v>158956</v>
      </c>
      <c r="AB1163" t="s">
        <v>242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 t="s">
        <v>72</v>
      </c>
    </row>
    <row r="1164" spans="1:34" x14ac:dyDescent="0.3">
      <c r="A1164" t="s">
        <v>798</v>
      </c>
      <c r="B1164">
        <v>4142300511</v>
      </c>
      <c r="C1164">
        <v>10221128</v>
      </c>
      <c r="D1164" t="s">
        <v>280</v>
      </c>
      <c r="E1164" t="s">
        <v>445</v>
      </c>
      <c r="F1164" t="s">
        <v>430</v>
      </c>
      <c r="G1164" t="s">
        <v>237</v>
      </c>
      <c r="H1164" t="s">
        <v>234</v>
      </c>
      <c r="J1164" t="s">
        <v>425</v>
      </c>
      <c r="K1164" s="15">
        <v>90000</v>
      </c>
      <c r="L1164" s="15">
        <v>3575</v>
      </c>
      <c r="M1164" s="13">
        <v>45195</v>
      </c>
      <c r="O1164">
        <v>3575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195978.76635514019</v>
      </c>
      <c r="Y1164">
        <v>199553.76635514019</v>
      </c>
      <c r="Z1164">
        <v>13718.513644859815</v>
      </c>
      <c r="AA1164">
        <v>213272.28</v>
      </c>
      <c r="AB1164" t="s">
        <v>242</v>
      </c>
      <c r="AC1164">
        <v>0</v>
      </c>
      <c r="AD1164">
        <v>0</v>
      </c>
      <c r="AE1164">
        <v>0</v>
      </c>
      <c r="AF1164">
        <v>96300</v>
      </c>
      <c r="AG1164">
        <v>6300</v>
      </c>
      <c r="AH1164" t="s">
        <v>72</v>
      </c>
    </row>
    <row r="1165" spans="1:34" x14ac:dyDescent="0.3">
      <c r="A1165" t="s">
        <v>798</v>
      </c>
      <c r="B1165">
        <v>12200171</v>
      </c>
      <c r="C1165">
        <v>25596188</v>
      </c>
      <c r="D1165" t="s">
        <v>117</v>
      </c>
      <c r="E1165" t="s">
        <v>438</v>
      </c>
      <c r="F1165" t="s">
        <v>427</v>
      </c>
      <c r="G1165" t="s">
        <v>82</v>
      </c>
      <c r="H1165" t="s">
        <v>82</v>
      </c>
      <c r="J1165" t="s">
        <v>52</v>
      </c>
      <c r="K1165" s="15">
        <v>1500</v>
      </c>
      <c r="L1165" s="15">
        <v>0</v>
      </c>
      <c r="M1165" s="13">
        <v>45195</v>
      </c>
      <c r="O1165">
        <v>0</v>
      </c>
      <c r="P1165">
        <v>0</v>
      </c>
      <c r="Q1165">
        <v>0</v>
      </c>
      <c r="R1165">
        <v>0</v>
      </c>
      <c r="S1165">
        <v>30744.933781943517</v>
      </c>
      <c r="T1165">
        <v>0</v>
      </c>
      <c r="U1165">
        <v>0</v>
      </c>
      <c r="V1165">
        <v>146895.79377429161</v>
      </c>
      <c r="W1165">
        <v>0</v>
      </c>
      <c r="X1165">
        <v>0</v>
      </c>
      <c r="Y1165">
        <v>177640.72755623513</v>
      </c>
      <c r="Z1165">
        <v>0</v>
      </c>
      <c r="AA1165">
        <v>177640.72755623513</v>
      </c>
      <c r="AB1165" t="s">
        <v>242</v>
      </c>
      <c r="AC1165">
        <v>4</v>
      </c>
      <c r="AD1165">
        <v>4300</v>
      </c>
      <c r="AE1165">
        <v>0</v>
      </c>
      <c r="AF1165">
        <v>0</v>
      </c>
      <c r="AG1165">
        <v>0</v>
      </c>
      <c r="AH1165" t="s">
        <v>58</v>
      </c>
    </row>
    <row r="1166" spans="1:34" x14ac:dyDescent="0.3">
      <c r="A1166" t="s">
        <v>798</v>
      </c>
      <c r="B1166">
        <v>42200128</v>
      </c>
      <c r="C1166">
        <v>2759027402</v>
      </c>
      <c r="D1166" t="s">
        <v>824</v>
      </c>
      <c r="E1166" t="s">
        <v>439</v>
      </c>
      <c r="F1166" t="s">
        <v>430</v>
      </c>
      <c r="G1166" t="s">
        <v>232</v>
      </c>
      <c r="H1166" t="s">
        <v>71</v>
      </c>
      <c r="J1166" t="s">
        <v>52</v>
      </c>
      <c r="K1166" s="15">
        <v>1000</v>
      </c>
      <c r="L1166" s="15">
        <v>0</v>
      </c>
      <c r="M1166" s="13">
        <v>45195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68069.775700934581</v>
      </c>
      <c r="Y1166">
        <v>68069.775700934581</v>
      </c>
      <c r="Z1166">
        <v>4764.8842990654211</v>
      </c>
      <c r="AA1166">
        <v>72834.66</v>
      </c>
      <c r="AB1166" t="s">
        <v>242</v>
      </c>
      <c r="AC1166">
        <v>2</v>
      </c>
      <c r="AD1166">
        <v>3000</v>
      </c>
      <c r="AE1166">
        <v>0</v>
      </c>
      <c r="AF1166">
        <v>0</v>
      </c>
      <c r="AG1166">
        <v>196.26168224299067</v>
      </c>
      <c r="AH1166" t="s">
        <v>58</v>
      </c>
    </row>
    <row r="1167" spans="1:34" x14ac:dyDescent="0.3">
      <c r="A1167" t="s">
        <v>798</v>
      </c>
      <c r="B1167">
        <v>52201007</v>
      </c>
      <c r="C1167">
        <v>25682794</v>
      </c>
      <c r="D1167" t="s">
        <v>868</v>
      </c>
      <c r="E1167" t="s">
        <v>438</v>
      </c>
      <c r="F1167" t="s">
        <v>431</v>
      </c>
      <c r="G1167" t="s">
        <v>82</v>
      </c>
      <c r="H1167" t="s">
        <v>83</v>
      </c>
      <c r="J1167" t="s">
        <v>52</v>
      </c>
      <c r="K1167" s="15">
        <v>3180</v>
      </c>
      <c r="L1167" s="15">
        <v>0</v>
      </c>
      <c r="M1167" s="13">
        <v>45195</v>
      </c>
      <c r="O1167">
        <v>0</v>
      </c>
      <c r="P1167">
        <v>0</v>
      </c>
      <c r="Q1167">
        <v>0</v>
      </c>
      <c r="R1167">
        <v>1031.9090765699552</v>
      </c>
      <c r="S1167">
        <v>33913.98432482397</v>
      </c>
      <c r="T1167">
        <v>0</v>
      </c>
      <c r="U1167">
        <v>0</v>
      </c>
      <c r="V1167">
        <v>58098.249805478597</v>
      </c>
      <c r="W1167">
        <v>0</v>
      </c>
      <c r="X1167">
        <v>0</v>
      </c>
      <c r="Y1167">
        <v>93044.143206872526</v>
      </c>
      <c r="Z1167">
        <v>6440.8563891211797</v>
      </c>
      <c r="AA1167">
        <v>99484.999595993708</v>
      </c>
      <c r="AB1167" t="s">
        <v>242</v>
      </c>
      <c r="AC1167">
        <v>5</v>
      </c>
      <c r="AD1167">
        <v>9528</v>
      </c>
      <c r="AE1167">
        <v>0</v>
      </c>
      <c r="AF1167">
        <v>0</v>
      </c>
      <c r="AG1167">
        <v>616.38657510270741</v>
      </c>
      <c r="AH1167" t="s">
        <v>58</v>
      </c>
    </row>
    <row r="1168" spans="1:34" x14ac:dyDescent="0.3">
      <c r="A1168" t="s">
        <v>798</v>
      </c>
      <c r="B1168">
        <v>4142300724</v>
      </c>
      <c r="C1168">
        <v>10329637</v>
      </c>
      <c r="D1168" t="s">
        <v>206</v>
      </c>
      <c r="E1168" t="s">
        <v>445</v>
      </c>
      <c r="F1168" t="s">
        <v>430</v>
      </c>
      <c r="G1168" t="s">
        <v>230</v>
      </c>
      <c r="H1168" t="s">
        <v>234</v>
      </c>
      <c r="J1168" t="s">
        <v>52</v>
      </c>
      <c r="K1168" s="15">
        <v>2000</v>
      </c>
      <c r="L1168" s="15">
        <v>0</v>
      </c>
      <c r="M1168" s="13">
        <v>45195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412730.50825758546</v>
      </c>
      <c r="Y1168">
        <v>412730.50825758546</v>
      </c>
      <c r="Z1168">
        <v>28891.135578030986</v>
      </c>
      <c r="AA1168">
        <v>441621.64383561647</v>
      </c>
      <c r="AB1168" t="s">
        <v>242</v>
      </c>
      <c r="AC1168">
        <v>2</v>
      </c>
      <c r="AD1168">
        <v>3000</v>
      </c>
      <c r="AE1168">
        <v>0</v>
      </c>
      <c r="AF1168">
        <v>0</v>
      </c>
      <c r="AG1168">
        <v>196.26168224299067</v>
      </c>
      <c r="AH1168" t="s">
        <v>58</v>
      </c>
    </row>
    <row r="1169" spans="1:34" x14ac:dyDescent="0.3">
      <c r="A1169" t="s">
        <v>798</v>
      </c>
      <c r="B1169">
        <v>4142300842</v>
      </c>
      <c r="C1169">
        <v>10382588</v>
      </c>
      <c r="D1169" t="s">
        <v>211</v>
      </c>
      <c r="E1169" t="s">
        <v>445</v>
      </c>
      <c r="F1169" t="s">
        <v>430</v>
      </c>
      <c r="G1169" t="s">
        <v>230</v>
      </c>
      <c r="H1169" t="s">
        <v>234</v>
      </c>
      <c r="J1169" t="s">
        <v>52</v>
      </c>
      <c r="K1169" s="15">
        <v>1500</v>
      </c>
      <c r="L1169" s="15">
        <v>0</v>
      </c>
      <c r="M1169" s="13">
        <v>45195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120591.7289719626</v>
      </c>
      <c r="Y1169">
        <v>120591.7289719626</v>
      </c>
      <c r="Z1169">
        <v>8441.4210280373827</v>
      </c>
      <c r="AA1169">
        <v>129033.14999999998</v>
      </c>
      <c r="AB1169" t="s">
        <v>242</v>
      </c>
      <c r="AC1169">
        <v>5</v>
      </c>
      <c r="AD1169">
        <v>7500</v>
      </c>
      <c r="AE1169">
        <v>0</v>
      </c>
      <c r="AF1169">
        <v>0</v>
      </c>
      <c r="AG1169">
        <v>490.6542056074768</v>
      </c>
      <c r="AH1169" t="s">
        <v>58</v>
      </c>
    </row>
    <row r="1170" spans="1:34" x14ac:dyDescent="0.3">
      <c r="A1170" t="s">
        <v>798</v>
      </c>
      <c r="B1170">
        <v>4302300048</v>
      </c>
      <c r="C1170">
        <v>901020006420</v>
      </c>
      <c r="D1170" t="s">
        <v>228</v>
      </c>
      <c r="E1170" t="s">
        <v>447</v>
      </c>
      <c r="F1170" t="s">
        <v>433</v>
      </c>
      <c r="G1170" t="s">
        <v>82</v>
      </c>
      <c r="H1170" t="s">
        <v>83</v>
      </c>
      <c r="J1170" t="s">
        <v>52</v>
      </c>
      <c r="K1170" s="15">
        <v>10701</v>
      </c>
      <c r="L1170" s="15">
        <v>0</v>
      </c>
      <c r="M1170" s="13">
        <v>45195</v>
      </c>
      <c r="O1170">
        <v>0</v>
      </c>
      <c r="P1170">
        <v>0</v>
      </c>
      <c r="Q1170">
        <v>23581.842191660402</v>
      </c>
      <c r="R1170">
        <v>2772.12</v>
      </c>
      <c r="S1170">
        <v>0</v>
      </c>
      <c r="T1170">
        <v>0</v>
      </c>
      <c r="U1170">
        <v>0</v>
      </c>
      <c r="V1170">
        <v>356413.1688862986</v>
      </c>
      <c r="W1170">
        <v>0</v>
      </c>
      <c r="X1170">
        <v>0</v>
      </c>
      <c r="Y1170">
        <v>382767.13107795903</v>
      </c>
      <c r="Z1170">
        <v>24948.921822040906</v>
      </c>
      <c r="AA1170">
        <v>407716.05289999995</v>
      </c>
      <c r="AB1170" t="s">
        <v>242</v>
      </c>
      <c r="AC1170">
        <v>6</v>
      </c>
      <c r="AD1170">
        <v>153505</v>
      </c>
      <c r="AE1170">
        <v>0</v>
      </c>
      <c r="AF1170">
        <v>0</v>
      </c>
      <c r="AG1170">
        <v>9341.8010779590895</v>
      </c>
      <c r="AH1170" t="s">
        <v>58</v>
      </c>
    </row>
    <row r="1171" spans="1:34" x14ac:dyDescent="0.3">
      <c r="A1171" t="s">
        <v>798</v>
      </c>
      <c r="B1171">
        <v>4132300909</v>
      </c>
      <c r="C1171" t="s">
        <v>372</v>
      </c>
      <c r="D1171" t="s">
        <v>411</v>
      </c>
      <c r="E1171" t="s">
        <v>441</v>
      </c>
      <c r="F1171" t="s">
        <v>430</v>
      </c>
      <c r="G1171" t="s">
        <v>422</v>
      </c>
      <c r="H1171" t="s">
        <v>231</v>
      </c>
      <c r="J1171" t="s">
        <v>52</v>
      </c>
      <c r="K1171" s="15">
        <v>342632.88</v>
      </c>
      <c r="L1171" s="15">
        <v>0</v>
      </c>
      <c r="M1171" s="13">
        <v>45195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 t="s">
        <v>242</v>
      </c>
      <c r="AC1171">
        <v>1</v>
      </c>
      <c r="AD1171">
        <v>342632.88</v>
      </c>
      <c r="AE1171">
        <v>0</v>
      </c>
      <c r="AF1171">
        <v>0</v>
      </c>
      <c r="AG1171">
        <v>18042.363548841386</v>
      </c>
      <c r="AH1171" t="s">
        <v>72</v>
      </c>
    </row>
    <row r="1172" spans="1:34" x14ac:dyDescent="0.3">
      <c r="A1172" t="s">
        <v>798</v>
      </c>
      <c r="B1172">
        <v>4142300306</v>
      </c>
      <c r="C1172" t="s">
        <v>486</v>
      </c>
      <c r="D1172" t="s">
        <v>558</v>
      </c>
      <c r="E1172" t="s">
        <v>445</v>
      </c>
      <c r="F1172" t="s">
        <v>430</v>
      </c>
      <c r="G1172" t="s">
        <v>421</v>
      </c>
      <c r="H1172" t="s">
        <v>234</v>
      </c>
      <c r="J1172" t="s">
        <v>450</v>
      </c>
      <c r="K1172" s="15">
        <v>45000</v>
      </c>
      <c r="L1172" s="15">
        <v>0</v>
      </c>
      <c r="M1172" s="13">
        <v>45195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97114.514018691611</v>
      </c>
      <c r="Y1172">
        <v>97114.514018691611</v>
      </c>
      <c r="Z1172">
        <v>6798.0159813084138</v>
      </c>
      <c r="AA1172">
        <v>103912.53000000003</v>
      </c>
      <c r="AB1172" t="s">
        <v>242</v>
      </c>
      <c r="AC1172">
        <v>0</v>
      </c>
      <c r="AD1172">
        <v>0</v>
      </c>
      <c r="AE1172">
        <v>0</v>
      </c>
      <c r="AF1172">
        <v>45000</v>
      </c>
      <c r="AG1172">
        <v>2943.9252336448626</v>
      </c>
      <c r="AH1172" t="s">
        <v>72</v>
      </c>
    </row>
    <row r="1173" spans="1:34" x14ac:dyDescent="0.3">
      <c r="A1173" t="s">
        <v>798</v>
      </c>
      <c r="B1173">
        <v>4142300676</v>
      </c>
      <c r="C1173" t="s">
        <v>497</v>
      </c>
      <c r="D1173" t="s">
        <v>569</v>
      </c>
      <c r="E1173" t="s">
        <v>445</v>
      </c>
      <c r="F1173" t="s">
        <v>430</v>
      </c>
      <c r="G1173" t="s">
        <v>421</v>
      </c>
      <c r="H1173" t="s">
        <v>234</v>
      </c>
      <c r="J1173" t="s">
        <v>450</v>
      </c>
      <c r="K1173" s="15">
        <v>30000</v>
      </c>
      <c r="L1173" s="15">
        <v>3500</v>
      </c>
      <c r="M1173" s="13">
        <v>45195</v>
      </c>
      <c r="O1173">
        <v>3500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142286.64485981307</v>
      </c>
      <c r="Y1173">
        <v>145786.64485981307</v>
      </c>
      <c r="Z1173">
        <v>9960.0651401869163</v>
      </c>
      <c r="AA1173">
        <v>155746.71</v>
      </c>
      <c r="AB1173" t="s">
        <v>242</v>
      </c>
      <c r="AC1173">
        <v>0</v>
      </c>
      <c r="AD1173">
        <v>0</v>
      </c>
      <c r="AE1173">
        <v>0</v>
      </c>
      <c r="AF1173">
        <v>30000</v>
      </c>
      <c r="AG1173">
        <v>1962.6168224299072</v>
      </c>
      <c r="AH1173" t="s">
        <v>72</v>
      </c>
    </row>
    <row r="1174" spans="1:34" x14ac:dyDescent="0.3">
      <c r="A1174" t="s">
        <v>798</v>
      </c>
      <c r="B1174">
        <v>4142301118</v>
      </c>
      <c r="C1174" t="s">
        <v>375</v>
      </c>
      <c r="D1174" t="s">
        <v>414</v>
      </c>
      <c r="E1174" t="s">
        <v>445</v>
      </c>
      <c r="F1174" t="s">
        <v>430</v>
      </c>
      <c r="G1174" t="s">
        <v>422</v>
      </c>
      <c r="H1174" t="s">
        <v>234</v>
      </c>
      <c r="J1174" t="s">
        <v>52</v>
      </c>
      <c r="K1174" s="15">
        <v>60000</v>
      </c>
      <c r="L1174" s="15">
        <v>0</v>
      </c>
      <c r="M1174" s="13">
        <v>45195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 t="s">
        <v>242</v>
      </c>
      <c r="AC1174">
        <v>2</v>
      </c>
      <c r="AD1174">
        <v>70000</v>
      </c>
      <c r="AE1174">
        <v>0</v>
      </c>
      <c r="AF1174">
        <v>0</v>
      </c>
      <c r="AG1174">
        <v>4579.4392523364495</v>
      </c>
      <c r="AH1174" t="s">
        <v>58</v>
      </c>
    </row>
    <row r="1175" spans="1:34" x14ac:dyDescent="0.3">
      <c r="A1175" t="s">
        <v>798</v>
      </c>
      <c r="B1175">
        <v>4302300009</v>
      </c>
      <c r="C1175" t="s">
        <v>107</v>
      </c>
      <c r="D1175" t="s">
        <v>223</v>
      </c>
      <c r="E1175" t="s">
        <v>447</v>
      </c>
      <c r="F1175" t="s">
        <v>433</v>
      </c>
      <c r="G1175" t="s">
        <v>417</v>
      </c>
      <c r="H1175" t="s">
        <v>83</v>
      </c>
      <c r="J1175" t="s">
        <v>52</v>
      </c>
      <c r="K1175" s="15">
        <v>800000</v>
      </c>
      <c r="L1175" s="15">
        <v>0</v>
      </c>
      <c r="M1175" s="13">
        <v>45195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 t="s">
        <v>242</v>
      </c>
      <c r="AC1175">
        <v>3</v>
      </c>
      <c r="AD1175">
        <v>835000</v>
      </c>
      <c r="AE1175">
        <v>0</v>
      </c>
      <c r="AF1175">
        <v>0</v>
      </c>
      <c r="AG1175">
        <v>49788.813267365316</v>
      </c>
      <c r="AH1175" t="s">
        <v>58</v>
      </c>
    </row>
    <row r="1176" spans="1:34" x14ac:dyDescent="0.3">
      <c r="A1176" t="s">
        <v>798</v>
      </c>
      <c r="B1176">
        <v>52200217</v>
      </c>
      <c r="C1176">
        <v>27002024</v>
      </c>
      <c r="D1176" t="s">
        <v>134</v>
      </c>
      <c r="E1176" t="s">
        <v>436</v>
      </c>
      <c r="F1176" t="s">
        <v>431</v>
      </c>
      <c r="G1176" t="s">
        <v>82</v>
      </c>
      <c r="H1176" t="s">
        <v>83</v>
      </c>
      <c r="J1176" t="s">
        <v>52</v>
      </c>
      <c r="K1176" s="15">
        <v>1500</v>
      </c>
      <c r="L1176" s="15">
        <v>0</v>
      </c>
      <c r="M1176" s="13">
        <v>45196</v>
      </c>
      <c r="O1176">
        <v>0</v>
      </c>
      <c r="P1176">
        <v>0</v>
      </c>
      <c r="Q1176">
        <v>0</v>
      </c>
      <c r="R1176">
        <v>770.21863311005484</v>
      </c>
      <c r="S1176">
        <v>4297.9265111120967</v>
      </c>
      <c r="T1176">
        <v>0</v>
      </c>
      <c r="U1176">
        <v>0</v>
      </c>
      <c r="V1176">
        <v>45794.392523364484</v>
      </c>
      <c r="W1176">
        <v>0</v>
      </c>
      <c r="X1176">
        <v>0</v>
      </c>
      <c r="Y1176">
        <v>50862.537667586636</v>
      </c>
      <c r="Z1176">
        <v>3506.4623324133613</v>
      </c>
      <c r="AA1176">
        <v>54369</v>
      </c>
      <c r="AB1176" t="s">
        <v>242</v>
      </c>
      <c r="AC1176">
        <v>5</v>
      </c>
      <c r="AD1176">
        <v>17500</v>
      </c>
      <c r="AE1176">
        <v>0</v>
      </c>
      <c r="AF1176">
        <v>0</v>
      </c>
      <c r="AG1176">
        <v>1127.2759853436485</v>
      </c>
      <c r="AH1176" t="s">
        <v>58</v>
      </c>
    </row>
    <row r="1177" spans="1:34" x14ac:dyDescent="0.3">
      <c r="A1177" t="s">
        <v>798</v>
      </c>
      <c r="B1177">
        <v>4132300777</v>
      </c>
      <c r="C1177">
        <v>9010149484</v>
      </c>
      <c r="D1177" t="s">
        <v>907</v>
      </c>
      <c r="E1177" t="s">
        <v>441</v>
      </c>
      <c r="F1177" t="s">
        <v>430</v>
      </c>
      <c r="G1177" t="s">
        <v>233</v>
      </c>
      <c r="H1177" t="s">
        <v>231</v>
      </c>
      <c r="J1177" t="s">
        <v>52</v>
      </c>
      <c r="K1177" s="15">
        <v>1000</v>
      </c>
      <c r="L1177" s="15">
        <v>0</v>
      </c>
      <c r="M1177" s="13">
        <v>45196</v>
      </c>
      <c r="O1177">
        <v>0</v>
      </c>
      <c r="P1177">
        <v>3338.4537296786452</v>
      </c>
      <c r="Q1177">
        <v>0</v>
      </c>
      <c r="R1177">
        <v>0</v>
      </c>
      <c r="S1177">
        <v>55105.479452054795</v>
      </c>
      <c r="T1177">
        <v>95104.248850767617</v>
      </c>
      <c r="U1177">
        <v>0</v>
      </c>
      <c r="V1177">
        <v>0</v>
      </c>
      <c r="W1177">
        <v>0</v>
      </c>
      <c r="X1177">
        <v>0</v>
      </c>
      <c r="Y1177">
        <v>153548.18203250106</v>
      </c>
      <c r="Z1177">
        <v>6657.2974195537336</v>
      </c>
      <c r="AA1177">
        <v>160205.4794520548</v>
      </c>
      <c r="AB1177" t="s">
        <v>242</v>
      </c>
      <c r="AC1177">
        <v>2</v>
      </c>
      <c r="AD1177">
        <v>2000</v>
      </c>
      <c r="AE1177">
        <v>0</v>
      </c>
      <c r="AF1177">
        <v>0</v>
      </c>
      <c r="AG1177">
        <v>81.020337455612321</v>
      </c>
      <c r="AH1177" t="s">
        <v>58</v>
      </c>
    </row>
    <row r="1178" spans="1:34" x14ac:dyDescent="0.3">
      <c r="A1178" t="s">
        <v>798</v>
      </c>
      <c r="B1178">
        <v>4142300652</v>
      </c>
      <c r="C1178">
        <v>10289270</v>
      </c>
      <c r="D1178" t="s">
        <v>203</v>
      </c>
      <c r="E1178" t="s">
        <v>445</v>
      </c>
      <c r="F1178" t="s">
        <v>430</v>
      </c>
      <c r="G1178" t="s">
        <v>237</v>
      </c>
      <c r="H1178" t="s">
        <v>234</v>
      </c>
      <c r="J1178" t="s">
        <v>52</v>
      </c>
      <c r="K1178" s="15">
        <v>1000</v>
      </c>
      <c r="L1178" s="15">
        <v>0</v>
      </c>
      <c r="M1178" s="13">
        <v>45196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46048.598130841121</v>
      </c>
      <c r="Y1178">
        <v>46048.598130841121</v>
      </c>
      <c r="Z1178">
        <v>3223.401869158879</v>
      </c>
      <c r="AA1178">
        <v>49272</v>
      </c>
      <c r="AB1178" t="s">
        <v>242</v>
      </c>
      <c r="AC1178">
        <v>4</v>
      </c>
      <c r="AD1178">
        <v>13000</v>
      </c>
      <c r="AE1178">
        <v>0</v>
      </c>
      <c r="AF1178">
        <v>0</v>
      </c>
      <c r="AG1178">
        <v>850.4672897196258</v>
      </c>
      <c r="AH1178" t="s">
        <v>58</v>
      </c>
    </row>
    <row r="1179" spans="1:34" x14ac:dyDescent="0.3">
      <c r="A1179" t="s">
        <v>798</v>
      </c>
      <c r="B1179">
        <v>12200095</v>
      </c>
      <c r="C1179" t="s">
        <v>366</v>
      </c>
      <c r="D1179" t="s">
        <v>405</v>
      </c>
      <c r="E1179" t="s">
        <v>437</v>
      </c>
      <c r="F1179" t="s">
        <v>427</v>
      </c>
      <c r="G1179" t="s">
        <v>230</v>
      </c>
      <c r="H1179" t="s">
        <v>230</v>
      </c>
      <c r="J1179" t="s">
        <v>416</v>
      </c>
      <c r="K1179" s="15">
        <v>0.38361210047549865</v>
      </c>
      <c r="L1179" s="15">
        <v>0</v>
      </c>
      <c r="M1179" s="13">
        <v>45196</v>
      </c>
      <c r="O1179">
        <v>0</v>
      </c>
      <c r="P1179">
        <v>3821.6049770519085</v>
      </c>
      <c r="Q1179">
        <v>0</v>
      </c>
      <c r="R1179">
        <v>0</v>
      </c>
      <c r="S1179">
        <v>29202.3698658457</v>
      </c>
      <c r="T1179">
        <v>0</v>
      </c>
      <c r="U1179">
        <v>0</v>
      </c>
      <c r="V1179">
        <v>46976.025157102391</v>
      </c>
      <c r="W1179">
        <v>0</v>
      </c>
      <c r="X1179">
        <v>0</v>
      </c>
      <c r="Y1179">
        <v>80000</v>
      </c>
      <c r="Z1179">
        <v>0</v>
      </c>
      <c r="AA1179">
        <v>80000</v>
      </c>
      <c r="AB1179" t="s">
        <v>242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 t="s">
        <v>72</v>
      </c>
    </row>
    <row r="1180" spans="1:34" x14ac:dyDescent="0.3">
      <c r="A1180" t="s">
        <v>798</v>
      </c>
      <c r="B1180">
        <v>42200878</v>
      </c>
      <c r="C1180" t="s">
        <v>361</v>
      </c>
      <c r="D1180" t="s">
        <v>400</v>
      </c>
      <c r="E1180" t="s">
        <v>439</v>
      </c>
      <c r="F1180" t="s">
        <v>430</v>
      </c>
      <c r="G1180" t="s">
        <v>419</v>
      </c>
      <c r="H1180" t="s">
        <v>234</v>
      </c>
      <c r="J1180" t="s">
        <v>52</v>
      </c>
      <c r="K1180" s="15">
        <v>24136</v>
      </c>
      <c r="L1180" s="15">
        <v>0</v>
      </c>
      <c r="M1180" s="13">
        <v>45196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 t="s">
        <v>242</v>
      </c>
      <c r="AC1180">
        <v>1</v>
      </c>
      <c r="AD1180">
        <v>24136</v>
      </c>
      <c r="AE1180">
        <v>0</v>
      </c>
      <c r="AF1180">
        <v>0</v>
      </c>
      <c r="AG1180">
        <v>1578.9906542056087</v>
      </c>
      <c r="AH1180" t="s">
        <v>72</v>
      </c>
    </row>
    <row r="1181" spans="1:34" x14ac:dyDescent="0.3">
      <c r="A1181" t="s">
        <v>798</v>
      </c>
      <c r="B1181">
        <v>4132300350</v>
      </c>
      <c r="C1181" t="s">
        <v>466</v>
      </c>
      <c r="D1181" t="s">
        <v>539</v>
      </c>
      <c r="E1181" t="s">
        <v>441</v>
      </c>
      <c r="F1181" t="s">
        <v>430</v>
      </c>
      <c r="G1181" t="s">
        <v>230</v>
      </c>
      <c r="H1181" t="s">
        <v>231</v>
      </c>
      <c r="J1181" t="s">
        <v>52</v>
      </c>
      <c r="K1181" s="15">
        <v>3000</v>
      </c>
      <c r="L1181" s="15">
        <v>0</v>
      </c>
      <c r="M1181" s="13">
        <v>45196</v>
      </c>
      <c r="O1181">
        <v>0</v>
      </c>
      <c r="P1181">
        <v>101.46448157068505</v>
      </c>
      <c r="Q1181">
        <v>0</v>
      </c>
      <c r="R1181">
        <v>0</v>
      </c>
      <c r="S1181">
        <v>3496.6438356164385</v>
      </c>
      <c r="T1181">
        <v>0</v>
      </c>
      <c r="U1181">
        <v>0</v>
      </c>
      <c r="V1181">
        <v>0</v>
      </c>
      <c r="W1181">
        <v>8435.0799237657156</v>
      </c>
      <c r="X1181">
        <v>0</v>
      </c>
      <c r="Y1181">
        <v>12033.188240952839</v>
      </c>
      <c r="Z1181">
        <v>590.4555946636001</v>
      </c>
      <c r="AA1181">
        <v>12623.64383561644</v>
      </c>
      <c r="AB1181" t="s">
        <v>242</v>
      </c>
      <c r="AC1181">
        <v>3</v>
      </c>
      <c r="AD1181">
        <v>13000</v>
      </c>
      <c r="AE1181">
        <v>0</v>
      </c>
      <c r="AF1181">
        <v>0</v>
      </c>
      <c r="AG1181">
        <v>588.88085393453071</v>
      </c>
      <c r="AH1181" t="s">
        <v>58</v>
      </c>
    </row>
    <row r="1182" spans="1:34" x14ac:dyDescent="0.3">
      <c r="A1182" t="s">
        <v>798</v>
      </c>
      <c r="B1182">
        <v>12200190</v>
      </c>
      <c r="C1182">
        <v>24889993</v>
      </c>
      <c r="D1182" t="s">
        <v>813</v>
      </c>
      <c r="E1182" t="s">
        <v>438</v>
      </c>
      <c r="F1182" t="s">
        <v>427</v>
      </c>
      <c r="G1182" t="s">
        <v>82</v>
      </c>
      <c r="H1182" t="s">
        <v>82</v>
      </c>
      <c r="J1182" t="s">
        <v>52</v>
      </c>
      <c r="K1182" s="15">
        <v>1000</v>
      </c>
      <c r="L1182" s="15">
        <v>0</v>
      </c>
      <c r="M1182" s="13">
        <v>45197</v>
      </c>
      <c r="O1182">
        <v>0</v>
      </c>
      <c r="P1182">
        <v>0</v>
      </c>
      <c r="Q1182">
        <v>0</v>
      </c>
      <c r="R1182">
        <v>0</v>
      </c>
      <c r="S1182">
        <v>6377.0066774532461</v>
      </c>
      <c r="T1182">
        <v>0</v>
      </c>
      <c r="U1182">
        <v>0</v>
      </c>
      <c r="V1182">
        <v>46669.558894217822</v>
      </c>
      <c r="W1182">
        <v>0</v>
      </c>
      <c r="X1182">
        <v>0</v>
      </c>
      <c r="Y1182">
        <v>53046.565571671068</v>
      </c>
      <c r="Z1182">
        <v>0</v>
      </c>
      <c r="AA1182">
        <v>53046.565571671068</v>
      </c>
      <c r="AB1182" t="s">
        <v>242</v>
      </c>
      <c r="AC1182">
        <v>3</v>
      </c>
      <c r="AD1182">
        <v>4390</v>
      </c>
      <c r="AE1182">
        <v>0</v>
      </c>
      <c r="AF1182">
        <v>0</v>
      </c>
      <c r="AG1182">
        <v>0</v>
      </c>
      <c r="AH1182" t="s">
        <v>58</v>
      </c>
    </row>
    <row r="1183" spans="1:34" x14ac:dyDescent="0.3">
      <c r="A1183" t="s">
        <v>798</v>
      </c>
      <c r="B1183">
        <v>42201150</v>
      </c>
      <c r="C1183">
        <v>2758020463</v>
      </c>
      <c r="D1183" t="s">
        <v>129</v>
      </c>
      <c r="E1183" t="s">
        <v>439</v>
      </c>
      <c r="F1183" t="s">
        <v>430</v>
      </c>
      <c r="G1183" t="s">
        <v>230</v>
      </c>
      <c r="H1183" t="s">
        <v>234</v>
      </c>
      <c r="J1183" t="s">
        <v>52</v>
      </c>
      <c r="K1183" s="15">
        <v>10000</v>
      </c>
      <c r="L1183" s="15">
        <v>0</v>
      </c>
      <c r="M1183" s="13">
        <v>45197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340973.24299065425</v>
      </c>
      <c r="Y1183">
        <v>340973.24299065425</v>
      </c>
      <c r="Z1183">
        <v>23868.127009345801</v>
      </c>
      <c r="AA1183">
        <v>364841.37000000005</v>
      </c>
      <c r="AB1183" t="s">
        <v>242</v>
      </c>
      <c r="AC1183">
        <v>5</v>
      </c>
      <c r="AD1183">
        <v>50000</v>
      </c>
      <c r="AE1183">
        <v>0</v>
      </c>
      <c r="AF1183">
        <v>0</v>
      </c>
      <c r="AG1183">
        <v>3271.0280373831756</v>
      </c>
      <c r="AH1183" t="s">
        <v>58</v>
      </c>
    </row>
    <row r="1184" spans="1:34" x14ac:dyDescent="0.3">
      <c r="A1184" t="s">
        <v>798</v>
      </c>
      <c r="B1184">
        <v>42201151</v>
      </c>
      <c r="C1184">
        <v>2759024152</v>
      </c>
      <c r="D1184" t="s">
        <v>830</v>
      </c>
      <c r="E1184" t="s">
        <v>439</v>
      </c>
      <c r="F1184" t="s">
        <v>430</v>
      </c>
      <c r="G1184" t="s">
        <v>230</v>
      </c>
      <c r="H1184" t="s">
        <v>234</v>
      </c>
      <c r="J1184" t="s">
        <v>52</v>
      </c>
      <c r="K1184" s="15">
        <v>1800</v>
      </c>
      <c r="L1184" s="15">
        <v>0</v>
      </c>
      <c r="M1184" s="13">
        <v>45197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312464.98130841122</v>
      </c>
      <c r="Y1184">
        <v>312464.98130841122</v>
      </c>
      <c r="Z1184">
        <v>21872.548691588789</v>
      </c>
      <c r="AA1184">
        <v>334337.53000000003</v>
      </c>
      <c r="AB1184" t="s">
        <v>242</v>
      </c>
      <c r="AC1184">
        <v>10</v>
      </c>
      <c r="AD1184">
        <v>15800</v>
      </c>
      <c r="AE1184">
        <v>0</v>
      </c>
      <c r="AF1184">
        <v>0</v>
      </c>
      <c r="AG1184">
        <v>1033.6448598130848</v>
      </c>
      <c r="AH1184" t="s">
        <v>58</v>
      </c>
    </row>
    <row r="1185" spans="1:34" x14ac:dyDescent="0.3">
      <c r="A1185" t="s">
        <v>798</v>
      </c>
      <c r="B1185">
        <v>52201479</v>
      </c>
      <c r="C1185">
        <v>26373941</v>
      </c>
      <c r="D1185" t="s">
        <v>159</v>
      </c>
      <c r="E1185" t="s">
        <v>438</v>
      </c>
      <c r="F1185" t="s">
        <v>431</v>
      </c>
      <c r="G1185" t="s">
        <v>82</v>
      </c>
      <c r="H1185" t="s">
        <v>83</v>
      </c>
      <c r="J1185" t="s">
        <v>52</v>
      </c>
      <c r="K1185" s="15">
        <v>4700</v>
      </c>
      <c r="L1185" s="15">
        <v>0</v>
      </c>
      <c r="M1185" s="13">
        <v>45197</v>
      </c>
      <c r="O1185">
        <v>0</v>
      </c>
      <c r="P1185">
        <v>0</v>
      </c>
      <c r="Q1185">
        <v>0</v>
      </c>
      <c r="R1185">
        <v>504.50911861558086</v>
      </c>
      <c r="S1185">
        <v>0</v>
      </c>
      <c r="T1185">
        <v>0</v>
      </c>
      <c r="U1185">
        <v>0</v>
      </c>
      <c r="V1185">
        <v>40026.627071430979</v>
      </c>
      <c r="W1185">
        <v>0</v>
      </c>
      <c r="X1185">
        <v>0</v>
      </c>
      <c r="Y1185">
        <v>40531.136190046564</v>
      </c>
      <c r="Z1185">
        <v>2801.8638950001687</v>
      </c>
      <c r="AA1185">
        <v>43333.000085046733</v>
      </c>
      <c r="AB1185" t="s">
        <v>242</v>
      </c>
      <c r="AC1185">
        <v>7</v>
      </c>
      <c r="AD1185">
        <v>30300</v>
      </c>
      <c r="AE1185">
        <v>0</v>
      </c>
      <c r="AF1185">
        <v>0</v>
      </c>
      <c r="AG1185">
        <v>1956.9585404701779</v>
      </c>
      <c r="AH1185" t="s">
        <v>58</v>
      </c>
    </row>
    <row r="1186" spans="1:34" x14ac:dyDescent="0.3">
      <c r="A1186" t="s">
        <v>798</v>
      </c>
      <c r="B1186">
        <v>62200025</v>
      </c>
      <c r="C1186">
        <v>9001302</v>
      </c>
      <c r="D1186" t="s">
        <v>79</v>
      </c>
      <c r="E1186" t="s">
        <v>435</v>
      </c>
      <c r="F1186" t="s">
        <v>432</v>
      </c>
      <c r="G1186" t="s">
        <v>82</v>
      </c>
      <c r="H1186" t="s">
        <v>82</v>
      </c>
      <c r="J1186" t="s">
        <v>52</v>
      </c>
      <c r="K1186" s="15">
        <v>1000</v>
      </c>
      <c r="L1186" s="15">
        <v>0</v>
      </c>
      <c r="M1186" s="13">
        <v>45197</v>
      </c>
      <c r="O1186">
        <v>0</v>
      </c>
      <c r="P1186">
        <v>0</v>
      </c>
      <c r="Q1186">
        <v>0</v>
      </c>
      <c r="R1186">
        <v>0</v>
      </c>
      <c r="S1186">
        <v>185.23326383561653</v>
      </c>
      <c r="T1186">
        <v>0</v>
      </c>
      <c r="U1186">
        <v>0</v>
      </c>
      <c r="V1186">
        <v>16839.61</v>
      </c>
      <c r="W1186">
        <v>0</v>
      </c>
      <c r="X1186">
        <v>0</v>
      </c>
      <c r="Y1186">
        <v>17024.843263835617</v>
      </c>
      <c r="Z1186">
        <v>0</v>
      </c>
      <c r="AA1186">
        <v>17024.843263835617</v>
      </c>
      <c r="AB1186" t="s">
        <v>242</v>
      </c>
      <c r="AC1186">
        <v>13</v>
      </c>
      <c r="AD1186">
        <v>13170</v>
      </c>
      <c r="AE1186">
        <v>0</v>
      </c>
      <c r="AF1186">
        <v>0</v>
      </c>
      <c r="AG1186">
        <v>0</v>
      </c>
      <c r="AH1186" t="s">
        <v>58</v>
      </c>
    </row>
    <row r="1187" spans="1:34" x14ac:dyDescent="0.3">
      <c r="A1187" t="s">
        <v>798</v>
      </c>
      <c r="B1187">
        <v>4132301072</v>
      </c>
      <c r="C1187">
        <v>1120077615</v>
      </c>
      <c r="D1187" t="s">
        <v>910</v>
      </c>
      <c r="E1187" t="s">
        <v>441</v>
      </c>
      <c r="F1187" t="s">
        <v>430</v>
      </c>
      <c r="G1187" t="s">
        <v>233</v>
      </c>
      <c r="H1187" t="s">
        <v>231</v>
      </c>
      <c r="J1187" t="s">
        <v>52</v>
      </c>
      <c r="K1187" s="15">
        <v>3000</v>
      </c>
      <c r="L1187" s="15">
        <v>0</v>
      </c>
      <c r="M1187" s="13">
        <v>45197</v>
      </c>
      <c r="O1187">
        <v>0</v>
      </c>
      <c r="P1187">
        <v>920.40193699732845</v>
      </c>
      <c r="Q1187">
        <v>0</v>
      </c>
      <c r="R1187">
        <v>0</v>
      </c>
      <c r="S1187">
        <v>2451.8589041095888</v>
      </c>
      <c r="T1187">
        <v>5275.3252925258612</v>
      </c>
      <c r="U1187">
        <v>0</v>
      </c>
      <c r="V1187">
        <v>0</v>
      </c>
      <c r="W1187">
        <v>0</v>
      </c>
      <c r="X1187">
        <v>0</v>
      </c>
      <c r="Y1187">
        <v>8647.586133632778</v>
      </c>
      <c r="Z1187">
        <v>369.27277047681031</v>
      </c>
      <c r="AA1187">
        <v>9016.8589041095875</v>
      </c>
      <c r="AB1187" t="s">
        <v>242</v>
      </c>
      <c r="AC1187">
        <v>2</v>
      </c>
      <c r="AD1187">
        <v>6000</v>
      </c>
      <c r="AE1187">
        <v>0</v>
      </c>
      <c r="AF1187">
        <v>0</v>
      </c>
      <c r="AG1187">
        <v>236.52162204655428</v>
      </c>
      <c r="AH1187" t="s">
        <v>58</v>
      </c>
    </row>
    <row r="1188" spans="1:34" x14ac:dyDescent="0.3">
      <c r="A1188" t="s">
        <v>798</v>
      </c>
      <c r="B1188">
        <v>62200104</v>
      </c>
      <c r="C1188" t="s">
        <v>245</v>
      </c>
      <c r="D1188" t="s">
        <v>316</v>
      </c>
      <c r="E1188" t="s">
        <v>435</v>
      </c>
      <c r="F1188" t="s">
        <v>432</v>
      </c>
      <c r="G1188" t="s">
        <v>82</v>
      </c>
      <c r="H1188" t="s">
        <v>82</v>
      </c>
      <c r="J1188" t="s">
        <v>52</v>
      </c>
      <c r="K1188" s="15">
        <v>3000</v>
      </c>
      <c r="L1188" s="15">
        <v>0</v>
      </c>
      <c r="M1188" s="13">
        <v>45197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5594.8866788080632</v>
      </c>
      <c r="W1188">
        <v>0</v>
      </c>
      <c r="X1188">
        <v>0</v>
      </c>
      <c r="Y1188">
        <v>5594.8866788080632</v>
      </c>
      <c r="Z1188">
        <v>0</v>
      </c>
      <c r="AA1188">
        <v>5594.8866788080632</v>
      </c>
      <c r="AB1188" t="s">
        <v>242</v>
      </c>
      <c r="AC1188">
        <v>14</v>
      </c>
      <c r="AD1188">
        <v>32000</v>
      </c>
      <c r="AE1188">
        <v>0</v>
      </c>
      <c r="AF1188">
        <v>0</v>
      </c>
      <c r="AG1188">
        <v>0</v>
      </c>
      <c r="AH1188" t="s">
        <v>58</v>
      </c>
    </row>
    <row r="1189" spans="1:34" x14ac:dyDescent="0.3">
      <c r="A1189" t="s">
        <v>798</v>
      </c>
      <c r="B1189">
        <v>4302300039</v>
      </c>
      <c r="C1189" t="s">
        <v>109</v>
      </c>
      <c r="D1189" t="s">
        <v>226</v>
      </c>
      <c r="E1189" t="s">
        <v>447</v>
      </c>
      <c r="F1189" t="s">
        <v>433</v>
      </c>
      <c r="G1189" t="s">
        <v>417</v>
      </c>
      <c r="H1189" t="s">
        <v>83</v>
      </c>
      <c r="J1189" t="s">
        <v>52</v>
      </c>
      <c r="K1189" s="15">
        <v>40000</v>
      </c>
      <c r="L1189" s="15">
        <v>0</v>
      </c>
      <c r="M1189" s="13">
        <v>45197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 t="s">
        <v>242</v>
      </c>
      <c r="AC1189">
        <v>4</v>
      </c>
      <c r="AD1189">
        <v>246000</v>
      </c>
      <c r="AE1189">
        <v>0</v>
      </c>
      <c r="AF1189">
        <v>0</v>
      </c>
      <c r="AG1189">
        <v>14792.23743492348</v>
      </c>
      <c r="AH1189" t="s">
        <v>58</v>
      </c>
    </row>
    <row r="1190" spans="1:34" x14ac:dyDescent="0.3">
      <c r="A1190" t="s">
        <v>798</v>
      </c>
      <c r="B1190">
        <v>2200009</v>
      </c>
      <c r="C1190">
        <v>19887094</v>
      </c>
      <c r="D1190" t="s">
        <v>77</v>
      </c>
      <c r="E1190" t="s">
        <v>435</v>
      </c>
      <c r="F1190" t="s">
        <v>426</v>
      </c>
      <c r="G1190" t="s">
        <v>82</v>
      </c>
      <c r="H1190" t="s">
        <v>82</v>
      </c>
      <c r="J1190" t="s">
        <v>52</v>
      </c>
      <c r="K1190" s="15">
        <v>900</v>
      </c>
      <c r="L1190" s="15">
        <v>0</v>
      </c>
      <c r="M1190" s="13">
        <v>45198</v>
      </c>
      <c r="O1190">
        <v>0</v>
      </c>
      <c r="P1190">
        <v>0</v>
      </c>
      <c r="Q1190">
        <v>0</v>
      </c>
      <c r="R1190">
        <v>0</v>
      </c>
      <c r="S1190">
        <v>14301.616180538298</v>
      </c>
      <c r="T1190">
        <v>0</v>
      </c>
      <c r="U1190">
        <v>0</v>
      </c>
      <c r="V1190">
        <v>107102.9400910782</v>
      </c>
      <c r="W1190">
        <v>0</v>
      </c>
      <c r="X1190">
        <v>0</v>
      </c>
      <c r="Y1190">
        <v>121404.5562716165</v>
      </c>
      <c r="Z1190">
        <v>0</v>
      </c>
      <c r="AA1190">
        <v>121404.5562716165</v>
      </c>
      <c r="AB1190" t="s">
        <v>242</v>
      </c>
      <c r="AC1190">
        <v>14</v>
      </c>
      <c r="AD1190">
        <v>12600</v>
      </c>
      <c r="AE1190">
        <v>0</v>
      </c>
      <c r="AF1190">
        <v>0</v>
      </c>
      <c r="AG1190">
        <v>0</v>
      </c>
      <c r="AH1190" t="s">
        <v>58</v>
      </c>
    </row>
    <row r="1191" spans="1:34" x14ac:dyDescent="0.3">
      <c r="A1191" t="s">
        <v>798</v>
      </c>
      <c r="B1191">
        <v>12200074</v>
      </c>
      <c r="C1191">
        <v>24614224</v>
      </c>
      <c r="D1191" t="s">
        <v>112</v>
      </c>
      <c r="E1191" t="s">
        <v>436</v>
      </c>
      <c r="F1191" t="s">
        <v>427</v>
      </c>
      <c r="G1191" t="s">
        <v>82</v>
      </c>
      <c r="H1191" t="s">
        <v>82</v>
      </c>
      <c r="J1191" t="s">
        <v>52</v>
      </c>
      <c r="K1191" s="15">
        <v>2000</v>
      </c>
      <c r="L1191" s="15">
        <v>0</v>
      </c>
      <c r="M1191" s="13">
        <v>45198</v>
      </c>
      <c r="O1191">
        <v>0</v>
      </c>
      <c r="P1191">
        <v>0</v>
      </c>
      <c r="Q1191">
        <v>0</v>
      </c>
      <c r="R1191">
        <v>0</v>
      </c>
      <c r="S1191">
        <v>14080.236883253237</v>
      </c>
      <c r="T1191">
        <v>0</v>
      </c>
      <c r="U1191">
        <v>0</v>
      </c>
      <c r="V1191">
        <v>97971.528938102099</v>
      </c>
      <c r="W1191">
        <v>0</v>
      </c>
      <c r="X1191">
        <v>0</v>
      </c>
      <c r="Y1191">
        <v>112051.76582135534</v>
      </c>
      <c r="Z1191">
        <v>0</v>
      </c>
      <c r="AA1191">
        <v>112051.76582135534</v>
      </c>
      <c r="AB1191" t="s">
        <v>242</v>
      </c>
      <c r="AC1191">
        <v>4</v>
      </c>
      <c r="AD1191">
        <v>6500</v>
      </c>
      <c r="AE1191">
        <v>0</v>
      </c>
      <c r="AF1191">
        <v>0</v>
      </c>
      <c r="AG1191">
        <v>0</v>
      </c>
      <c r="AH1191" t="s">
        <v>58</v>
      </c>
    </row>
    <row r="1192" spans="1:34" x14ac:dyDescent="0.3">
      <c r="A1192" t="s">
        <v>798</v>
      </c>
      <c r="B1192">
        <v>22200010</v>
      </c>
      <c r="C1192">
        <v>18928437</v>
      </c>
      <c r="D1192" t="s">
        <v>85</v>
      </c>
      <c r="E1192" t="s">
        <v>435</v>
      </c>
      <c r="F1192" t="s">
        <v>428</v>
      </c>
      <c r="G1192" t="s">
        <v>82</v>
      </c>
      <c r="H1192" t="s">
        <v>82</v>
      </c>
      <c r="J1192" t="s">
        <v>52</v>
      </c>
      <c r="K1192" s="15">
        <v>500</v>
      </c>
      <c r="L1192" s="15">
        <v>0</v>
      </c>
      <c r="M1192" s="13">
        <v>45198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18069.751865506852</v>
      </c>
      <c r="W1192">
        <v>0</v>
      </c>
      <c r="X1192">
        <v>0</v>
      </c>
      <c r="Y1192">
        <v>18069.751865506852</v>
      </c>
      <c r="Z1192">
        <v>0</v>
      </c>
      <c r="AA1192">
        <v>18069.751865506852</v>
      </c>
      <c r="AB1192" t="s">
        <v>242</v>
      </c>
      <c r="AC1192">
        <v>13</v>
      </c>
      <c r="AD1192">
        <v>10000</v>
      </c>
      <c r="AE1192">
        <v>0</v>
      </c>
      <c r="AF1192">
        <v>0</v>
      </c>
      <c r="AG1192">
        <v>0</v>
      </c>
      <c r="AH1192" t="s">
        <v>58</v>
      </c>
    </row>
    <row r="1193" spans="1:34" x14ac:dyDescent="0.3">
      <c r="A1193" t="s">
        <v>798</v>
      </c>
      <c r="B1193">
        <v>42201112</v>
      </c>
      <c r="C1193">
        <v>2756020075</v>
      </c>
      <c r="D1193" t="s">
        <v>128</v>
      </c>
      <c r="E1193" t="s">
        <v>439</v>
      </c>
      <c r="F1193" t="s">
        <v>430</v>
      </c>
      <c r="G1193" t="s">
        <v>233</v>
      </c>
      <c r="H1193" t="s">
        <v>234</v>
      </c>
      <c r="J1193" t="s">
        <v>52</v>
      </c>
      <c r="K1193" s="15">
        <v>10000</v>
      </c>
      <c r="L1193" s="15">
        <v>0</v>
      </c>
      <c r="M1193" s="13">
        <v>45198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84149.915887850453</v>
      </c>
      <c r="Y1193">
        <v>84149.915887850453</v>
      </c>
      <c r="Z1193">
        <v>5890.4941121495322</v>
      </c>
      <c r="AA1193">
        <v>90040.409999999989</v>
      </c>
      <c r="AB1193" t="s">
        <v>242</v>
      </c>
      <c r="AC1193">
        <v>4</v>
      </c>
      <c r="AD1193">
        <v>37000</v>
      </c>
      <c r="AE1193">
        <v>0</v>
      </c>
      <c r="AF1193">
        <v>0</v>
      </c>
      <c r="AG1193">
        <v>2420.560747663551</v>
      </c>
      <c r="AH1193" t="s">
        <v>58</v>
      </c>
    </row>
    <row r="1194" spans="1:34" x14ac:dyDescent="0.3">
      <c r="A1194" t="s">
        <v>798</v>
      </c>
      <c r="B1194">
        <v>52200121</v>
      </c>
      <c r="C1194">
        <v>24646629</v>
      </c>
      <c r="D1194" t="s">
        <v>836</v>
      </c>
      <c r="E1194" t="s">
        <v>436</v>
      </c>
      <c r="F1194" t="s">
        <v>431</v>
      </c>
      <c r="G1194" t="s">
        <v>82</v>
      </c>
      <c r="H1194" t="s">
        <v>83</v>
      </c>
      <c r="J1194" t="s">
        <v>52</v>
      </c>
      <c r="K1194" s="15">
        <v>3000</v>
      </c>
      <c r="L1194" s="15">
        <v>0</v>
      </c>
      <c r="M1194" s="13">
        <v>45198</v>
      </c>
      <c r="O1194">
        <v>0</v>
      </c>
      <c r="P1194">
        <v>0</v>
      </c>
      <c r="Q1194">
        <v>0</v>
      </c>
      <c r="R1194">
        <v>858.14381785702972</v>
      </c>
      <c r="S1194">
        <v>28297.788831245511</v>
      </c>
      <c r="T1194">
        <v>0</v>
      </c>
      <c r="U1194">
        <v>0</v>
      </c>
      <c r="V1194">
        <v>49392.732212420298</v>
      </c>
      <c r="W1194">
        <v>0</v>
      </c>
      <c r="X1194">
        <v>0</v>
      </c>
      <c r="Y1194">
        <v>78548.664861522848</v>
      </c>
      <c r="Z1194">
        <v>5438.3364730566072</v>
      </c>
      <c r="AA1194">
        <v>83987.001334579458</v>
      </c>
      <c r="AB1194" t="s">
        <v>242</v>
      </c>
      <c r="AC1194">
        <v>1</v>
      </c>
      <c r="AD1194">
        <v>3000</v>
      </c>
      <c r="AE1194">
        <v>0</v>
      </c>
      <c r="AF1194">
        <v>0</v>
      </c>
      <c r="AG1194">
        <v>194.11221238317012</v>
      </c>
      <c r="AH1194" t="s">
        <v>72</v>
      </c>
    </row>
    <row r="1195" spans="1:34" x14ac:dyDescent="0.3">
      <c r="A1195" t="s">
        <v>798</v>
      </c>
      <c r="B1195">
        <v>52200412</v>
      </c>
      <c r="C1195">
        <v>25145601</v>
      </c>
      <c r="D1195" t="s">
        <v>86</v>
      </c>
      <c r="E1195" t="s">
        <v>436</v>
      </c>
      <c r="F1195" t="s">
        <v>431</v>
      </c>
      <c r="G1195" t="s">
        <v>82</v>
      </c>
      <c r="H1195" t="s">
        <v>83</v>
      </c>
      <c r="J1195" t="s">
        <v>52</v>
      </c>
      <c r="K1195" s="15">
        <v>1700</v>
      </c>
      <c r="L1195" s="15">
        <v>0</v>
      </c>
      <c r="M1195" s="13">
        <v>45198</v>
      </c>
      <c r="O1195">
        <v>0</v>
      </c>
      <c r="P1195">
        <v>0</v>
      </c>
      <c r="Q1195">
        <v>0</v>
      </c>
      <c r="R1195">
        <v>773.42021152462667</v>
      </c>
      <c r="S1195">
        <v>22649.699168196916</v>
      </c>
      <c r="T1195">
        <v>0</v>
      </c>
      <c r="U1195">
        <v>0</v>
      </c>
      <c r="V1195">
        <v>52616.263104201244</v>
      </c>
      <c r="W1195">
        <v>0</v>
      </c>
      <c r="X1195">
        <v>0</v>
      </c>
      <c r="Y1195">
        <v>76039.382483922789</v>
      </c>
      <c r="Z1195">
        <v>5268.6173590678718</v>
      </c>
      <c r="AA1195">
        <v>81307.999842990655</v>
      </c>
      <c r="AB1195" t="s">
        <v>242</v>
      </c>
      <c r="AC1195">
        <v>11</v>
      </c>
      <c r="AD1195">
        <v>11500</v>
      </c>
      <c r="AE1195">
        <v>0</v>
      </c>
      <c r="AF1195">
        <v>0</v>
      </c>
      <c r="AG1195">
        <v>744.64431290348034</v>
      </c>
      <c r="AH1195" t="s">
        <v>58</v>
      </c>
    </row>
    <row r="1196" spans="1:34" x14ac:dyDescent="0.3">
      <c r="A1196" t="s">
        <v>798</v>
      </c>
      <c r="B1196">
        <v>52200431</v>
      </c>
      <c r="C1196">
        <v>27663860</v>
      </c>
      <c r="D1196" t="s">
        <v>854</v>
      </c>
      <c r="E1196" t="s">
        <v>436</v>
      </c>
      <c r="F1196" t="s">
        <v>431</v>
      </c>
      <c r="G1196" t="s">
        <v>82</v>
      </c>
      <c r="H1196" t="s">
        <v>83</v>
      </c>
      <c r="J1196" t="s">
        <v>52</v>
      </c>
      <c r="K1196" s="15">
        <v>1000</v>
      </c>
      <c r="L1196" s="15">
        <v>0</v>
      </c>
      <c r="M1196" s="13">
        <v>45198</v>
      </c>
      <c r="O1196">
        <v>0</v>
      </c>
      <c r="P1196">
        <v>0</v>
      </c>
      <c r="Q1196">
        <v>0</v>
      </c>
      <c r="R1196">
        <v>880.60908822493036</v>
      </c>
      <c r="S1196">
        <v>33541.019543715018</v>
      </c>
      <c r="T1196">
        <v>0</v>
      </c>
      <c r="U1196">
        <v>0</v>
      </c>
      <c r="V1196">
        <v>50391.121495327105</v>
      </c>
      <c r="W1196">
        <v>0</v>
      </c>
      <c r="X1196">
        <v>0</v>
      </c>
      <c r="Y1196">
        <v>84812.750127267063</v>
      </c>
      <c r="Z1196">
        <v>5875.2498727329494</v>
      </c>
      <c r="AA1196">
        <v>90688.000000000015</v>
      </c>
      <c r="AB1196" t="s">
        <v>242</v>
      </c>
      <c r="AC1196">
        <v>1</v>
      </c>
      <c r="AD1196">
        <v>1000</v>
      </c>
      <c r="AE1196">
        <v>0</v>
      </c>
      <c r="AF1196">
        <v>0</v>
      </c>
      <c r="AG1196">
        <v>64.740781472659023</v>
      </c>
      <c r="AH1196" t="s">
        <v>72</v>
      </c>
    </row>
    <row r="1197" spans="1:34" x14ac:dyDescent="0.3">
      <c r="A1197" t="s">
        <v>798</v>
      </c>
      <c r="B1197">
        <v>52201890</v>
      </c>
      <c r="C1197">
        <v>26738561</v>
      </c>
      <c r="D1197" t="s">
        <v>168</v>
      </c>
      <c r="E1197" t="s">
        <v>438</v>
      </c>
      <c r="F1197" t="s">
        <v>431</v>
      </c>
      <c r="G1197" t="s">
        <v>82</v>
      </c>
      <c r="H1197" t="s">
        <v>83</v>
      </c>
      <c r="J1197" t="s">
        <v>52</v>
      </c>
      <c r="K1197" s="15">
        <v>1000</v>
      </c>
      <c r="L1197" s="15">
        <v>0</v>
      </c>
      <c r="M1197" s="13">
        <v>45198</v>
      </c>
      <c r="O1197">
        <v>0</v>
      </c>
      <c r="P1197">
        <v>0</v>
      </c>
      <c r="Q1197">
        <v>0</v>
      </c>
      <c r="R1197">
        <v>1073.3404596039934</v>
      </c>
      <c r="S1197">
        <v>26249.219820034334</v>
      </c>
      <c r="T1197">
        <v>0</v>
      </c>
      <c r="U1197">
        <v>0</v>
      </c>
      <c r="V1197">
        <v>41284.106700381184</v>
      </c>
      <c r="W1197">
        <v>0</v>
      </c>
      <c r="X1197">
        <v>0</v>
      </c>
      <c r="Y1197">
        <v>68606.666980019509</v>
      </c>
      <c r="Z1197">
        <v>4727.3328564290869</v>
      </c>
      <c r="AA1197">
        <v>73333.999836448595</v>
      </c>
      <c r="AB1197" t="s">
        <v>242</v>
      </c>
      <c r="AC1197">
        <v>1</v>
      </c>
      <c r="AD1197">
        <v>1000</v>
      </c>
      <c r="AE1197">
        <v>0</v>
      </c>
      <c r="AF1197">
        <v>0</v>
      </c>
      <c r="AG1197">
        <v>64.396104833906065</v>
      </c>
      <c r="AH1197" t="s">
        <v>72</v>
      </c>
    </row>
    <row r="1198" spans="1:34" x14ac:dyDescent="0.3">
      <c r="A1198" t="s">
        <v>798</v>
      </c>
      <c r="B1198">
        <v>62200005</v>
      </c>
      <c r="C1198">
        <v>19887124</v>
      </c>
      <c r="D1198" t="s">
        <v>77</v>
      </c>
      <c r="E1198" t="s">
        <v>435</v>
      </c>
      <c r="F1198" t="s">
        <v>432</v>
      </c>
      <c r="G1198" t="s">
        <v>82</v>
      </c>
      <c r="H1198" t="s">
        <v>82</v>
      </c>
      <c r="J1198" t="s">
        <v>52</v>
      </c>
      <c r="K1198" s="15">
        <v>1800</v>
      </c>
      <c r="L1198" s="15">
        <v>0</v>
      </c>
      <c r="M1198" s="13">
        <v>45198</v>
      </c>
      <c r="O1198">
        <v>0</v>
      </c>
      <c r="P1198">
        <v>0</v>
      </c>
      <c r="Q1198">
        <v>0</v>
      </c>
      <c r="R1198">
        <v>0</v>
      </c>
      <c r="S1198">
        <v>1225.6010580922848</v>
      </c>
      <c r="T1198">
        <v>0</v>
      </c>
      <c r="U1198">
        <v>0</v>
      </c>
      <c r="V1198">
        <v>59598.02512483739</v>
      </c>
      <c r="W1198">
        <v>0</v>
      </c>
      <c r="X1198">
        <v>0</v>
      </c>
      <c r="Y1198">
        <v>60823.626182929671</v>
      </c>
      <c r="Z1198">
        <v>0</v>
      </c>
      <c r="AA1198">
        <v>60823.626182929671</v>
      </c>
      <c r="AB1198" t="s">
        <v>242</v>
      </c>
      <c r="AC1198">
        <v>14</v>
      </c>
      <c r="AD1198">
        <v>25200</v>
      </c>
      <c r="AE1198">
        <v>0</v>
      </c>
      <c r="AF1198">
        <v>0</v>
      </c>
      <c r="AG1198">
        <v>0</v>
      </c>
      <c r="AH1198" t="s">
        <v>58</v>
      </c>
    </row>
    <row r="1199" spans="1:34" x14ac:dyDescent="0.3">
      <c r="A1199" t="s">
        <v>798</v>
      </c>
      <c r="B1199">
        <v>62200006</v>
      </c>
      <c r="C1199">
        <v>19887213</v>
      </c>
      <c r="D1199" t="s">
        <v>77</v>
      </c>
      <c r="E1199" t="s">
        <v>435</v>
      </c>
      <c r="F1199" t="s">
        <v>432</v>
      </c>
      <c r="G1199" t="s">
        <v>82</v>
      </c>
      <c r="H1199" t="s">
        <v>82</v>
      </c>
      <c r="J1199" t="s">
        <v>52</v>
      </c>
      <c r="K1199" s="15">
        <v>1800</v>
      </c>
      <c r="L1199" s="15">
        <v>0</v>
      </c>
      <c r="M1199" s="13">
        <v>45198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20895.406380183904</v>
      </c>
      <c r="W1199">
        <v>0</v>
      </c>
      <c r="X1199">
        <v>0</v>
      </c>
      <c r="Y1199">
        <v>20895.406380183904</v>
      </c>
      <c r="Z1199">
        <v>0</v>
      </c>
      <c r="AA1199">
        <v>20895.406380183904</v>
      </c>
      <c r="AB1199" t="s">
        <v>242</v>
      </c>
      <c r="AC1199">
        <v>14</v>
      </c>
      <c r="AD1199">
        <v>25200</v>
      </c>
      <c r="AE1199">
        <v>0</v>
      </c>
      <c r="AF1199">
        <v>0</v>
      </c>
      <c r="AG1199">
        <v>0</v>
      </c>
      <c r="AH1199" t="s">
        <v>58</v>
      </c>
    </row>
    <row r="1200" spans="1:34" x14ac:dyDescent="0.3">
      <c r="A1200" t="s">
        <v>798</v>
      </c>
      <c r="B1200">
        <v>4132300425</v>
      </c>
      <c r="C1200">
        <v>1011500206</v>
      </c>
      <c r="D1200" t="s">
        <v>176</v>
      </c>
      <c r="E1200" t="s">
        <v>441</v>
      </c>
      <c r="F1200" t="s">
        <v>430</v>
      </c>
      <c r="G1200" t="s">
        <v>233</v>
      </c>
      <c r="H1200" t="s">
        <v>231</v>
      </c>
      <c r="J1200" t="s">
        <v>52</v>
      </c>
      <c r="K1200" s="15">
        <v>3000</v>
      </c>
      <c r="L1200" s="15">
        <v>0</v>
      </c>
      <c r="M1200" s="13">
        <v>45198</v>
      </c>
      <c r="O1200">
        <v>0</v>
      </c>
      <c r="P1200">
        <v>6780.088157513278</v>
      </c>
      <c r="Q1200">
        <v>0</v>
      </c>
      <c r="R1200">
        <v>0</v>
      </c>
      <c r="S1200">
        <v>58047.945205479453</v>
      </c>
      <c r="T1200">
        <v>166866.27274998761</v>
      </c>
      <c r="U1200">
        <v>0</v>
      </c>
      <c r="V1200">
        <v>0</v>
      </c>
      <c r="W1200">
        <v>0</v>
      </c>
      <c r="X1200">
        <v>0</v>
      </c>
      <c r="Y1200">
        <v>231694.30611298035</v>
      </c>
      <c r="Z1200">
        <v>11680.639092499134</v>
      </c>
      <c r="AA1200">
        <v>243374.94520547948</v>
      </c>
      <c r="AB1200" t="s">
        <v>242</v>
      </c>
      <c r="AC1200">
        <v>1</v>
      </c>
      <c r="AD1200">
        <v>3000</v>
      </c>
      <c r="AE1200">
        <v>0</v>
      </c>
      <c r="AF1200">
        <v>0</v>
      </c>
      <c r="AG1200">
        <v>141.31417852890604</v>
      </c>
      <c r="AH1200" t="s">
        <v>72</v>
      </c>
    </row>
    <row r="1201" spans="1:34" x14ac:dyDescent="0.3">
      <c r="A1201" t="s">
        <v>798</v>
      </c>
      <c r="B1201">
        <v>4142300116</v>
      </c>
      <c r="C1201">
        <v>10205921</v>
      </c>
      <c r="D1201" t="s">
        <v>189</v>
      </c>
      <c r="E1201" t="s">
        <v>445</v>
      </c>
      <c r="F1201" t="s">
        <v>430</v>
      </c>
      <c r="G1201" t="s">
        <v>233</v>
      </c>
      <c r="H1201" t="s">
        <v>234</v>
      </c>
      <c r="J1201" t="s">
        <v>52</v>
      </c>
      <c r="K1201" s="15">
        <v>50844.160000000003</v>
      </c>
      <c r="L1201" s="15">
        <v>0</v>
      </c>
      <c r="M1201" s="13">
        <v>45198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285107.44859813078</v>
      </c>
      <c r="Y1201">
        <v>285107.44859813078</v>
      </c>
      <c r="Z1201">
        <v>19957.521401869155</v>
      </c>
      <c r="AA1201">
        <v>305064.96999999991</v>
      </c>
      <c r="AB1201" t="s">
        <v>242</v>
      </c>
      <c r="AC1201">
        <v>4</v>
      </c>
      <c r="AD1201">
        <v>252532.48000000001</v>
      </c>
      <c r="AE1201">
        <v>0</v>
      </c>
      <c r="AF1201">
        <v>0</v>
      </c>
      <c r="AG1201">
        <v>16520.816448598125</v>
      </c>
      <c r="AH1201" t="s">
        <v>58</v>
      </c>
    </row>
    <row r="1202" spans="1:34" x14ac:dyDescent="0.3">
      <c r="A1202" t="s">
        <v>798</v>
      </c>
      <c r="B1202">
        <v>4142300254</v>
      </c>
      <c r="C1202">
        <v>10153969</v>
      </c>
      <c r="D1202" t="s">
        <v>195</v>
      </c>
      <c r="E1202" t="s">
        <v>445</v>
      </c>
      <c r="F1202" t="s">
        <v>430</v>
      </c>
      <c r="G1202" t="s">
        <v>237</v>
      </c>
      <c r="H1202" t="s">
        <v>234</v>
      </c>
      <c r="J1202" t="s">
        <v>52</v>
      </c>
      <c r="K1202" s="15">
        <v>5000</v>
      </c>
      <c r="L1202" s="15">
        <v>0</v>
      </c>
      <c r="M1202" s="13">
        <v>45198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76271.233644859822</v>
      </c>
      <c r="Y1202">
        <v>76271.233644859822</v>
      </c>
      <c r="Z1202">
        <v>5338.9863551401877</v>
      </c>
      <c r="AA1202">
        <v>81610.220000000016</v>
      </c>
      <c r="AB1202" t="s">
        <v>242</v>
      </c>
      <c r="AC1202">
        <v>2</v>
      </c>
      <c r="AD1202">
        <v>10000</v>
      </c>
      <c r="AE1202">
        <v>0</v>
      </c>
      <c r="AF1202">
        <v>0</v>
      </c>
      <c r="AG1202">
        <v>654.20560747663512</v>
      </c>
      <c r="AH1202" t="s">
        <v>58</v>
      </c>
    </row>
    <row r="1203" spans="1:34" x14ac:dyDescent="0.3">
      <c r="A1203" t="s">
        <v>798</v>
      </c>
      <c r="B1203">
        <v>4142300416</v>
      </c>
      <c r="C1203">
        <v>10179898</v>
      </c>
      <c r="D1203" t="s">
        <v>198</v>
      </c>
      <c r="E1203" t="s">
        <v>445</v>
      </c>
      <c r="F1203" t="s">
        <v>430</v>
      </c>
      <c r="G1203" t="s">
        <v>230</v>
      </c>
      <c r="H1203" t="s">
        <v>234</v>
      </c>
      <c r="J1203" t="s">
        <v>52</v>
      </c>
      <c r="K1203" s="15">
        <v>7200</v>
      </c>
      <c r="L1203" s="15">
        <v>0</v>
      </c>
      <c r="M1203" s="13">
        <v>45198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330053.26168224303</v>
      </c>
      <c r="Y1203">
        <v>330053.26168224303</v>
      </c>
      <c r="Z1203">
        <v>23103.728317757013</v>
      </c>
      <c r="AA1203">
        <v>353156.99000000005</v>
      </c>
      <c r="AB1203" t="s">
        <v>242</v>
      </c>
      <c r="AC1203">
        <v>5</v>
      </c>
      <c r="AD1203">
        <v>23600</v>
      </c>
      <c r="AE1203">
        <v>0</v>
      </c>
      <c r="AF1203">
        <v>0</v>
      </c>
      <c r="AG1203">
        <v>1543.9252336448601</v>
      </c>
      <c r="AH1203" t="s">
        <v>58</v>
      </c>
    </row>
    <row r="1204" spans="1:34" x14ac:dyDescent="0.3">
      <c r="A1204" t="s">
        <v>798</v>
      </c>
      <c r="B1204">
        <v>4142300515</v>
      </c>
      <c r="C1204">
        <v>10224848</v>
      </c>
      <c r="D1204" t="s">
        <v>918</v>
      </c>
      <c r="E1204" t="s">
        <v>445</v>
      </c>
      <c r="F1204" t="s">
        <v>430</v>
      </c>
      <c r="G1204" t="s">
        <v>237</v>
      </c>
      <c r="H1204" t="s">
        <v>234</v>
      </c>
      <c r="J1204" t="s">
        <v>52</v>
      </c>
      <c r="K1204" s="15">
        <v>500</v>
      </c>
      <c r="L1204" s="15">
        <v>0</v>
      </c>
      <c r="M1204" s="13">
        <v>45198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27866.355140186915</v>
      </c>
      <c r="Y1204">
        <v>27866.355140186915</v>
      </c>
      <c r="Z1204">
        <v>1950.6448598130842</v>
      </c>
      <c r="AA1204">
        <v>29817</v>
      </c>
      <c r="AB1204" t="s">
        <v>242</v>
      </c>
      <c r="AC1204">
        <v>1</v>
      </c>
      <c r="AD1204">
        <v>500</v>
      </c>
      <c r="AE1204">
        <v>0</v>
      </c>
      <c r="AF1204">
        <v>0</v>
      </c>
      <c r="AG1204">
        <v>32.710280373831779</v>
      </c>
      <c r="AH1204" t="s">
        <v>72</v>
      </c>
    </row>
    <row r="1205" spans="1:34" x14ac:dyDescent="0.3">
      <c r="A1205" t="s">
        <v>798</v>
      </c>
      <c r="B1205">
        <v>4142300720</v>
      </c>
      <c r="C1205">
        <v>10326408</v>
      </c>
      <c r="D1205" t="s">
        <v>205</v>
      </c>
      <c r="E1205" t="s">
        <v>445</v>
      </c>
      <c r="F1205" t="s">
        <v>430</v>
      </c>
      <c r="G1205" t="s">
        <v>230</v>
      </c>
      <c r="H1205" t="s">
        <v>234</v>
      </c>
      <c r="J1205" t="s">
        <v>52</v>
      </c>
      <c r="K1205" s="15">
        <v>5000</v>
      </c>
      <c r="L1205" s="15">
        <v>0</v>
      </c>
      <c r="M1205" s="13">
        <v>45198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520385.60747663549</v>
      </c>
      <c r="Y1205">
        <v>520385.60747663549</v>
      </c>
      <c r="Z1205">
        <v>36426.99252336449</v>
      </c>
      <c r="AA1205">
        <v>556812.6</v>
      </c>
      <c r="AB1205" t="s">
        <v>242</v>
      </c>
      <c r="AC1205">
        <v>2</v>
      </c>
      <c r="AD1205">
        <v>10000</v>
      </c>
      <c r="AE1205">
        <v>0</v>
      </c>
      <c r="AF1205">
        <v>0</v>
      </c>
      <c r="AG1205">
        <v>654.20560747663512</v>
      </c>
      <c r="AH1205" t="s">
        <v>58</v>
      </c>
    </row>
    <row r="1206" spans="1:34" x14ac:dyDescent="0.3">
      <c r="A1206" t="s">
        <v>798</v>
      </c>
      <c r="B1206">
        <v>4142300794</v>
      </c>
      <c r="C1206">
        <v>10379208</v>
      </c>
      <c r="D1206" t="s">
        <v>209</v>
      </c>
      <c r="E1206" t="s">
        <v>445</v>
      </c>
      <c r="F1206" t="s">
        <v>430</v>
      </c>
      <c r="G1206" t="s">
        <v>230</v>
      </c>
      <c r="H1206" t="s">
        <v>234</v>
      </c>
      <c r="J1206" t="s">
        <v>52</v>
      </c>
      <c r="K1206" s="15">
        <v>5000</v>
      </c>
      <c r="L1206" s="15">
        <v>0</v>
      </c>
      <c r="M1206" s="13">
        <v>45198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502897.44859813084</v>
      </c>
      <c r="Y1206">
        <v>502897.44859813084</v>
      </c>
      <c r="Z1206">
        <v>35202.821401869165</v>
      </c>
      <c r="AA1206">
        <v>538100.27</v>
      </c>
      <c r="AB1206" t="s">
        <v>242</v>
      </c>
      <c r="AC1206">
        <v>2</v>
      </c>
      <c r="AD1206">
        <v>10000</v>
      </c>
      <c r="AE1206">
        <v>0</v>
      </c>
      <c r="AF1206">
        <v>0</v>
      </c>
      <c r="AG1206">
        <v>654.20560747663512</v>
      </c>
      <c r="AH1206" t="s">
        <v>58</v>
      </c>
    </row>
    <row r="1207" spans="1:34" x14ac:dyDescent="0.3">
      <c r="A1207" t="s">
        <v>798</v>
      </c>
      <c r="B1207">
        <v>4142300798</v>
      </c>
      <c r="C1207">
        <v>10364170</v>
      </c>
      <c r="D1207" t="s">
        <v>210</v>
      </c>
      <c r="E1207" t="s">
        <v>445</v>
      </c>
      <c r="F1207" t="s">
        <v>430</v>
      </c>
      <c r="G1207" t="s">
        <v>230</v>
      </c>
      <c r="H1207" t="s">
        <v>234</v>
      </c>
      <c r="J1207" t="s">
        <v>52</v>
      </c>
      <c r="K1207" s="15">
        <v>105000</v>
      </c>
      <c r="L1207" s="15">
        <v>0</v>
      </c>
      <c r="M1207" s="13">
        <v>45198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790847.67532966333</v>
      </c>
      <c r="Y1207">
        <v>790847.67532966333</v>
      </c>
      <c r="Z1207">
        <v>55359.337273076439</v>
      </c>
      <c r="AA1207">
        <v>846207.01260273973</v>
      </c>
      <c r="AB1207" t="s">
        <v>242</v>
      </c>
      <c r="AC1207">
        <v>2</v>
      </c>
      <c r="AD1207">
        <v>125000</v>
      </c>
      <c r="AE1207">
        <v>0</v>
      </c>
      <c r="AF1207">
        <v>0</v>
      </c>
      <c r="AG1207">
        <v>8177.5700934579472</v>
      </c>
      <c r="AH1207" t="s">
        <v>58</v>
      </c>
    </row>
    <row r="1208" spans="1:34" x14ac:dyDescent="0.3">
      <c r="A1208" t="s">
        <v>798</v>
      </c>
      <c r="B1208">
        <v>4142300897</v>
      </c>
      <c r="C1208">
        <v>10425033</v>
      </c>
      <c r="D1208" t="s">
        <v>212</v>
      </c>
      <c r="E1208" t="s">
        <v>445</v>
      </c>
      <c r="F1208" t="s">
        <v>430</v>
      </c>
      <c r="G1208" t="s">
        <v>237</v>
      </c>
      <c r="H1208" t="s">
        <v>234</v>
      </c>
      <c r="J1208" t="s">
        <v>52</v>
      </c>
      <c r="K1208" s="15">
        <v>2000</v>
      </c>
      <c r="L1208" s="15">
        <v>0</v>
      </c>
      <c r="M1208" s="13">
        <v>45198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240993.30841121491</v>
      </c>
      <c r="Y1208">
        <v>240993.30841121491</v>
      </c>
      <c r="Z1208">
        <v>16869.531588785045</v>
      </c>
      <c r="AA1208">
        <v>257862.83999999997</v>
      </c>
      <c r="AB1208" t="s">
        <v>242</v>
      </c>
      <c r="AC1208">
        <v>2</v>
      </c>
      <c r="AD1208">
        <v>4000</v>
      </c>
      <c r="AE1208">
        <v>0</v>
      </c>
      <c r="AF1208">
        <v>0</v>
      </c>
      <c r="AG1208">
        <v>261.68224299065423</v>
      </c>
      <c r="AH1208" t="s">
        <v>58</v>
      </c>
    </row>
    <row r="1209" spans="1:34" x14ac:dyDescent="0.3">
      <c r="A1209" t="s">
        <v>798</v>
      </c>
      <c r="B1209">
        <v>4302300029</v>
      </c>
      <c r="C1209">
        <v>901014004279</v>
      </c>
      <c r="D1209" t="s">
        <v>226</v>
      </c>
      <c r="E1209" t="s">
        <v>447</v>
      </c>
      <c r="F1209" t="s">
        <v>433</v>
      </c>
      <c r="G1209" t="s">
        <v>82</v>
      </c>
      <c r="H1209" t="s">
        <v>83</v>
      </c>
      <c r="J1209" t="s">
        <v>52</v>
      </c>
      <c r="K1209" s="15">
        <v>4000</v>
      </c>
      <c r="L1209" s="15">
        <v>0</v>
      </c>
      <c r="M1209" s="13">
        <v>45198</v>
      </c>
      <c r="O1209">
        <v>0</v>
      </c>
      <c r="P1209">
        <v>0</v>
      </c>
      <c r="Q1209">
        <v>25526.61155695263</v>
      </c>
      <c r="R1209">
        <v>17136.900000000001</v>
      </c>
      <c r="S1209">
        <v>71363.335741165778</v>
      </c>
      <c r="T1209">
        <v>0</v>
      </c>
      <c r="U1209">
        <v>0</v>
      </c>
      <c r="V1209">
        <v>332423.83</v>
      </c>
      <c r="W1209">
        <v>0</v>
      </c>
      <c r="X1209">
        <v>0</v>
      </c>
      <c r="Y1209">
        <v>446450.67729811842</v>
      </c>
      <c r="Z1209">
        <v>28265.101601881608</v>
      </c>
      <c r="AA1209">
        <v>474715.77890000003</v>
      </c>
      <c r="AB1209" t="s">
        <v>242</v>
      </c>
      <c r="AC1209">
        <v>3</v>
      </c>
      <c r="AD1209">
        <v>12000</v>
      </c>
      <c r="AE1209">
        <v>0</v>
      </c>
      <c r="AF1209">
        <v>0</v>
      </c>
      <c r="AG1209">
        <v>709.94729811839625</v>
      </c>
      <c r="AH1209" t="s">
        <v>58</v>
      </c>
    </row>
    <row r="1210" spans="1:34" x14ac:dyDescent="0.3">
      <c r="A1210" t="s">
        <v>798</v>
      </c>
      <c r="B1210">
        <v>4302300030</v>
      </c>
      <c r="C1210">
        <v>901014009060</v>
      </c>
      <c r="D1210" t="s">
        <v>226</v>
      </c>
      <c r="E1210" t="s">
        <v>447</v>
      </c>
      <c r="F1210" t="s">
        <v>433</v>
      </c>
      <c r="G1210" t="s">
        <v>82</v>
      </c>
      <c r="H1210" t="s">
        <v>83</v>
      </c>
      <c r="J1210" t="s">
        <v>52</v>
      </c>
      <c r="K1210" s="15">
        <v>20000</v>
      </c>
      <c r="L1210" s="15">
        <v>0</v>
      </c>
      <c r="M1210" s="13">
        <v>45198</v>
      </c>
      <c r="O1210">
        <v>0</v>
      </c>
      <c r="P1210">
        <v>0</v>
      </c>
      <c r="Q1210">
        <v>35288.7475544138</v>
      </c>
      <c r="R1210">
        <v>24628.69</v>
      </c>
      <c r="S1210">
        <v>57777.947145407641</v>
      </c>
      <c r="T1210">
        <v>0</v>
      </c>
      <c r="U1210">
        <v>0</v>
      </c>
      <c r="V1210">
        <v>587264.66</v>
      </c>
      <c r="W1210">
        <v>0</v>
      </c>
      <c r="X1210">
        <v>0</v>
      </c>
      <c r="Y1210">
        <v>704960.0446998215</v>
      </c>
      <c r="Z1210">
        <v>45152.982500178543</v>
      </c>
      <c r="AA1210">
        <v>750113.02720000001</v>
      </c>
      <c r="AB1210" t="s">
        <v>242</v>
      </c>
      <c r="AC1210">
        <v>5</v>
      </c>
      <c r="AD1210">
        <v>87000</v>
      </c>
      <c r="AE1210">
        <v>0</v>
      </c>
      <c r="AF1210">
        <v>0</v>
      </c>
      <c r="AG1210">
        <v>5205.7146998214639</v>
      </c>
      <c r="AH1210" t="s">
        <v>58</v>
      </c>
    </row>
    <row r="1211" spans="1:34" x14ac:dyDescent="0.3">
      <c r="A1211" t="s">
        <v>798</v>
      </c>
      <c r="B1211">
        <v>4302300031</v>
      </c>
      <c r="C1211">
        <v>901014009726</v>
      </c>
      <c r="D1211" t="s">
        <v>226</v>
      </c>
      <c r="E1211" t="s">
        <v>447</v>
      </c>
      <c r="F1211" t="s">
        <v>433</v>
      </c>
      <c r="G1211" t="s">
        <v>82</v>
      </c>
      <c r="H1211" t="s">
        <v>83</v>
      </c>
      <c r="J1211" t="s">
        <v>52</v>
      </c>
      <c r="K1211" s="15">
        <v>4500</v>
      </c>
      <c r="L1211" s="15">
        <v>0</v>
      </c>
      <c r="M1211" s="13">
        <v>45198</v>
      </c>
      <c r="O1211">
        <v>0</v>
      </c>
      <c r="P1211">
        <v>0</v>
      </c>
      <c r="Q1211">
        <v>25541.210986692924</v>
      </c>
      <c r="R1211">
        <v>17745.22</v>
      </c>
      <c r="S1211">
        <v>74120.49861056736</v>
      </c>
      <c r="T1211">
        <v>0</v>
      </c>
      <c r="U1211">
        <v>0</v>
      </c>
      <c r="V1211">
        <v>367732.35</v>
      </c>
      <c r="W1211">
        <v>0</v>
      </c>
      <c r="X1211">
        <v>0</v>
      </c>
      <c r="Y1211">
        <v>485139.27959726029</v>
      </c>
      <c r="Z1211">
        <v>30929.699402739716</v>
      </c>
      <c r="AA1211">
        <v>516068.97899999999</v>
      </c>
      <c r="AB1211" t="s">
        <v>242</v>
      </c>
      <c r="AC1211">
        <v>3</v>
      </c>
      <c r="AD1211">
        <v>13500</v>
      </c>
      <c r="AE1211">
        <v>0</v>
      </c>
      <c r="AF1211">
        <v>0</v>
      </c>
      <c r="AG1211">
        <v>804.28959726028506</v>
      </c>
      <c r="AH1211" t="s">
        <v>58</v>
      </c>
    </row>
    <row r="1212" spans="1:34" x14ac:dyDescent="0.3">
      <c r="A1212" t="s">
        <v>798</v>
      </c>
      <c r="B1212">
        <v>4302300032</v>
      </c>
      <c r="C1212">
        <v>901014009730</v>
      </c>
      <c r="D1212" t="s">
        <v>226</v>
      </c>
      <c r="E1212" t="s">
        <v>447</v>
      </c>
      <c r="F1212" t="s">
        <v>433</v>
      </c>
      <c r="G1212" t="s">
        <v>82</v>
      </c>
      <c r="H1212" t="s">
        <v>83</v>
      </c>
      <c r="J1212" t="s">
        <v>52</v>
      </c>
      <c r="K1212" s="15">
        <v>4500</v>
      </c>
      <c r="L1212" s="15">
        <v>0</v>
      </c>
      <c r="M1212" s="13">
        <v>45198</v>
      </c>
      <c r="O1212">
        <v>0</v>
      </c>
      <c r="P1212">
        <v>0</v>
      </c>
      <c r="Q1212">
        <v>25520.79179631592</v>
      </c>
      <c r="R1212">
        <v>16879.09</v>
      </c>
      <c r="S1212">
        <v>74158.626078209403</v>
      </c>
      <c r="T1212">
        <v>0</v>
      </c>
      <c r="U1212">
        <v>0</v>
      </c>
      <c r="V1212">
        <v>367159.58</v>
      </c>
      <c r="W1212">
        <v>0</v>
      </c>
      <c r="X1212">
        <v>0</v>
      </c>
      <c r="Y1212">
        <v>483718.08787452534</v>
      </c>
      <c r="Z1212">
        <v>30892.274425474665</v>
      </c>
      <c r="AA1212">
        <v>514610.36230000004</v>
      </c>
      <c r="AB1212" t="s">
        <v>242</v>
      </c>
      <c r="AC1212">
        <v>3</v>
      </c>
      <c r="AD1212">
        <v>13500</v>
      </c>
      <c r="AE1212">
        <v>0</v>
      </c>
      <c r="AF1212">
        <v>0</v>
      </c>
      <c r="AG1212">
        <v>805.67787452534094</v>
      </c>
      <c r="AH1212" t="s">
        <v>58</v>
      </c>
    </row>
    <row r="1213" spans="1:34" x14ac:dyDescent="0.3">
      <c r="A1213" t="s">
        <v>798</v>
      </c>
      <c r="B1213">
        <v>4302300033</v>
      </c>
      <c r="C1213">
        <v>901015003340</v>
      </c>
      <c r="D1213" t="s">
        <v>226</v>
      </c>
      <c r="E1213" t="s">
        <v>447</v>
      </c>
      <c r="F1213" t="s">
        <v>433</v>
      </c>
      <c r="G1213" t="s">
        <v>82</v>
      </c>
      <c r="H1213" t="s">
        <v>83</v>
      </c>
      <c r="J1213" t="s">
        <v>52</v>
      </c>
      <c r="K1213" s="15">
        <v>15000</v>
      </c>
      <c r="L1213" s="15">
        <v>0</v>
      </c>
      <c r="M1213" s="13">
        <v>45198</v>
      </c>
      <c r="O1213">
        <v>0</v>
      </c>
      <c r="P1213">
        <v>0</v>
      </c>
      <c r="Q1213">
        <v>86331.991656773869</v>
      </c>
      <c r="R1213">
        <v>40974.17</v>
      </c>
      <c r="S1213">
        <v>222382.21994694031</v>
      </c>
      <c r="T1213">
        <v>0</v>
      </c>
      <c r="U1213">
        <v>0</v>
      </c>
      <c r="V1213">
        <v>1237914.08</v>
      </c>
      <c r="W1213">
        <v>0</v>
      </c>
      <c r="X1213">
        <v>0</v>
      </c>
      <c r="Y1213">
        <v>1587602.4616037142</v>
      </c>
      <c r="Z1213">
        <v>102220.74099628585</v>
      </c>
      <c r="AA1213">
        <v>1689823.2026</v>
      </c>
      <c r="AB1213" t="s">
        <v>242</v>
      </c>
      <c r="AC1213">
        <v>3</v>
      </c>
      <c r="AD1213">
        <v>45000</v>
      </c>
      <c r="AE1213">
        <v>0</v>
      </c>
      <c r="AF1213">
        <v>0</v>
      </c>
      <c r="AG1213">
        <v>2707.5916037141797</v>
      </c>
      <c r="AH1213" t="s">
        <v>58</v>
      </c>
    </row>
    <row r="1214" spans="1:34" x14ac:dyDescent="0.3">
      <c r="A1214" t="s">
        <v>798</v>
      </c>
      <c r="B1214">
        <v>4302300034</v>
      </c>
      <c r="C1214">
        <v>901015004122</v>
      </c>
      <c r="D1214" t="s">
        <v>226</v>
      </c>
      <c r="E1214" t="s">
        <v>447</v>
      </c>
      <c r="F1214" t="s">
        <v>433</v>
      </c>
      <c r="G1214" t="s">
        <v>82</v>
      </c>
      <c r="H1214" t="s">
        <v>83</v>
      </c>
      <c r="J1214" t="s">
        <v>52</v>
      </c>
      <c r="K1214" s="15">
        <v>13000</v>
      </c>
      <c r="L1214" s="15">
        <v>0</v>
      </c>
      <c r="M1214" s="13">
        <v>45198</v>
      </c>
      <c r="O1214">
        <v>0</v>
      </c>
      <c r="P1214">
        <v>0</v>
      </c>
      <c r="Q1214">
        <v>77082.869135786008</v>
      </c>
      <c r="R1214">
        <v>28517.54</v>
      </c>
      <c r="S1214">
        <v>197673.36052730281</v>
      </c>
      <c r="T1214">
        <v>0</v>
      </c>
      <c r="U1214">
        <v>0</v>
      </c>
      <c r="V1214">
        <v>1103651.04</v>
      </c>
      <c r="W1214">
        <v>0</v>
      </c>
      <c r="X1214">
        <v>0</v>
      </c>
      <c r="Y1214">
        <v>1406924.809663089</v>
      </c>
      <c r="Z1214">
        <v>91092.708036911208</v>
      </c>
      <c r="AA1214">
        <v>1498017.5177000002</v>
      </c>
      <c r="AB1214" t="s">
        <v>242</v>
      </c>
      <c r="AC1214">
        <v>2</v>
      </c>
      <c r="AD1214">
        <v>26000</v>
      </c>
      <c r="AE1214">
        <v>0</v>
      </c>
      <c r="AF1214">
        <v>0</v>
      </c>
      <c r="AG1214">
        <v>1573.1596630888052</v>
      </c>
      <c r="AH1214" t="s">
        <v>58</v>
      </c>
    </row>
    <row r="1215" spans="1:34" x14ac:dyDescent="0.3">
      <c r="A1215" t="s">
        <v>798</v>
      </c>
      <c r="B1215">
        <v>4302300035</v>
      </c>
      <c r="C1215">
        <v>901015004175</v>
      </c>
      <c r="D1215" t="s">
        <v>226</v>
      </c>
      <c r="E1215" t="s">
        <v>447</v>
      </c>
      <c r="F1215" t="s">
        <v>433</v>
      </c>
      <c r="G1215" t="s">
        <v>82</v>
      </c>
      <c r="H1215" t="s">
        <v>83</v>
      </c>
      <c r="J1215" t="s">
        <v>52</v>
      </c>
      <c r="K1215" s="15">
        <v>12000</v>
      </c>
      <c r="L1215" s="15">
        <v>0</v>
      </c>
      <c r="M1215" s="13">
        <v>45198</v>
      </c>
      <c r="O1215">
        <v>0</v>
      </c>
      <c r="P1215">
        <v>0</v>
      </c>
      <c r="Q1215">
        <v>69010.414458474785</v>
      </c>
      <c r="R1215">
        <v>21447.41</v>
      </c>
      <c r="S1215">
        <v>154766.04443133197</v>
      </c>
      <c r="T1215">
        <v>0</v>
      </c>
      <c r="U1215">
        <v>0</v>
      </c>
      <c r="V1215">
        <v>988232.46</v>
      </c>
      <c r="W1215">
        <v>0</v>
      </c>
      <c r="X1215">
        <v>0</v>
      </c>
      <c r="Y1215">
        <v>1233456.3288898068</v>
      </c>
      <c r="Z1215">
        <v>80009.895310193242</v>
      </c>
      <c r="AA1215">
        <v>1313466.2242000001</v>
      </c>
      <c r="AB1215" t="s">
        <v>242</v>
      </c>
      <c r="AC1215">
        <v>3</v>
      </c>
      <c r="AD1215">
        <v>36000</v>
      </c>
      <c r="AE1215">
        <v>0</v>
      </c>
      <c r="AF1215">
        <v>0</v>
      </c>
      <c r="AG1215">
        <v>2182.2188898067616</v>
      </c>
      <c r="AH1215" t="s">
        <v>58</v>
      </c>
    </row>
    <row r="1216" spans="1:34" x14ac:dyDescent="0.3">
      <c r="A1216" t="s">
        <v>798</v>
      </c>
      <c r="B1216">
        <v>4302300036</v>
      </c>
      <c r="C1216">
        <v>901015004180</v>
      </c>
      <c r="D1216" t="s">
        <v>226</v>
      </c>
      <c r="E1216" t="s">
        <v>447</v>
      </c>
      <c r="F1216" t="s">
        <v>433</v>
      </c>
      <c r="G1216" t="s">
        <v>82</v>
      </c>
      <c r="H1216" t="s">
        <v>83</v>
      </c>
      <c r="J1216" t="s">
        <v>52</v>
      </c>
      <c r="K1216" s="15">
        <v>20000</v>
      </c>
      <c r="L1216" s="15">
        <v>0</v>
      </c>
      <c r="M1216" s="13">
        <v>45198</v>
      </c>
      <c r="O1216">
        <v>0</v>
      </c>
      <c r="P1216">
        <v>0</v>
      </c>
      <c r="Q1216">
        <v>69116.928306167654</v>
      </c>
      <c r="R1216">
        <v>32364.02</v>
      </c>
      <c r="S1216">
        <v>133122.36606900216</v>
      </c>
      <c r="T1216">
        <v>0</v>
      </c>
      <c r="U1216">
        <v>0</v>
      </c>
      <c r="V1216">
        <v>1054424.3799999999</v>
      </c>
      <c r="W1216">
        <v>0</v>
      </c>
      <c r="X1216">
        <v>0</v>
      </c>
      <c r="Y1216">
        <v>1289027.6943751697</v>
      </c>
      <c r="Z1216">
        <v>83128.272224830143</v>
      </c>
      <c r="AA1216">
        <v>1372155.9665999999</v>
      </c>
      <c r="AB1216" t="s">
        <v>242</v>
      </c>
      <c r="AC1216">
        <v>5</v>
      </c>
      <c r="AD1216">
        <v>93000</v>
      </c>
      <c r="AE1216">
        <v>0</v>
      </c>
      <c r="AF1216">
        <v>0</v>
      </c>
      <c r="AG1216">
        <v>5603.8943751698462</v>
      </c>
      <c r="AH1216" t="s">
        <v>58</v>
      </c>
    </row>
    <row r="1217" spans="1:34" x14ac:dyDescent="0.3">
      <c r="A1217" t="s">
        <v>798</v>
      </c>
      <c r="B1217">
        <v>4302300037</v>
      </c>
      <c r="C1217">
        <v>901016002166</v>
      </c>
      <c r="D1217" t="s">
        <v>226</v>
      </c>
      <c r="E1217" t="s">
        <v>447</v>
      </c>
      <c r="F1217" t="s">
        <v>433</v>
      </c>
      <c r="G1217" t="s">
        <v>82</v>
      </c>
      <c r="H1217" t="s">
        <v>83</v>
      </c>
      <c r="J1217" t="s">
        <v>52</v>
      </c>
      <c r="K1217" s="15">
        <v>25000</v>
      </c>
      <c r="L1217" s="15">
        <v>0</v>
      </c>
      <c r="M1217" s="13">
        <v>45198</v>
      </c>
      <c r="O1217">
        <v>0</v>
      </c>
      <c r="P1217">
        <v>0</v>
      </c>
      <c r="Q1217">
        <v>284674.93322466378</v>
      </c>
      <c r="R1217">
        <v>131054.42</v>
      </c>
      <c r="S1217">
        <v>587254.79661246366</v>
      </c>
      <c r="T1217">
        <v>0</v>
      </c>
      <c r="U1217">
        <v>0</v>
      </c>
      <c r="V1217">
        <v>4045543.13</v>
      </c>
      <c r="W1217">
        <v>0</v>
      </c>
      <c r="X1217">
        <v>0</v>
      </c>
      <c r="Y1217">
        <v>5048527.2798371278</v>
      </c>
      <c r="Z1217">
        <v>324295.85486287251</v>
      </c>
      <c r="AA1217">
        <v>5372823.1347000003</v>
      </c>
      <c r="AB1217" t="s">
        <v>242</v>
      </c>
      <c r="AC1217">
        <v>2</v>
      </c>
      <c r="AD1217">
        <v>50000</v>
      </c>
      <c r="AE1217">
        <v>0</v>
      </c>
      <c r="AF1217">
        <v>0</v>
      </c>
      <c r="AG1217">
        <v>3001.5498371275389</v>
      </c>
      <c r="AH1217" t="s">
        <v>58</v>
      </c>
    </row>
    <row r="1218" spans="1:34" x14ac:dyDescent="0.3">
      <c r="A1218" t="s">
        <v>798</v>
      </c>
      <c r="B1218">
        <v>4302300038</v>
      </c>
      <c r="C1218">
        <v>901016002316</v>
      </c>
      <c r="D1218" t="s">
        <v>226</v>
      </c>
      <c r="E1218" t="s">
        <v>447</v>
      </c>
      <c r="F1218" t="s">
        <v>433</v>
      </c>
      <c r="G1218" t="s">
        <v>82</v>
      </c>
      <c r="H1218" t="s">
        <v>83</v>
      </c>
      <c r="J1218" t="s">
        <v>52</v>
      </c>
      <c r="K1218" s="15">
        <v>3700</v>
      </c>
      <c r="L1218" s="15">
        <v>0</v>
      </c>
      <c r="M1218" s="13">
        <v>45198</v>
      </c>
      <c r="O1218">
        <v>0</v>
      </c>
      <c r="P1218">
        <v>0</v>
      </c>
      <c r="Q1218">
        <v>19905.780732033189</v>
      </c>
      <c r="R1218">
        <v>11130.72</v>
      </c>
      <c r="S1218">
        <v>36337.57239996898</v>
      </c>
      <c r="T1218">
        <v>0</v>
      </c>
      <c r="U1218">
        <v>0</v>
      </c>
      <c r="V1218">
        <v>290550.83</v>
      </c>
      <c r="W1218">
        <v>0</v>
      </c>
      <c r="X1218">
        <v>0</v>
      </c>
      <c r="Y1218">
        <v>357924.90313200222</v>
      </c>
      <c r="Z1218">
        <v>22882.188167997832</v>
      </c>
      <c r="AA1218">
        <v>380807.09130000003</v>
      </c>
      <c r="AB1218" t="s">
        <v>242</v>
      </c>
      <c r="AC1218">
        <v>3</v>
      </c>
      <c r="AD1218">
        <v>11100</v>
      </c>
      <c r="AE1218">
        <v>0</v>
      </c>
      <c r="AF1218">
        <v>0</v>
      </c>
      <c r="AG1218">
        <v>663.12313200217113</v>
      </c>
      <c r="AH1218" t="s">
        <v>58</v>
      </c>
    </row>
    <row r="1219" spans="1:34" x14ac:dyDescent="0.3">
      <c r="A1219" t="s">
        <v>798</v>
      </c>
      <c r="B1219">
        <v>4302300041</v>
      </c>
      <c r="C1219">
        <v>901016004670</v>
      </c>
      <c r="D1219" t="s">
        <v>226</v>
      </c>
      <c r="E1219" t="s">
        <v>447</v>
      </c>
      <c r="F1219" t="s">
        <v>433</v>
      </c>
      <c r="G1219" t="s">
        <v>82</v>
      </c>
      <c r="H1219" t="s">
        <v>83</v>
      </c>
      <c r="J1219" t="s">
        <v>52</v>
      </c>
      <c r="K1219" s="15">
        <v>12000</v>
      </c>
      <c r="L1219" s="15">
        <v>0</v>
      </c>
      <c r="M1219" s="13">
        <v>45198</v>
      </c>
      <c r="O1219">
        <v>0</v>
      </c>
      <c r="P1219">
        <v>0</v>
      </c>
      <c r="Q1219">
        <v>68565.762600146147</v>
      </c>
      <c r="R1219">
        <v>26910.12</v>
      </c>
      <c r="S1219">
        <v>128077.97074752698</v>
      </c>
      <c r="T1219">
        <v>0</v>
      </c>
      <c r="U1219">
        <v>0</v>
      </c>
      <c r="V1219">
        <v>981107.15</v>
      </c>
      <c r="W1219">
        <v>0</v>
      </c>
      <c r="X1219">
        <v>0</v>
      </c>
      <c r="Y1219">
        <v>1204661.0033476732</v>
      </c>
      <c r="Z1219">
        <v>77642.9584523269</v>
      </c>
      <c r="AA1219">
        <v>1282303.9618000002</v>
      </c>
      <c r="AB1219" t="s">
        <v>242</v>
      </c>
      <c r="AC1219">
        <v>2</v>
      </c>
      <c r="AD1219">
        <v>24000</v>
      </c>
      <c r="AE1219">
        <v>0</v>
      </c>
      <c r="AF1219">
        <v>0</v>
      </c>
      <c r="AG1219">
        <v>1445.5433476731123</v>
      </c>
      <c r="AH1219" t="s">
        <v>58</v>
      </c>
    </row>
    <row r="1220" spans="1:34" x14ac:dyDescent="0.3">
      <c r="A1220" t="s">
        <v>798</v>
      </c>
      <c r="B1220">
        <v>4132300378</v>
      </c>
      <c r="C1220" t="s">
        <v>254</v>
      </c>
      <c r="D1220" t="s">
        <v>325</v>
      </c>
      <c r="E1220" t="s">
        <v>441</v>
      </c>
      <c r="F1220" t="s">
        <v>430</v>
      </c>
      <c r="G1220" t="s">
        <v>233</v>
      </c>
      <c r="H1220" t="s">
        <v>231</v>
      </c>
      <c r="J1220" t="s">
        <v>52</v>
      </c>
      <c r="K1220" s="15">
        <v>5000</v>
      </c>
      <c r="L1220" s="15">
        <v>0</v>
      </c>
      <c r="M1220" s="13">
        <v>45198</v>
      </c>
      <c r="O1220">
        <v>0</v>
      </c>
      <c r="P1220">
        <v>0</v>
      </c>
      <c r="Q1220">
        <v>0</v>
      </c>
      <c r="R1220">
        <v>0</v>
      </c>
      <c r="S1220">
        <v>12077.350180318301</v>
      </c>
      <c r="T1220">
        <v>1838.8610528327231</v>
      </c>
      <c r="U1220">
        <v>0</v>
      </c>
      <c r="V1220">
        <v>0</v>
      </c>
      <c r="W1220">
        <v>0</v>
      </c>
      <c r="X1220">
        <v>0</v>
      </c>
      <c r="Y1220">
        <v>13916.211233151023</v>
      </c>
      <c r="Z1220">
        <v>128.72027369829064</v>
      </c>
      <c r="AA1220">
        <v>14044.931506849314</v>
      </c>
      <c r="AB1220" t="s">
        <v>242</v>
      </c>
      <c r="AC1220">
        <v>2</v>
      </c>
      <c r="AD1220">
        <v>8000</v>
      </c>
      <c r="AE1220">
        <v>0</v>
      </c>
      <c r="AF1220">
        <v>0</v>
      </c>
      <c r="AG1220">
        <v>67.541408544699948</v>
      </c>
      <c r="AH1220" t="s">
        <v>58</v>
      </c>
    </row>
    <row r="1221" spans="1:34" x14ac:dyDescent="0.3">
      <c r="A1221" t="s">
        <v>798</v>
      </c>
      <c r="B1221">
        <v>12200095</v>
      </c>
      <c r="C1221" t="s">
        <v>366</v>
      </c>
      <c r="D1221" t="s">
        <v>405</v>
      </c>
      <c r="E1221" t="s">
        <v>437</v>
      </c>
      <c r="F1221" t="s">
        <v>427</v>
      </c>
      <c r="G1221" t="s">
        <v>421</v>
      </c>
      <c r="H1221" t="s">
        <v>230</v>
      </c>
      <c r="J1221" t="s">
        <v>52</v>
      </c>
      <c r="K1221" s="15">
        <v>80000</v>
      </c>
      <c r="L1221" s="15">
        <v>0</v>
      </c>
      <c r="M1221" s="13">
        <v>45198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 t="s">
        <v>242</v>
      </c>
      <c r="AC1221">
        <v>1</v>
      </c>
      <c r="AD1221">
        <v>80000</v>
      </c>
      <c r="AE1221">
        <v>0</v>
      </c>
      <c r="AF1221">
        <v>0</v>
      </c>
      <c r="AG1221">
        <v>0</v>
      </c>
      <c r="AH1221" t="s">
        <v>58</v>
      </c>
    </row>
    <row r="1222" spans="1:34" x14ac:dyDescent="0.3">
      <c r="A1222" t="s">
        <v>798</v>
      </c>
      <c r="B1222">
        <v>42200733</v>
      </c>
      <c r="C1222" t="s">
        <v>360</v>
      </c>
      <c r="D1222" t="s">
        <v>399</v>
      </c>
      <c r="E1222" t="s">
        <v>439</v>
      </c>
      <c r="F1222" t="s">
        <v>430</v>
      </c>
      <c r="G1222" t="s">
        <v>233</v>
      </c>
      <c r="H1222" t="s">
        <v>234</v>
      </c>
      <c r="J1222" t="s">
        <v>52</v>
      </c>
      <c r="K1222" s="15">
        <v>133397.18</v>
      </c>
      <c r="L1222" s="15">
        <v>0</v>
      </c>
      <c r="M1222" s="13">
        <v>45198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467289.71962616825</v>
      </c>
      <c r="Y1222">
        <v>467289.71962616825</v>
      </c>
      <c r="Z1222">
        <v>32710.280373831782</v>
      </c>
      <c r="AA1222">
        <v>500000.00000000006</v>
      </c>
      <c r="AB1222" t="s">
        <v>242</v>
      </c>
      <c r="AC1222">
        <v>1</v>
      </c>
      <c r="AD1222">
        <v>133397.18</v>
      </c>
      <c r="AE1222">
        <v>0</v>
      </c>
      <c r="AF1222">
        <v>0</v>
      </c>
      <c r="AG1222">
        <v>8726.9183177570085</v>
      </c>
      <c r="AH1222" t="s">
        <v>72</v>
      </c>
    </row>
    <row r="1223" spans="1:34" x14ac:dyDescent="0.3">
      <c r="A1223" t="s">
        <v>798</v>
      </c>
      <c r="B1223">
        <v>4132300528</v>
      </c>
      <c r="C1223" t="s">
        <v>348</v>
      </c>
      <c r="D1223" t="s">
        <v>387</v>
      </c>
      <c r="E1223" t="s">
        <v>441</v>
      </c>
      <c r="F1223" t="s">
        <v>430</v>
      </c>
      <c r="G1223" t="s">
        <v>233</v>
      </c>
      <c r="H1223" t="s">
        <v>231</v>
      </c>
      <c r="J1223" t="s">
        <v>416</v>
      </c>
      <c r="K1223" s="15">
        <v>0.24900296217195861</v>
      </c>
      <c r="L1223" s="15">
        <v>0</v>
      </c>
      <c r="M1223" s="13">
        <v>45198</v>
      </c>
      <c r="O1223">
        <v>0</v>
      </c>
      <c r="P1223">
        <v>2619.5512813500172</v>
      </c>
      <c r="Q1223">
        <v>0</v>
      </c>
      <c r="R1223">
        <v>0</v>
      </c>
      <c r="S1223">
        <v>7279.5253940782804</v>
      </c>
      <c r="T1223">
        <v>22524.227406141774</v>
      </c>
      <c r="U1223">
        <v>0</v>
      </c>
      <c r="V1223">
        <v>0</v>
      </c>
      <c r="W1223">
        <v>0</v>
      </c>
      <c r="X1223">
        <v>0</v>
      </c>
      <c r="Y1223">
        <v>32423.304081570073</v>
      </c>
      <c r="Z1223">
        <v>1576.6959184299244</v>
      </c>
      <c r="AA1223">
        <v>34000</v>
      </c>
      <c r="AB1223" t="s">
        <v>242</v>
      </c>
      <c r="AC1223">
        <v>1</v>
      </c>
      <c r="AD1223">
        <v>2000</v>
      </c>
      <c r="AE1223">
        <v>0</v>
      </c>
      <c r="AF1223">
        <v>0</v>
      </c>
      <c r="AG1223">
        <v>90.810150900023018</v>
      </c>
      <c r="AH1223" t="s">
        <v>58</v>
      </c>
    </row>
    <row r="1224" spans="1:34" x14ac:dyDescent="0.3">
      <c r="A1224" t="s">
        <v>798</v>
      </c>
      <c r="B1224">
        <v>4132300528</v>
      </c>
      <c r="C1224" t="s">
        <v>348</v>
      </c>
      <c r="D1224" t="s">
        <v>387</v>
      </c>
      <c r="E1224" t="s">
        <v>441</v>
      </c>
      <c r="F1224" t="s">
        <v>430</v>
      </c>
      <c r="G1224" t="s">
        <v>233</v>
      </c>
      <c r="H1224" t="s">
        <v>231</v>
      </c>
      <c r="J1224" t="s">
        <v>52</v>
      </c>
      <c r="K1224" s="15">
        <v>12000</v>
      </c>
      <c r="L1224" s="15">
        <v>0</v>
      </c>
      <c r="M1224" s="13">
        <v>45198</v>
      </c>
      <c r="O1224">
        <v>0</v>
      </c>
      <c r="P1224">
        <v>0</v>
      </c>
      <c r="Q1224">
        <v>0</v>
      </c>
      <c r="R1224">
        <v>0</v>
      </c>
      <c r="S1224">
        <v>6235.3871326755861</v>
      </c>
      <c r="T1224">
        <v>14733.283053574214</v>
      </c>
      <c r="U1224">
        <v>0</v>
      </c>
      <c r="V1224">
        <v>0</v>
      </c>
      <c r="W1224">
        <v>0</v>
      </c>
      <c r="X1224">
        <v>0</v>
      </c>
      <c r="Y1224">
        <v>20968.670186249801</v>
      </c>
      <c r="Z1224">
        <v>1031.3298137501952</v>
      </c>
      <c r="AA1224">
        <v>21999.999999999996</v>
      </c>
      <c r="AB1224" t="s">
        <v>242</v>
      </c>
      <c r="AC1224">
        <v>2</v>
      </c>
      <c r="AD1224">
        <v>14000</v>
      </c>
      <c r="AE1224">
        <v>0</v>
      </c>
      <c r="AF1224">
        <v>0</v>
      </c>
      <c r="AG1224">
        <v>636.1762555797518</v>
      </c>
      <c r="AH1224" t="s">
        <v>58</v>
      </c>
    </row>
    <row r="1225" spans="1:34" x14ac:dyDescent="0.3">
      <c r="A1225" t="s">
        <v>798</v>
      </c>
      <c r="B1225">
        <v>4132300940</v>
      </c>
      <c r="C1225" t="s">
        <v>364</v>
      </c>
      <c r="D1225" t="s">
        <v>403</v>
      </c>
      <c r="E1225" t="s">
        <v>441</v>
      </c>
      <c r="F1225" t="s">
        <v>430</v>
      </c>
      <c r="G1225" t="s">
        <v>238</v>
      </c>
      <c r="H1225" t="s">
        <v>236</v>
      </c>
      <c r="J1225" t="s">
        <v>52</v>
      </c>
      <c r="K1225" s="15">
        <v>10000</v>
      </c>
      <c r="L1225" s="15">
        <v>0</v>
      </c>
      <c r="M1225" s="13">
        <v>45198</v>
      </c>
      <c r="O1225">
        <v>0</v>
      </c>
      <c r="P1225">
        <v>0</v>
      </c>
      <c r="Q1225">
        <v>0</v>
      </c>
      <c r="R1225">
        <v>0</v>
      </c>
      <c r="S1225">
        <v>2751.4145615512039</v>
      </c>
      <c r="T1225">
        <v>0</v>
      </c>
      <c r="U1225">
        <v>0</v>
      </c>
      <c r="V1225">
        <v>22536.125169719144</v>
      </c>
      <c r="W1225">
        <v>0</v>
      </c>
      <c r="X1225">
        <v>0</v>
      </c>
      <c r="Y1225">
        <v>25287.539731270346</v>
      </c>
      <c r="Z1225">
        <v>1577.5287618803402</v>
      </c>
      <c r="AA1225">
        <v>26865.068493150688</v>
      </c>
      <c r="AB1225" t="s">
        <v>242</v>
      </c>
      <c r="AC1225">
        <v>1</v>
      </c>
      <c r="AD1225">
        <v>10000</v>
      </c>
      <c r="AE1225">
        <v>0</v>
      </c>
      <c r="AF1225">
        <v>0</v>
      </c>
      <c r="AG1225">
        <v>581.34974279255766</v>
      </c>
      <c r="AH1225" t="s">
        <v>72</v>
      </c>
    </row>
    <row r="1226" spans="1:34" x14ac:dyDescent="0.3">
      <c r="A1226" t="s">
        <v>798</v>
      </c>
      <c r="B1226">
        <v>4132300986</v>
      </c>
      <c r="C1226" t="s">
        <v>355</v>
      </c>
      <c r="D1226" t="s">
        <v>394</v>
      </c>
      <c r="E1226" t="s">
        <v>441</v>
      </c>
      <c r="F1226" t="s">
        <v>430</v>
      </c>
      <c r="G1226" t="s">
        <v>233</v>
      </c>
      <c r="H1226" t="s">
        <v>231</v>
      </c>
      <c r="J1226" t="s">
        <v>416</v>
      </c>
      <c r="K1226" s="15">
        <v>0.21270506913598208</v>
      </c>
      <c r="L1226" s="15">
        <v>0</v>
      </c>
      <c r="M1226" s="13">
        <v>45198</v>
      </c>
      <c r="O1226">
        <v>0</v>
      </c>
      <c r="P1226">
        <v>8093.3918892821039</v>
      </c>
      <c r="Q1226">
        <v>0</v>
      </c>
      <c r="R1226">
        <v>0</v>
      </c>
      <c r="S1226">
        <v>20341.651889733563</v>
      </c>
      <c r="T1226">
        <v>13612.108617742368</v>
      </c>
      <c r="U1226">
        <v>0</v>
      </c>
      <c r="V1226">
        <v>0</v>
      </c>
      <c r="W1226">
        <v>0</v>
      </c>
      <c r="X1226">
        <v>0</v>
      </c>
      <c r="Y1226">
        <v>42047.152396758029</v>
      </c>
      <c r="Z1226">
        <v>952.84760324196577</v>
      </c>
      <c r="AA1226">
        <v>42999.999999999993</v>
      </c>
      <c r="AB1226" t="s">
        <v>242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 t="s">
        <v>72</v>
      </c>
    </row>
    <row r="1227" spans="1:34" x14ac:dyDescent="0.3">
      <c r="A1227" t="s">
        <v>798</v>
      </c>
      <c r="B1227">
        <v>4142300033</v>
      </c>
      <c r="C1227" t="s">
        <v>373</v>
      </c>
      <c r="D1227" t="s">
        <v>412</v>
      </c>
      <c r="E1227" t="s">
        <v>444</v>
      </c>
      <c r="F1227" t="s">
        <v>430</v>
      </c>
      <c r="G1227" t="s">
        <v>233</v>
      </c>
      <c r="H1227" t="s">
        <v>231</v>
      </c>
      <c r="J1227" t="s">
        <v>416</v>
      </c>
      <c r="K1227" s="15">
        <v>0.17355371900826444</v>
      </c>
      <c r="L1227" s="15">
        <v>0</v>
      </c>
      <c r="M1227" s="13">
        <v>45198</v>
      </c>
      <c r="O1227">
        <v>0</v>
      </c>
      <c r="P1227">
        <v>2479.3388429752067</v>
      </c>
      <c r="Q1227">
        <v>297520.66115702479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300000</v>
      </c>
      <c r="Z1227">
        <v>0</v>
      </c>
      <c r="AA1227">
        <v>300000</v>
      </c>
      <c r="AB1227" t="s">
        <v>242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 t="s">
        <v>72</v>
      </c>
    </row>
    <row r="1228" spans="1:34" x14ac:dyDescent="0.3">
      <c r="A1228" t="s">
        <v>798</v>
      </c>
      <c r="B1228">
        <v>4142300033</v>
      </c>
      <c r="C1228" t="s">
        <v>373</v>
      </c>
      <c r="D1228" t="s">
        <v>412</v>
      </c>
      <c r="E1228" t="s">
        <v>444</v>
      </c>
      <c r="F1228" t="s">
        <v>430</v>
      </c>
      <c r="G1228" t="s">
        <v>419</v>
      </c>
      <c r="H1228" t="s">
        <v>231</v>
      </c>
      <c r="J1228" t="s">
        <v>52</v>
      </c>
      <c r="K1228" s="15">
        <v>300000</v>
      </c>
      <c r="L1228" s="15">
        <v>0</v>
      </c>
      <c r="M1228" s="13">
        <v>45198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 t="s">
        <v>242</v>
      </c>
      <c r="AC1228">
        <v>1</v>
      </c>
      <c r="AD1228">
        <v>300000</v>
      </c>
      <c r="AE1228">
        <v>0</v>
      </c>
      <c r="AF1228">
        <v>0</v>
      </c>
      <c r="AG1228">
        <v>0</v>
      </c>
      <c r="AH1228" t="s">
        <v>58</v>
      </c>
    </row>
    <row r="1229" spans="1:34" x14ac:dyDescent="0.3">
      <c r="A1229" t="s">
        <v>798</v>
      </c>
      <c r="B1229">
        <v>4142301088</v>
      </c>
      <c r="C1229" t="s">
        <v>509</v>
      </c>
      <c r="D1229" t="s">
        <v>581</v>
      </c>
      <c r="E1229" t="s">
        <v>445</v>
      </c>
      <c r="F1229" t="s">
        <v>430</v>
      </c>
      <c r="G1229" t="s">
        <v>230</v>
      </c>
      <c r="H1229" t="s">
        <v>234</v>
      </c>
      <c r="J1229" t="s">
        <v>52</v>
      </c>
      <c r="K1229" s="15">
        <v>40000</v>
      </c>
      <c r="L1229" s="15">
        <v>0</v>
      </c>
      <c r="M1229" s="13">
        <v>45198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112149.53271028039</v>
      </c>
      <c r="Y1229">
        <v>112149.53271028039</v>
      </c>
      <c r="Z1229">
        <v>7850.4672897196278</v>
      </c>
      <c r="AA1229">
        <v>120000.00000000001</v>
      </c>
      <c r="AB1229" t="s">
        <v>242</v>
      </c>
      <c r="AC1229">
        <v>3</v>
      </c>
      <c r="AD1229">
        <v>130000</v>
      </c>
      <c r="AE1229">
        <v>0</v>
      </c>
      <c r="AF1229">
        <v>0</v>
      </c>
      <c r="AG1229">
        <v>8504.6728971962584</v>
      </c>
      <c r="AH1229" t="s">
        <v>58</v>
      </c>
    </row>
    <row r="1230" spans="1:34" x14ac:dyDescent="0.3">
      <c r="A1230" t="s">
        <v>798</v>
      </c>
      <c r="B1230">
        <v>4132300183</v>
      </c>
      <c r="C1230">
        <v>9090013006</v>
      </c>
      <c r="D1230" s="38" t="s">
        <v>281</v>
      </c>
      <c r="E1230" t="s">
        <v>441</v>
      </c>
      <c r="F1230" t="s">
        <v>430</v>
      </c>
      <c r="G1230" t="s">
        <v>235</v>
      </c>
      <c r="H1230" t="s">
        <v>236</v>
      </c>
      <c r="J1230" s="37" t="s">
        <v>52</v>
      </c>
      <c r="K1230">
        <v>5000</v>
      </c>
      <c r="L1230" s="15">
        <v>0</v>
      </c>
      <c r="M1230" s="13">
        <v>45199</v>
      </c>
      <c r="O1230">
        <v>0</v>
      </c>
      <c r="P1230">
        <v>0</v>
      </c>
      <c r="Q1230">
        <v>0</v>
      </c>
      <c r="R1230">
        <v>0</v>
      </c>
      <c r="S1230">
        <v>112930.78124537945</v>
      </c>
      <c r="T1230">
        <v>0</v>
      </c>
      <c r="U1230">
        <v>0</v>
      </c>
      <c r="V1230">
        <v>219346.21647788119</v>
      </c>
      <c r="W1230">
        <v>0</v>
      </c>
      <c r="X1230">
        <v>0</v>
      </c>
      <c r="Y1230">
        <v>332276.99772326066</v>
      </c>
      <c r="Z1230">
        <v>15354.235153451684</v>
      </c>
      <c r="AA1230">
        <v>347631.23287671234</v>
      </c>
      <c r="AB1230" t="s">
        <v>242</v>
      </c>
      <c r="AC1230">
        <v>1</v>
      </c>
      <c r="AD1230">
        <v>5000</v>
      </c>
      <c r="AE1230">
        <v>0</v>
      </c>
      <c r="AF1230">
        <v>0</v>
      </c>
      <c r="AG1230">
        <v>215.85830449224204</v>
      </c>
      <c r="AH1230" t="s">
        <v>72</v>
      </c>
    </row>
    <row r="1231" spans="1:34" x14ac:dyDescent="0.3">
      <c r="A1231" t="s">
        <v>798</v>
      </c>
      <c r="B1231">
        <v>2200015</v>
      </c>
      <c r="C1231">
        <v>20972229</v>
      </c>
      <c r="D1231" t="s">
        <v>76</v>
      </c>
      <c r="E1231" t="s">
        <v>435</v>
      </c>
      <c r="F1231" t="s">
        <v>426</v>
      </c>
      <c r="G1231" t="s">
        <v>82</v>
      </c>
      <c r="H1231" t="s">
        <v>82</v>
      </c>
      <c r="J1231" t="s">
        <v>52</v>
      </c>
      <c r="K1231" s="15">
        <v>1000</v>
      </c>
      <c r="L1231" s="15">
        <v>0</v>
      </c>
      <c r="M1231" s="13">
        <v>45199</v>
      </c>
      <c r="O1231">
        <v>0</v>
      </c>
      <c r="P1231">
        <v>0</v>
      </c>
      <c r="Q1231">
        <v>0</v>
      </c>
      <c r="R1231">
        <v>0</v>
      </c>
      <c r="S1231">
        <v>5809.5975322232734</v>
      </c>
      <c r="T1231">
        <v>0</v>
      </c>
      <c r="U1231">
        <v>0</v>
      </c>
      <c r="V1231">
        <v>122323.98354815517</v>
      </c>
      <c r="W1231">
        <v>0</v>
      </c>
      <c r="X1231">
        <v>0</v>
      </c>
      <c r="Y1231">
        <v>128133.58108037844</v>
      </c>
      <c r="Z1231">
        <v>0</v>
      </c>
      <c r="AA1231">
        <v>128133.58108037844</v>
      </c>
      <c r="AB1231" t="s">
        <v>242</v>
      </c>
      <c r="AC1231">
        <v>14</v>
      </c>
      <c r="AD1231">
        <v>14000</v>
      </c>
      <c r="AE1231">
        <v>0</v>
      </c>
      <c r="AF1231">
        <v>0</v>
      </c>
      <c r="AG1231">
        <v>0</v>
      </c>
      <c r="AH1231" t="s">
        <v>58</v>
      </c>
    </row>
    <row r="1232" spans="1:34" x14ac:dyDescent="0.3">
      <c r="A1232" t="s">
        <v>798</v>
      </c>
      <c r="B1232">
        <v>12200168</v>
      </c>
      <c r="C1232">
        <v>22304640</v>
      </c>
      <c r="D1232" t="s">
        <v>116</v>
      </c>
      <c r="E1232" t="s">
        <v>438</v>
      </c>
      <c r="F1232" t="s">
        <v>427</v>
      </c>
      <c r="G1232" t="s">
        <v>82</v>
      </c>
      <c r="H1232" t="s">
        <v>82</v>
      </c>
      <c r="J1232" t="s">
        <v>52</v>
      </c>
      <c r="K1232" s="15">
        <v>1000</v>
      </c>
      <c r="L1232" s="15">
        <v>0</v>
      </c>
      <c r="M1232" s="13">
        <v>45199</v>
      </c>
      <c r="O1232">
        <v>0</v>
      </c>
      <c r="P1232">
        <v>0</v>
      </c>
      <c r="Q1232">
        <v>0</v>
      </c>
      <c r="R1232">
        <v>0</v>
      </c>
      <c r="S1232">
        <v>29001.057465295118</v>
      </c>
      <c r="T1232">
        <v>0</v>
      </c>
      <c r="U1232">
        <v>0</v>
      </c>
      <c r="V1232">
        <v>265200.49260584638</v>
      </c>
      <c r="W1232">
        <v>0</v>
      </c>
      <c r="X1232">
        <v>0</v>
      </c>
      <c r="Y1232">
        <v>294201.55007114151</v>
      </c>
      <c r="Z1232">
        <v>0</v>
      </c>
      <c r="AA1232">
        <v>294201.55007114151</v>
      </c>
      <c r="AB1232" t="s">
        <v>242</v>
      </c>
      <c r="AC1232">
        <v>7</v>
      </c>
      <c r="AD1232">
        <v>51000</v>
      </c>
      <c r="AE1232">
        <v>0</v>
      </c>
      <c r="AF1232">
        <v>0</v>
      </c>
      <c r="AG1232">
        <v>0</v>
      </c>
      <c r="AH1232" t="s">
        <v>58</v>
      </c>
    </row>
    <row r="1233" spans="1:34" x14ac:dyDescent="0.3">
      <c r="A1233" t="s">
        <v>798</v>
      </c>
      <c r="B1233">
        <v>12200176</v>
      </c>
      <c r="C1233">
        <v>28068851</v>
      </c>
      <c r="D1233" t="s">
        <v>119</v>
      </c>
      <c r="E1233" t="s">
        <v>438</v>
      </c>
      <c r="F1233" t="s">
        <v>427</v>
      </c>
      <c r="G1233" t="s">
        <v>82</v>
      </c>
      <c r="H1233" t="s">
        <v>82</v>
      </c>
      <c r="J1233" t="s">
        <v>52</v>
      </c>
      <c r="K1233" s="15">
        <v>3000</v>
      </c>
      <c r="L1233" s="15">
        <v>0</v>
      </c>
      <c r="M1233" s="13">
        <v>45199</v>
      </c>
      <c r="O1233">
        <v>0</v>
      </c>
      <c r="P1233">
        <v>0</v>
      </c>
      <c r="Q1233">
        <v>0</v>
      </c>
      <c r="R1233">
        <v>0</v>
      </c>
      <c r="S1233">
        <v>6583.2107127017407</v>
      </c>
      <c r="T1233">
        <v>0</v>
      </c>
      <c r="U1233">
        <v>0</v>
      </c>
      <c r="V1233">
        <v>144142.15908220914</v>
      </c>
      <c r="W1233">
        <v>0</v>
      </c>
      <c r="X1233">
        <v>0</v>
      </c>
      <c r="Y1233">
        <v>150725.36979491089</v>
      </c>
      <c r="Z1233">
        <v>0</v>
      </c>
      <c r="AA1233">
        <v>150725.36979491089</v>
      </c>
      <c r="AB1233" t="s">
        <v>242</v>
      </c>
      <c r="AC1233">
        <v>3</v>
      </c>
      <c r="AD1233">
        <v>15000</v>
      </c>
      <c r="AE1233">
        <v>0</v>
      </c>
      <c r="AF1233">
        <v>0</v>
      </c>
      <c r="AG1233">
        <v>0</v>
      </c>
      <c r="AH1233" t="s">
        <v>58</v>
      </c>
    </row>
    <row r="1234" spans="1:34" x14ac:dyDescent="0.3">
      <c r="A1234" t="s">
        <v>798</v>
      </c>
      <c r="B1234">
        <v>22200068</v>
      </c>
      <c r="C1234">
        <v>20579132</v>
      </c>
      <c r="D1234" t="s">
        <v>80</v>
      </c>
      <c r="E1234" t="s">
        <v>435</v>
      </c>
      <c r="F1234" t="s">
        <v>428</v>
      </c>
      <c r="G1234" t="s">
        <v>82</v>
      </c>
      <c r="H1234" t="s">
        <v>82</v>
      </c>
      <c r="J1234" t="s">
        <v>52</v>
      </c>
      <c r="K1234" s="15">
        <v>500</v>
      </c>
      <c r="L1234" s="15">
        <v>0</v>
      </c>
      <c r="M1234" s="13">
        <v>45199</v>
      </c>
      <c r="O1234">
        <v>0</v>
      </c>
      <c r="P1234">
        <v>0</v>
      </c>
      <c r="Q1234">
        <v>0</v>
      </c>
      <c r="R1234">
        <v>0</v>
      </c>
      <c r="S1234">
        <v>1557.3615921232877</v>
      </c>
      <c r="T1234">
        <v>0</v>
      </c>
      <c r="U1234">
        <v>0</v>
      </c>
      <c r="V1234">
        <v>21133.91</v>
      </c>
      <c r="W1234">
        <v>0</v>
      </c>
      <c r="X1234">
        <v>0</v>
      </c>
      <c r="Y1234">
        <v>22691.271592123288</v>
      </c>
      <c r="Z1234">
        <v>0</v>
      </c>
      <c r="AA1234">
        <v>22691.271592123288</v>
      </c>
      <c r="AB1234" t="s">
        <v>242</v>
      </c>
      <c r="AC1234">
        <v>11</v>
      </c>
      <c r="AD1234">
        <v>7000</v>
      </c>
      <c r="AE1234">
        <v>0</v>
      </c>
      <c r="AF1234">
        <v>0</v>
      </c>
      <c r="AG1234">
        <v>0</v>
      </c>
      <c r="AH1234" t="s">
        <v>58</v>
      </c>
    </row>
    <row r="1235" spans="1:34" x14ac:dyDescent="0.3">
      <c r="A1235" t="s">
        <v>798</v>
      </c>
      <c r="B1235">
        <v>32200116</v>
      </c>
      <c r="C1235">
        <v>29893893</v>
      </c>
      <c r="D1235" t="s">
        <v>119</v>
      </c>
      <c r="E1235" t="s">
        <v>438</v>
      </c>
      <c r="F1235" t="s">
        <v>429</v>
      </c>
      <c r="G1235" t="s">
        <v>82</v>
      </c>
      <c r="H1235" t="s">
        <v>82</v>
      </c>
      <c r="J1235" t="s">
        <v>52</v>
      </c>
      <c r="K1235" s="15">
        <v>3000</v>
      </c>
      <c r="L1235" s="15">
        <v>0</v>
      </c>
      <c r="M1235" s="13">
        <v>45199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3885.1514200795491</v>
      </c>
      <c r="W1235">
        <v>0</v>
      </c>
      <c r="X1235">
        <v>0</v>
      </c>
      <c r="Y1235">
        <v>3885.1514200795491</v>
      </c>
      <c r="Z1235">
        <v>0</v>
      </c>
      <c r="AA1235">
        <v>3885.1514200795491</v>
      </c>
      <c r="AB1235" t="s">
        <v>242</v>
      </c>
      <c r="AC1235">
        <v>2</v>
      </c>
      <c r="AD1235">
        <v>4000</v>
      </c>
      <c r="AE1235">
        <v>0</v>
      </c>
      <c r="AF1235">
        <v>0</v>
      </c>
      <c r="AG1235">
        <v>0</v>
      </c>
      <c r="AH1235" t="s">
        <v>58</v>
      </c>
    </row>
    <row r="1236" spans="1:34" x14ac:dyDescent="0.3">
      <c r="A1236" t="s">
        <v>798</v>
      </c>
      <c r="B1236">
        <v>42200856</v>
      </c>
      <c r="C1236">
        <v>2757002330</v>
      </c>
      <c r="D1236" t="s">
        <v>127</v>
      </c>
      <c r="E1236" t="s">
        <v>439</v>
      </c>
      <c r="F1236" t="s">
        <v>430</v>
      </c>
      <c r="G1236" t="s">
        <v>233</v>
      </c>
      <c r="H1236" t="s">
        <v>234</v>
      </c>
      <c r="J1236" t="s">
        <v>52</v>
      </c>
      <c r="K1236" s="15">
        <v>500</v>
      </c>
      <c r="L1236" s="15">
        <v>0</v>
      </c>
      <c r="M1236" s="13">
        <v>45199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35367.728971962613</v>
      </c>
      <c r="Y1236">
        <v>35367.728971962613</v>
      </c>
      <c r="Z1236">
        <v>2475.7410280373833</v>
      </c>
      <c r="AA1236">
        <v>37843.469999999994</v>
      </c>
      <c r="AB1236" t="s">
        <v>242</v>
      </c>
      <c r="AC1236">
        <v>5</v>
      </c>
      <c r="AD1236">
        <v>2500</v>
      </c>
      <c r="AE1236">
        <v>0</v>
      </c>
      <c r="AF1236">
        <v>0</v>
      </c>
      <c r="AG1236">
        <v>163.55140186915889</v>
      </c>
      <c r="AH1236" t="s">
        <v>58</v>
      </c>
    </row>
    <row r="1237" spans="1:34" x14ac:dyDescent="0.3">
      <c r="A1237" t="s">
        <v>798</v>
      </c>
      <c r="B1237">
        <v>42201379</v>
      </c>
      <c r="C1237">
        <v>2753003129</v>
      </c>
      <c r="D1237" t="s">
        <v>833</v>
      </c>
      <c r="E1237" t="s">
        <v>439</v>
      </c>
      <c r="F1237" t="s">
        <v>430</v>
      </c>
      <c r="G1237" t="s">
        <v>230</v>
      </c>
      <c r="H1237" t="s">
        <v>234</v>
      </c>
      <c r="J1237" t="s">
        <v>52</v>
      </c>
      <c r="K1237" s="15">
        <v>500</v>
      </c>
      <c r="L1237" s="15">
        <v>0</v>
      </c>
      <c r="M1237" s="13">
        <v>45199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73980.878504672917</v>
      </c>
      <c r="Y1237">
        <v>73980.878504672917</v>
      </c>
      <c r="Z1237">
        <v>5178.6614953271046</v>
      </c>
      <c r="AA1237">
        <v>79159.540000000023</v>
      </c>
      <c r="AB1237" t="s">
        <v>242</v>
      </c>
      <c r="AC1237">
        <v>5</v>
      </c>
      <c r="AD1237">
        <v>2500</v>
      </c>
      <c r="AE1237">
        <v>0</v>
      </c>
      <c r="AF1237">
        <v>0</v>
      </c>
      <c r="AG1237">
        <v>163.55140186915889</v>
      </c>
      <c r="AH1237" t="s">
        <v>58</v>
      </c>
    </row>
    <row r="1238" spans="1:34" x14ac:dyDescent="0.3">
      <c r="A1238" t="s">
        <v>798</v>
      </c>
      <c r="B1238">
        <v>52200217</v>
      </c>
      <c r="C1238">
        <v>27002024</v>
      </c>
      <c r="D1238" t="s">
        <v>134</v>
      </c>
      <c r="E1238" t="s">
        <v>436</v>
      </c>
      <c r="F1238" t="s">
        <v>431</v>
      </c>
      <c r="G1238" t="s">
        <v>82</v>
      </c>
      <c r="H1238" t="s">
        <v>83</v>
      </c>
      <c r="J1238" t="s">
        <v>52</v>
      </c>
      <c r="K1238" s="15">
        <v>1500</v>
      </c>
      <c r="L1238" s="15">
        <v>0</v>
      </c>
      <c r="M1238" s="13">
        <v>45199</v>
      </c>
      <c r="O1238">
        <v>0</v>
      </c>
      <c r="P1238">
        <v>0</v>
      </c>
      <c r="Q1238">
        <v>0</v>
      </c>
      <c r="R1238">
        <v>747.50392002956028</v>
      </c>
      <c r="S1238">
        <v>2917.2860560471386</v>
      </c>
      <c r="T1238">
        <v>0</v>
      </c>
      <c r="U1238">
        <v>0</v>
      </c>
      <c r="V1238">
        <v>45794.392523364484</v>
      </c>
      <c r="W1238">
        <v>0</v>
      </c>
      <c r="X1238">
        <v>0</v>
      </c>
      <c r="Y1238">
        <v>49459.18249944118</v>
      </c>
      <c r="Z1238">
        <v>3409.8175005588137</v>
      </c>
      <c r="AA1238">
        <v>52868.999999999993</v>
      </c>
      <c r="AB1238" t="s">
        <v>242</v>
      </c>
      <c r="AC1238">
        <v>6</v>
      </c>
      <c r="AD1238">
        <v>19000</v>
      </c>
      <c r="AE1238">
        <v>0</v>
      </c>
      <c r="AF1238">
        <v>0</v>
      </c>
      <c r="AG1238">
        <v>1223.9208171981957</v>
      </c>
      <c r="AH1238" t="s">
        <v>58</v>
      </c>
    </row>
    <row r="1239" spans="1:34" x14ac:dyDescent="0.3">
      <c r="A1239" t="s">
        <v>798</v>
      </c>
      <c r="B1239">
        <v>52200290</v>
      </c>
      <c r="C1239">
        <v>24349639</v>
      </c>
      <c r="D1239" t="s">
        <v>846</v>
      </c>
      <c r="E1239" t="s">
        <v>436</v>
      </c>
      <c r="F1239" t="s">
        <v>431</v>
      </c>
      <c r="G1239" t="s">
        <v>82</v>
      </c>
      <c r="H1239" t="s">
        <v>83</v>
      </c>
      <c r="J1239" t="s">
        <v>52</v>
      </c>
      <c r="K1239" s="15">
        <v>1000</v>
      </c>
      <c r="L1239" s="15">
        <v>0</v>
      </c>
      <c r="M1239" s="13">
        <v>45199</v>
      </c>
      <c r="O1239">
        <v>0</v>
      </c>
      <c r="P1239">
        <v>0</v>
      </c>
      <c r="Q1239">
        <v>0</v>
      </c>
      <c r="R1239">
        <v>1075.2529571760224</v>
      </c>
      <c r="S1239">
        <v>29085.142604438519</v>
      </c>
      <c r="T1239">
        <v>0</v>
      </c>
      <c r="U1239">
        <v>0</v>
      </c>
      <c r="V1239">
        <v>48121.162657874054</v>
      </c>
      <c r="W1239">
        <v>0</v>
      </c>
      <c r="X1239">
        <v>0</v>
      </c>
      <c r="Y1239">
        <v>78281.558219488594</v>
      </c>
      <c r="Z1239">
        <v>5404.4413683618804</v>
      </c>
      <c r="AA1239">
        <v>83685.999587850471</v>
      </c>
      <c r="AB1239" t="s">
        <v>242</v>
      </c>
      <c r="AC1239">
        <v>1</v>
      </c>
      <c r="AD1239">
        <v>1000</v>
      </c>
      <c r="AE1239">
        <v>0</v>
      </c>
      <c r="AF1239">
        <v>0</v>
      </c>
      <c r="AG1239">
        <v>64.521221497496754</v>
      </c>
      <c r="AH1239" t="s">
        <v>72</v>
      </c>
    </row>
    <row r="1240" spans="1:34" x14ac:dyDescent="0.3">
      <c r="A1240" t="s">
        <v>798</v>
      </c>
      <c r="B1240">
        <v>52200358</v>
      </c>
      <c r="C1240">
        <v>26358634</v>
      </c>
      <c r="D1240" t="s">
        <v>851</v>
      </c>
      <c r="E1240" t="s">
        <v>436</v>
      </c>
      <c r="F1240" t="s">
        <v>431</v>
      </c>
      <c r="G1240" t="s">
        <v>82</v>
      </c>
      <c r="H1240" t="s">
        <v>83</v>
      </c>
      <c r="J1240" t="s">
        <v>52</v>
      </c>
      <c r="K1240" s="15">
        <v>2000</v>
      </c>
      <c r="L1240" s="15">
        <v>0</v>
      </c>
      <c r="M1240" s="13">
        <v>45199</v>
      </c>
      <c r="O1240">
        <v>0</v>
      </c>
      <c r="P1240">
        <v>0</v>
      </c>
      <c r="Q1240">
        <v>0</v>
      </c>
      <c r="R1240">
        <v>820.2729237074152</v>
      </c>
      <c r="S1240">
        <v>15022.327879843713</v>
      </c>
      <c r="T1240">
        <v>0</v>
      </c>
      <c r="U1240">
        <v>0</v>
      </c>
      <c r="V1240">
        <v>42723.211920691763</v>
      </c>
      <c r="W1240">
        <v>0</v>
      </c>
      <c r="X1240">
        <v>0</v>
      </c>
      <c r="Y1240">
        <v>58565.812724242889</v>
      </c>
      <c r="Z1240">
        <v>4042.1877860374839</v>
      </c>
      <c r="AA1240">
        <v>62608.00051028037</v>
      </c>
      <c r="AB1240" t="s">
        <v>242</v>
      </c>
      <c r="AC1240">
        <v>6</v>
      </c>
      <c r="AD1240">
        <v>8500</v>
      </c>
      <c r="AE1240">
        <v>0</v>
      </c>
      <c r="AF1240">
        <v>0</v>
      </c>
      <c r="AG1240">
        <v>548.24215388740117</v>
      </c>
      <c r="AH1240" t="s">
        <v>58</v>
      </c>
    </row>
    <row r="1241" spans="1:34" x14ac:dyDescent="0.3">
      <c r="A1241" t="s">
        <v>798</v>
      </c>
      <c r="B1241">
        <v>52200376</v>
      </c>
      <c r="C1241">
        <v>27488411</v>
      </c>
      <c r="D1241" t="s">
        <v>852</v>
      </c>
      <c r="E1241" t="s">
        <v>436</v>
      </c>
      <c r="F1241" t="s">
        <v>431</v>
      </c>
      <c r="G1241" t="s">
        <v>82</v>
      </c>
      <c r="H1241" t="s">
        <v>83</v>
      </c>
      <c r="J1241" t="s">
        <v>52</v>
      </c>
      <c r="K1241" s="15">
        <v>1685</v>
      </c>
      <c r="L1241" s="15">
        <v>0</v>
      </c>
      <c r="M1241" s="13">
        <v>45199</v>
      </c>
      <c r="O1241">
        <v>0</v>
      </c>
      <c r="P1241">
        <v>0</v>
      </c>
      <c r="Q1241">
        <v>0</v>
      </c>
      <c r="R1241">
        <v>908.44385658684246</v>
      </c>
      <c r="S1241">
        <v>30058.953416413722</v>
      </c>
      <c r="T1241">
        <v>0</v>
      </c>
      <c r="U1241">
        <v>0</v>
      </c>
      <c r="V1241">
        <v>55487.360852476195</v>
      </c>
      <c r="W1241">
        <v>0</v>
      </c>
      <c r="X1241">
        <v>0</v>
      </c>
      <c r="Y1241">
        <v>86454.758125476757</v>
      </c>
      <c r="Z1241">
        <v>5988.2419988222955</v>
      </c>
      <c r="AA1241">
        <v>92443.000124299055</v>
      </c>
      <c r="AB1241" t="s">
        <v>242</v>
      </c>
      <c r="AC1241">
        <v>5</v>
      </c>
      <c r="AD1241">
        <v>7735</v>
      </c>
      <c r="AE1241">
        <v>0</v>
      </c>
      <c r="AF1241">
        <v>0</v>
      </c>
      <c r="AG1241">
        <v>500.69258874867205</v>
      </c>
      <c r="AH1241" t="s">
        <v>58</v>
      </c>
    </row>
    <row r="1242" spans="1:34" x14ac:dyDescent="0.3">
      <c r="A1242" t="s">
        <v>798</v>
      </c>
      <c r="B1242">
        <v>52200925</v>
      </c>
      <c r="C1242">
        <v>26945932</v>
      </c>
      <c r="D1242" t="s">
        <v>866</v>
      </c>
      <c r="E1242" t="s">
        <v>438</v>
      </c>
      <c r="F1242" t="s">
        <v>431</v>
      </c>
      <c r="G1242" t="s">
        <v>82</v>
      </c>
      <c r="H1242" t="s">
        <v>83</v>
      </c>
      <c r="J1242" t="s">
        <v>52</v>
      </c>
      <c r="K1242" s="15">
        <v>6000</v>
      </c>
      <c r="L1242" s="15">
        <v>0</v>
      </c>
      <c r="M1242" s="13">
        <v>45199</v>
      </c>
      <c r="O1242">
        <v>0</v>
      </c>
      <c r="P1242">
        <v>0</v>
      </c>
      <c r="Q1242">
        <v>0</v>
      </c>
      <c r="R1242">
        <v>764.79659657324419</v>
      </c>
      <c r="S1242">
        <v>8412.5297966678481</v>
      </c>
      <c r="T1242">
        <v>0</v>
      </c>
      <c r="U1242">
        <v>0</v>
      </c>
      <c r="V1242">
        <v>45808.220686926034</v>
      </c>
      <c r="W1242">
        <v>0</v>
      </c>
      <c r="X1242">
        <v>0</v>
      </c>
      <c r="Y1242">
        <v>54985.547080167125</v>
      </c>
      <c r="Z1242">
        <v>3795.4525338515723</v>
      </c>
      <c r="AA1242">
        <v>58780.9996140187</v>
      </c>
      <c r="AB1242" t="s">
        <v>242</v>
      </c>
      <c r="AC1242">
        <v>2</v>
      </c>
      <c r="AD1242">
        <v>9000</v>
      </c>
      <c r="AE1242">
        <v>0</v>
      </c>
      <c r="AF1242">
        <v>0</v>
      </c>
      <c r="AG1242">
        <v>580.52874930853022</v>
      </c>
      <c r="AH1242" t="s">
        <v>58</v>
      </c>
    </row>
    <row r="1243" spans="1:34" x14ac:dyDescent="0.3">
      <c r="A1243" t="s">
        <v>798</v>
      </c>
      <c r="B1243">
        <v>52201323</v>
      </c>
      <c r="C1243">
        <v>26835889</v>
      </c>
      <c r="D1243" t="s">
        <v>877</v>
      </c>
      <c r="E1243" t="s">
        <v>438</v>
      </c>
      <c r="F1243" t="s">
        <v>431</v>
      </c>
      <c r="G1243" t="s">
        <v>82</v>
      </c>
      <c r="H1243" t="s">
        <v>83</v>
      </c>
      <c r="J1243" t="s">
        <v>52</v>
      </c>
      <c r="K1243" s="15">
        <v>500</v>
      </c>
      <c r="L1243" s="15">
        <v>0</v>
      </c>
      <c r="M1243" s="13">
        <v>45199</v>
      </c>
      <c r="O1243">
        <v>0</v>
      </c>
      <c r="P1243">
        <v>0</v>
      </c>
      <c r="Q1243">
        <v>0</v>
      </c>
      <c r="R1243">
        <v>911.74261583370276</v>
      </c>
      <c r="S1243">
        <v>15254.705027457949</v>
      </c>
      <c r="T1243">
        <v>0</v>
      </c>
      <c r="U1243">
        <v>0</v>
      </c>
      <c r="V1243">
        <v>48109.079118336827</v>
      </c>
      <c r="W1243">
        <v>0</v>
      </c>
      <c r="X1243">
        <v>0</v>
      </c>
      <c r="Y1243">
        <v>64275.526761628476</v>
      </c>
      <c r="Z1243">
        <v>4435.4648902056351</v>
      </c>
      <c r="AA1243">
        <v>68710.991651834105</v>
      </c>
      <c r="AB1243" t="s">
        <v>242</v>
      </c>
      <c r="AC1243">
        <v>8</v>
      </c>
      <c r="AD1243">
        <v>5500</v>
      </c>
      <c r="AE1243">
        <v>0</v>
      </c>
      <c r="AF1243">
        <v>0</v>
      </c>
      <c r="AG1243">
        <v>354.69344215734509</v>
      </c>
      <c r="AH1243" t="s">
        <v>58</v>
      </c>
    </row>
    <row r="1244" spans="1:34" x14ac:dyDescent="0.3">
      <c r="A1244" t="s">
        <v>798</v>
      </c>
      <c r="B1244">
        <v>52201340</v>
      </c>
      <c r="C1244">
        <v>28518241</v>
      </c>
      <c r="D1244" t="s">
        <v>154</v>
      </c>
      <c r="E1244" t="s">
        <v>438</v>
      </c>
      <c r="F1244" t="s">
        <v>431</v>
      </c>
      <c r="G1244" t="s">
        <v>82</v>
      </c>
      <c r="H1244" t="s">
        <v>83</v>
      </c>
      <c r="J1244" t="s">
        <v>52</v>
      </c>
      <c r="K1244" s="15">
        <v>1000</v>
      </c>
      <c r="L1244" s="15">
        <v>0</v>
      </c>
      <c r="M1244" s="13">
        <v>45199</v>
      </c>
      <c r="O1244">
        <v>0</v>
      </c>
      <c r="P1244">
        <v>0</v>
      </c>
      <c r="Q1244">
        <v>0</v>
      </c>
      <c r="R1244">
        <v>929.09452834242404</v>
      </c>
      <c r="S1244">
        <v>16721.667388575435</v>
      </c>
      <c r="T1244">
        <v>0</v>
      </c>
      <c r="U1244">
        <v>0</v>
      </c>
      <c r="V1244">
        <v>46100.673645528383</v>
      </c>
      <c r="W1244">
        <v>0</v>
      </c>
      <c r="X1244">
        <v>0</v>
      </c>
      <c r="Y1244">
        <v>63751.435562446241</v>
      </c>
      <c r="Z1244">
        <v>4397.563872387268</v>
      </c>
      <c r="AA1244">
        <v>68148.999434833502</v>
      </c>
      <c r="AB1244" t="s">
        <v>242</v>
      </c>
      <c r="AC1244">
        <v>4</v>
      </c>
      <c r="AD1244">
        <v>7500</v>
      </c>
      <c r="AE1244">
        <v>0</v>
      </c>
      <c r="AF1244">
        <v>0</v>
      </c>
      <c r="AG1244">
        <v>483.46412802240167</v>
      </c>
      <c r="AH1244" t="s">
        <v>58</v>
      </c>
    </row>
    <row r="1245" spans="1:34" x14ac:dyDescent="0.3">
      <c r="A1245" t="s">
        <v>798</v>
      </c>
      <c r="B1245">
        <v>52201541</v>
      </c>
      <c r="C1245">
        <v>28683740</v>
      </c>
      <c r="D1245" t="s">
        <v>160</v>
      </c>
      <c r="E1245" t="s">
        <v>438</v>
      </c>
      <c r="F1245" t="s">
        <v>431</v>
      </c>
      <c r="G1245" t="s">
        <v>82</v>
      </c>
      <c r="H1245" t="s">
        <v>83</v>
      </c>
      <c r="J1245" t="s">
        <v>52</v>
      </c>
      <c r="K1245" s="15">
        <v>2000</v>
      </c>
      <c r="L1245" s="15">
        <v>0</v>
      </c>
      <c r="M1245" s="13">
        <v>45199</v>
      </c>
      <c r="O1245">
        <v>0</v>
      </c>
      <c r="P1245">
        <v>0</v>
      </c>
      <c r="Q1245">
        <v>0</v>
      </c>
      <c r="R1245">
        <v>1046.0508517541905</v>
      </c>
      <c r="S1245">
        <v>11980.340891999287</v>
      </c>
      <c r="T1245">
        <v>0</v>
      </c>
      <c r="U1245">
        <v>0</v>
      </c>
      <c r="V1245">
        <v>84588.770761090957</v>
      </c>
      <c r="W1245">
        <v>0</v>
      </c>
      <c r="X1245">
        <v>0</v>
      </c>
      <c r="Y1245">
        <v>97615.16250484444</v>
      </c>
      <c r="Z1245">
        <v>6759.8378157163179</v>
      </c>
      <c r="AA1245">
        <v>104375.00032056076</v>
      </c>
      <c r="AB1245" t="s">
        <v>242</v>
      </c>
      <c r="AC1245">
        <v>2</v>
      </c>
      <c r="AD1245">
        <v>4000</v>
      </c>
      <c r="AE1245">
        <v>0</v>
      </c>
      <c r="AF1245">
        <v>0</v>
      </c>
      <c r="AG1245">
        <v>258.8724856287788</v>
      </c>
      <c r="AH1245" t="s">
        <v>58</v>
      </c>
    </row>
    <row r="1246" spans="1:34" x14ac:dyDescent="0.3">
      <c r="A1246" t="s">
        <v>798</v>
      </c>
      <c r="B1246">
        <v>52201645</v>
      </c>
      <c r="C1246">
        <v>26580827</v>
      </c>
      <c r="D1246" t="s">
        <v>163</v>
      </c>
      <c r="E1246" t="s">
        <v>438</v>
      </c>
      <c r="F1246" t="s">
        <v>431</v>
      </c>
      <c r="G1246" t="s">
        <v>82</v>
      </c>
      <c r="H1246" t="s">
        <v>83</v>
      </c>
      <c r="J1246" t="s">
        <v>52</v>
      </c>
      <c r="K1246" s="15">
        <v>1000</v>
      </c>
      <c r="L1246" s="15">
        <v>0</v>
      </c>
      <c r="M1246" s="13">
        <v>45199</v>
      </c>
      <c r="O1246">
        <v>0</v>
      </c>
      <c r="P1246">
        <v>0</v>
      </c>
      <c r="Q1246">
        <v>0</v>
      </c>
      <c r="R1246">
        <v>751.54978170803042</v>
      </c>
      <c r="S1246">
        <v>43437.175049245379</v>
      </c>
      <c r="T1246">
        <v>0</v>
      </c>
      <c r="U1246">
        <v>0</v>
      </c>
      <c r="V1246">
        <v>88638.947347097012</v>
      </c>
      <c r="W1246">
        <v>0</v>
      </c>
      <c r="X1246">
        <v>0</v>
      </c>
      <c r="Y1246">
        <v>132827.67217805042</v>
      </c>
      <c r="Z1246">
        <v>9245.328567743969</v>
      </c>
      <c r="AA1246">
        <v>142073.00074579439</v>
      </c>
      <c r="AB1246" t="s">
        <v>242</v>
      </c>
      <c r="AC1246">
        <v>5</v>
      </c>
      <c r="AD1246">
        <v>24405</v>
      </c>
      <c r="AE1246">
        <v>0</v>
      </c>
      <c r="AF1246">
        <v>0</v>
      </c>
      <c r="AG1246">
        <v>1587.4658735696853</v>
      </c>
      <c r="AH1246" t="s">
        <v>58</v>
      </c>
    </row>
    <row r="1247" spans="1:34" x14ac:dyDescent="0.3">
      <c r="A1247" t="s">
        <v>798</v>
      </c>
      <c r="B1247">
        <v>52201830</v>
      </c>
      <c r="C1247">
        <v>25560817</v>
      </c>
      <c r="D1247" t="s">
        <v>167</v>
      </c>
      <c r="E1247" t="s">
        <v>438</v>
      </c>
      <c r="F1247" t="s">
        <v>431</v>
      </c>
      <c r="G1247" t="s">
        <v>82</v>
      </c>
      <c r="H1247" t="s">
        <v>83</v>
      </c>
      <c r="J1247" t="s">
        <v>52</v>
      </c>
      <c r="K1247" s="15">
        <v>1500</v>
      </c>
      <c r="L1247" s="15">
        <v>0</v>
      </c>
      <c r="M1247" s="13">
        <v>45199</v>
      </c>
      <c r="O1247">
        <v>0</v>
      </c>
      <c r="P1247">
        <v>0</v>
      </c>
      <c r="Q1247">
        <v>0</v>
      </c>
      <c r="R1247">
        <v>864.86359355954289</v>
      </c>
      <c r="S1247">
        <v>25563.443838964562</v>
      </c>
      <c r="T1247">
        <v>0</v>
      </c>
      <c r="U1247">
        <v>0</v>
      </c>
      <c r="V1247">
        <v>53474.06748157987</v>
      </c>
      <c r="W1247">
        <v>0</v>
      </c>
      <c r="X1247">
        <v>0</v>
      </c>
      <c r="Y1247">
        <v>79902.374914103973</v>
      </c>
      <c r="Z1247">
        <v>5532.6257924381107</v>
      </c>
      <c r="AA1247">
        <v>85435.00070654208</v>
      </c>
      <c r="AB1247" t="s">
        <v>242</v>
      </c>
      <c r="AC1247">
        <v>6</v>
      </c>
      <c r="AD1247">
        <v>11500</v>
      </c>
      <c r="AE1247">
        <v>0</v>
      </c>
      <c r="AF1247">
        <v>0</v>
      </c>
      <c r="AG1247">
        <v>744.14995471884845</v>
      </c>
      <c r="AH1247" t="s">
        <v>58</v>
      </c>
    </row>
    <row r="1248" spans="1:34" x14ac:dyDescent="0.3">
      <c r="A1248" t="s">
        <v>798</v>
      </c>
      <c r="B1248">
        <v>62200013</v>
      </c>
      <c r="C1248">
        <v>20972385</v>
      </c>
      <c r="D1248" t="s">
        <v>76</v>
      </c>
      <c r="E1248" t="s">
        <v>435</v>
      </c>
      <c r="F1248" t="s">
        <v>432</v>
      </c>
      <c r="G1248" t="s">
        <v>82</v>
      </c>
      <c r="H1248" t="s">
        <v>82</v>
      </c>
      <c r="J1248" t="s">
        <v>52</v>
      </c>
      <c r="K1248" s="15">
        <v>4000</v>
      </c>
      <c r="L1248" s="15">
        <v>0</v>
      </c>
      <c r="M1248" s="13">
        <v>45199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31665.191359418066</v>
      </c>
      <c r="W1248">
        <v>0</v>
      </c>
      <c r="X1248">
        <v>0</v>
      </c>
      <c r="Y1248">
        <v>31665.191359418066</v>
      </c>
      <c r="Z1248">
        <v>0</v>
      </c>
      <c r="AA1248">
        <v>31665.191359418066</v>
      </c>
      <c r="AB1248" t="s">
        <v>242</v>
      </c>
      <c r="AC1248">
        <v>14</v>
      </c>
      <c r="AD1248">
        <v>56000</v>
      </c>
      <c r="AE1248">
        <v>0</v>
      </c>
      <c r="AF1248">
        <v>0</v>
      </c>
      <c r="AG1248">
        <v>0</v>
      </c>
      <c r="AH1248" t="s">
        <v>58</v>
      </c>
    </row>
    <row r="1249" spans="1:34" x14ac:dyDescent="0.3">
      <c r="A1249" t="s">
        <v>798</v>
      </c>
      <c r="B1249">
        <v>62200080</v>
      </c>
      <c r="C1249">
        <v>22425262</v>
      </c>
      <c r="D1249" t="s">
        <v>80</v>
      </c>
      <c r="E1249" t="s">
        <v>435</v>
      </c>
      <c r="F1249" t="s">
        <v>432</v>
      </c>
      <c r="G1249" t="s">
        <v>82</v>
      </c>
      <c r="H1249" t="s">
        <v>82</v>
      </c>
      <c r="J1249" t="s">
        <v>52</v>
      </c>
      <c r="K1249" s="15">
        <v>500</v>
      </c>
      <c r="L1249" s="15">
        <v>0</v>
      </c>
      <c r="M1249" s="13">
        <v>45199</v>
      </c>
      <c r="O1249">
        <v>0</v>
      </c>
      <c r="P1249">
        <v>0</v>
      </c>
      <c r="Q1249">
        <v>0</v>
      </c>
      <c r="R1249">
        <v>0</v>
      </c>
      <c r="S1249">
        <v>9239.2191780821922</v>
      </c>
      <c r="T1249">
        <v>0</v>
      </c>
      <c r="U1249">
        <v>0</v>
      </c>
      <c r="V1249">
        <v>30000</v>
      </c>
      <c r="W1249">
        <v>0</v>
      </c>
      <c r="X1249">
        <v>0</v>
      </c>
      <c r="Y1249">
        <v>39239.219178082189</v>
      </c>
      <c r="Z1249">
        <v>0</v>
      </c>
      <c r="AA1249">
        <v>39239.219178082189</v>
      </c>
      <c r="AB1249" t="s">
        <v>242</v>
      </c>
      <c r="AC1249">
        <v>9</v>
      </c>
      <c r="AD1249">
        <v>4500</v>
      </c>
      <c r="AE1249">
        <v>0</v>
      </c>
      <c r="AF1249">
        <v>0</v>
      </c>
      <c r="AG1249">
        <v>0</v>
      </c>
      <c r="AH1249" t="s">
        <v>58</v>
      </c>
    </row>
    <row r="1250" spans="1:34" x14ac:dyDescent="0.3">
      <c r="A1250" t="s">
        <v>798</v>
      </c>
      <c r="B1250">
        <v>4132301018</v>
      </c>
      <c r="C1250">
        <v>1080106951</v>
      </c>
      <c r="D1250" t="s">
        <v>178</v>
      </c>
      <c r="E1250" t="s">
        <v>441</v>
      </c>
      <c r="F1250" t="s">
        <v>430</v>
      </c>
      <c r="G1250" t="s">
        <v>238</v>
      </c>
      <c r="H1250" t="s">
        <v>236</v>
      </c>
      <c r="J1250" t="s">
        <v>52</v>
      </c>
      <c r="K1250" s="15">
        <v>3000</v>
      </c>
      <c r="L1250" s="15">
        <v>0</v>
      </c>
      <c r="M1250" s="13">
        <v>45199</v>
      </c>
      <c r="O1250">
        <v>0</v>
      </c>
      <c r="P1250">
        <v>0</v>
      </c>
      <c r="Q1250">
        <v>0</v>
      </c>
      <c r="R1250">
        <v>0</v>
      </c>
      <c r="S1250">
        <v>4088.1901188191778</v>
      </c>
      <c r="T1250">
        <v>0</v>
      </c>
      <c r="U1250">
        <v>0</v>
      </c>
      <c r="V1250">
        <v>122520.57510339521</v>
      </c>
      <c r="W1250">
        <v>0</v>
      </c>
      <c r="X1250">
        <v>0</v>
      </c>
      <c r="Y1250">
        <v>126608.7652222144</v>
      </c>
      <c r="Z1250">
        <v>8576.4402572376657</v>
      </c>
      <c r="AA1250">
        <v>135185.20547945207</v>
      </c>
      <c r="AB1250" t="s">
        <v>242</v>
      </c>
      <c r="AC1250">
        <v>1</v>
      </c>
      <c r="AD1250">
        <v>3000</v>
      </c>
      <c r="AE1250">
        <v>0</v>
      </c>
      <c r="AF1250">
        <v>0</v>
      </c>
      <c r="AG1250">
        <v>189.91488294925102</v>
      </c>
      <c r="AH1250" t="s">
        <v>72</v>
      </c>
    </row>
    <row r="1251" spans="1:34" x14ac:dyDescent="0.3">
      <c r="A1251" t="s">
        <v>798</v>
      </c>
      <c r="B1251">
        <v>4132301071</v>
      </c>
      <c r="C1251">
        <v>1120064246</v>
      </c>
      <c r="D1251" t="s">
        <v>909</v>
      </c>
      <c r="E1251" t="s">
        <v>441</v>
      </c>
      <c r="F1251" t="s">
        <v>430</v>
      </c>
      <c r="G1251" t="s">
        <v>233</v>
      </c>
      <c r="H1251" t="s">
        <v>231</v>
      </c>
      <c r="J1251" t="s">
        <v>52</v>
      </c>
      <c r="K1251" s="15">
        <v>2000</v>
      </c>
      <c r="L1251" s="15">
        <v>0</v>
      </c>
      <c r="M1251" s="13">
        <v>45199</v>
      </c>
      <c r="O1251">
        <v>0</v>
      </c>
      <c r="P1251">
        <v>3476.4674979924334</v>
      </c>
      <c r="Q1251">
        <v>0</v>
      </c>
      <c r="R1251">
        <v>0</v>
      </c>
      <c r="S1251">
        <v>4473.0308219178078</v>
      </c>
      <c r="T1251">
        <v>17638.815422436979</v>
      </c>
      <c r="U1251">
        <v>0</v>
      </c>
      <c r="V1251">
        <v>0</v>
      </c>
      <c r="W1251">
        <v>0</v>
      </c>
      <c r="X1251">
        <v>0</v>
      </c>
      <c r="Y1251">
        <v>25588.313742347222</v>
      </c>
      <c r="Z1251">
        <v>1234.7170795705886</v>
      </c>
      <c r="AA1251">
        <v>26823.030821917811</v>
      </c>
      <c r="AB1251" t="s">
        <v>242</v>
      </c>
      <c r="AC1251">
        <v>1</v>
      </c>
      <c r="AD1251">
        <v>2000</v>
      </c>
      <c r="AE1251">
        <v>0</v>
      </c>
      <c r="AF1251">
        <v>0</v>
      </c>
      <c r="AG1251">
        <v>90.049275569598421</v>
      </c>
      <c r="AH1251" t="s">
        <v>72</v>
      </c>
    </row>
    <row r="1252" spans="1:34" x14ac:dyDescent="0.3">
      <c r="A1252" t="s">
        <v>798</v>
      </c>
      <c r="B1252">
        <v>4142300160</v>
      </c>
      <c r="C1252">
        <v>10044677</v>
      </c>
      <c r="D1252" t="s">
        <v>190</v>
      </c>
      <c r="E1252" t="s">
        <v>445</v>
      </c>
      <c r="F1252" t="s">
        <v>430</v>
      </c>
      <c r="G1252" t="s">
        <v>230</v>
      </c>
      <c r="H1252" t="s">
        <v>234</v>
      </c>
      <c r="J1252" t="s">
        <v>52</v>
      </c>
      <c r="K1252" s="15">
        <v>4000</v>
      </c>
      <c r="L1252" s="15">
        <v>0</v>
      </c>
      <c r="M1252" s="13">
        <v>45199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66229.542056074788</v>
      </c>
      <c r="Y1252">
        <v>66229.542056074788</v>
      </c>
      <c r="Z1252">
        <v>4636.0679439252353</v>
      </c>
      <c r="AA1252">
        <v>70865.61000000003</v>
      </c>
      <c r="AB1252" t="s">
        <v>242</v>
      </c>
      <c r="AC1252">
        <v>4</v>
      </c>
      <c r="AD1252">
        <v>16000</v>
      </c>
      <c r="AE1252">
        <v>0</v>
      </c>
      <c r="AF1252">
        <v>0</v>
      </c>
      <c r="AG1252">
        <v>1046.7289719626169</v>
      </c>
      <c r="AH1252" t="s">
        <v>58</v>
      </c>
    </row>
    <row r="1253" spans="1:34" x14ac:dyDescent="0.3">
      <c r="A1253" t="s">
        <v>798</v>
      </c>
      <c r="B1253">
        <v>4142300178</v>
      </c>
      <c r="C1253">
        <v>10059928</v>
      </c>
      <c r="D1253" t="s">
        <v>191</v>
      </c>
      <c r="E1253" t="s">
        <v>445</v>
      </c>
      <c r="F1253" t="s">
        <v>430</v>
      </c>
      <c r="G1253" t="s">
        <v>230</v>
      </c>
      <c r="H1253" t="s">
        <v>234</v>
      </c>
      <c r="J1253" t="s">
        <v>52</v>
      </c>
      <c r="K1253" s="15">
        <v>10000</v>
      </c>
      <c r="L1253" s="15">
        <v>0</v>
      </c>
      <c r="M1253" s="13">
        <v>45199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242113.99065420561</v>
      </c>
      <c r="Y1253">
        <v>242113.99065420561</v>
      </c>
      <c r="Z1253">
        <v>16947.979345794396</v>
      </c>
      <c r="AA1253">
        <v>259061.97</v>
      </c>
      <c r="AB1253" t="s">
        <v>242</v>
      </c>
      <c r="AC1253">
        <v>2</v>
      </c>
      <c r="AD1253">
        <v>20000</v>
      </c>
      <c r="AE1253">
        <v>0</v>
      </c>
      <c r="AF1253">
        <v>0</v>
      </c>
      <c r="AG1253">
        <v>1308.4112149532702</v>
      </c>
      <c r="AH1253" t="s">
        <v>58</v>
      </c>
    </row>
    <row r="1254" spans="1:34" x14ac:dyDescent="0.3">
      <c r="A1254" t="s">
        <v>798</v>
      </c>
      <c r="B1254">
        <v>4142300766</v>
      </c>
      <c r="C1254">
        <v>10354207</v>
      </c>
      <c r="D1254" t="s">
        <v>207</v>
      </c>
      <c r="E1254" t="s">
        <v>445</v>
      </c>
      <c r="F1254" t="s">
        <v>430</v>
      </c>
      <c r="G1254" t="s">
        <v>230</v>
      </c>
      <c r="H1254" t="s">
        <v>234</v>
      </c>
      <c r="J1254" t="s">
        <v>52</v>
      </c>
      <c r="K1254" s="15">
        <v>2500</v>
      </c>
      <c r="L1254" s="15">
        <v>0</v>
      </c>
      <c r="M1254" s="13">
        <v>45199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318488.41121495329</v>
      </c>
      <c r="Y1254">
        <v>318488.41121495329</v>
      </c>
      <c r="Z1254">
        <v>22294.188785046732</v>
      </c>
      <c r="AA1254">
        <v>340782.60000000003</v>
      </c>
      <c r="AB1254" t="s">
        <v>242</v>
      </c>
      <c r="AC1254">
        <v>2</v>
      </c>
      <c r="AD1254">
        <v>32500</v>
      </c>
      <c r="AE1254">
        <v>0</v>
      </c>
      <c r="AF1254">
        <v>0</v>
      </c>
      <c r="AG1254">
        <v>2126.168224299066</v>
      </c>
      <c r="AH1254" t="s">
        <v>58</v>
      </c>
    </row>
    <row r="1255" spans="1:34" x14ac:dyDescent="0.3">
      <c r="A1255" t="s">
        <v>798</v>
      </c>
      <c r="B1255">
        <v>4142300772</v>
      </c>
      <c r="C1255">
        <v>10355000</v>
      </c>
      <c r="D1255" t="s">
        <v>923</v>
      </c>
      <c r="E1255" t="s">
        <v>445</v>
      </c>
      <c r="F1255" t="s">
        <v>430</v>
      </c>
      <c r="G1255" t="s">
        <v>230</v>
      </c>
      <c r="H1255" t="s">
        <v>234</v>
      </c>
      <c r="J1255" t="s">
        <v>52</v>
      </c>
      <c r="K1255" s="15">
        <v>2000</v>
      </c>
      <c r="L1255" s="15">
        <v>0</v>
      </c>
      <c r="M1255" s="13">
        <v>45199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272312.19626168226</v>
      </c>
      <c r="Y1255">
        <v>272312.19626168226</v>
      </c>
      <c r="Z1255">
        <v>19061.853738317761</v>
      </c>
      <c r="AA1255">
        <v>291374.05000000005</v>
      </c>
      <c r="AB1255" t="s">
        <v>242</v>
      </c>
      <c r="AC1255">
        <v>1</v>
      </c>
      <c r="AD1255">
        <v>2000</v>
      </c>
      <c r="AE1255">
        <v>0</v>
      </c>
      <c r="AF1255">
        <v>0</v>
      </c>
      <c r="AG1255">
        <v>130.84112149532712</v>
      </c>
      <c r="AH1255" t="s">
        <v>72</v>
      </c>
    </row>
    <row r="1256" spans="1:34" x14ac:dyDescent="0.3">
      <c r="A1256" t="s">
        <v>798</v>
      </c>
      <c r="B1256">
        <v>4142300842</v>
      </c>
      <c r="C1256">
        <v>10382588</v>
      </c>
      <c r="D1256" t="s">
        <v>211</v>
      </c>
      <c r="E1256" t="s">
        <v>445</v>
      </c>
      <c r="F1256" t="s">
        <v>430</v>
      </c>
      <c r="G1256" t="s">
        <v>230</v>
      </c>
      <c r="H1256" t="s">
        <v>234</v>
      </c>
      <c r="J1256" t="s">
        <v>52</v>
      </c>
      <c r="K1256" s="15">
        <v>1000</v>
      </c>
      <c r="L1256" s="15">
        <v>0</v>
      </c>
      <c r="M1256" s="13">
        <v>45199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119657.14953271026</v>
      </c>
      <c r="Y1256">
        <v>119657.14953271026</v>
      </c>
      <c r="Z1256">
        <v>8376.0004672897194</v>
      </c>
      <c r="AA1256">
        <v>128033.14999999998</v>
      </c>
      <c r="AB1256" t="s">
        <v>242</v>
      </c>
      <c r="AC1256">
        <v>6</v>
      </c>
      <c r="AD1256">
        <v>8500</v>
      </c>
      <c r="AE1256">
        <v>0</v>
      </c>
      <c r="AF1256">
        <v>0</v>
      </c>
      <c r="AG1256">
        <v>556.07476635514035</v>
      </c>
      <c r="AH1256" t="s">
        <v>58</v>
      </c>
    </row>
    <row r="1257" spans="1:34" x14ac:dyDescent="0.3">
      <c r="A1257" t="s">
        <v>798</v>
      </c>
      <c r="B1257">
        <v>4142300939</v>
      </c>
      <c r="C1257">
        <v>10449473</v>
      </c>
      <c r="D1257" t="s">
        <v>214</v>
      </c>
      <c r="E1257" t="s">
        <v>445</v>
      </c>
      <c r="F1257" t="s">
        <v>430</v>
      </c>
      <c r="G1257" t="s">
        <v>230</v>
      </c>
      <c r="H1257" t="s">
        <v>234</v>
      </c>
      <c r="J1257" t="s">
        <v>52</v>
      </c>
      <c r="K1257" s="15">
        <v>500</v>
      </c>
      <c r="L1257" s="15">
        <v>0</v>
      </c>
      <c r="M1257" s="13">
        <v>45199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334488.79439252336</v>
      </c>
      <c r="Y1257">
        <v>334488.79439252336</v>
      </c>
      <c r="Z1257">
        <v>23414.215607476635</v>
      </c>
      <c r="AA1257">
        <v>357903.01</v>
      </c>
      <c r="AB1257" t="s">
        <v>242</v>
      </c>
      <c r="AC1257">
        <v>3</v>
      </c>
      <c r="AD1257">
        <v>2000</v>
      </c>
      <c r="AE1257">
        <v>0</v>
      </c>
      <c r="AF1257">
        <v>0</v>
      </c>
      <c r="AG1257">
        <v>130.84112149532712</v>
      </c>
      <c r="AH1257" t="s">
        <v>58</v>
      </c>
    </row>
    <row r="1258" spans="1:34" x14ac:dyDescent="0.3">
      <c r="A1258" t="s">
        <v>798</v>
      </c>
      <c r="B1258">
        <v>4302300023</v>
      </c>
      <c r="C1258">
        <v>901021032288</v>
      </c>
      <c r="D1258" t="s">
        <v>225</v>
      </c>
      <c r="E1258" t="s">
        <v>447</v>
      </c>
      <c r="F1258" t="s">
        <v>433</v>
      </c>
      <c r="G1258" t="s">
        <v>82</v>
      </c>
      <c r="H1258" t="s">
        <v>83</v>
      </c>
      <c r="J1258" t="s">
        <v>52</v>
      </c>
      <c r="K1258" s="15">
        <v>28000</v>
      </c>
      <c r="L1258" s="15">
        <v>0</v>
      </c>
      <c r="M1258" s="13">
        <v>45199</v>
      </c>
      <c r="O1258">
        <v>0</v>
      </c>
      <c r="P1258">
        <v>0</v>
      </c>
      <c r="Q1258">
        <v>90881.650789293679</v>
      </c>
      <c r="R1258">
        <v>3436.24</v>
      </c>
      <c r="S1258">
        <v>36742.262252996574</v>
      </c>
      <c r="T1258">
        <v>0</v>
      </c>
      <c r="U1258">
        <v>0</v>
      </c>
      <c r="V1258">
        <v>1172874.5</v>
      </c>
      <c r="W1258">
        <v>0</v>
      </c>
      <c r="X1258">
        <v>0</v>
      </c>
      <c r="Y1258">
        <v>1303934.6530422904</v>
      </c>
      <c r="Z1258">
        <v>84673.173357709777</v>
      </c>
      <c r="AA1258">
        <v>1388607.8264000001</v>
      </c>
      <c r="AB1258" t="s">
        <v>242</v>
      </c>
      <c r="AC1258">
        <v>3</v>
      </c>
      <c r="AD1258">
        <v>63000</v>
      </c>
      <c r="AE1258">
        <v>0</v>
      </c>
      <c r="AF1258">
        <v>0</v>
      </c>
      <c r="AG1258">
        <v>3822.753042290241</v>
      </c>
      <c r="AH1258" t="s">
        <v>58</v>
      </c>
    </row>
    <row r="1259" spans="1:34" x14ac:dyDescent="0.3">
      <c r="A1259" t="s">
        <v>798</v>
      </c>
      <c r="B1259">
        <v>4302300046</v>
      </c>
      <c r="C1259">
        <v>901012034713</v>
      </c>
      <c r="D1259" t="s">
        <v>227</v>
      </c>
      <c r="E1259" t="s">
        <v>447</v>
      </c>
      <c r="F1259" t="s">
        <v>433</v>
      </c>
      <c r="G1259" t="s">
        <v>82</v>
      </c>
      <c r="H1259" t="s">
        <v>83</v>
      </c>
      <c r="J1259" t="s">
        <v>52</v>
      </c>
      <c r="K1259" s="15">
        <v>7000</v>
      </c>
      <c r="L1259" s="15">
        <v>0</v>
      </c>
      <c r="M1259" s="13">
        <v>45199</v>
      </c>
      <c r="O1259">
        <v>0</v>
      </c>
      <c r="P1259">
        <v>0</v>
      </c>
      <c r="Q1259">
        <v>51767.729233836595</v>
      </c>
      <c r="R1259">
        <v>46050.97</v>
      </c>
      <c r="S1259">
        <v>112394.18071604057</v>
      </c>
      <c r="T1259">
        <v>0</v>
      </c>
      <c r="U1259">
        <v>0</v>
      </c>
      <c r="V1259">
        <v>750980.5</v>
      </c>
      <c r="W1259">
        <v>0</v>
      </c>
      <c r="X1259">
        <v>0</v>
      </c>
      <c r="Y1259">
        <v>961193.37994987716</v>
      </c>
      <c r="Z1259">
        <v>60436.227650122841</v>
      </c>
      <c r="AA1259">
        <v>1021629.6076</v>
      </c>
      <c r="AB1259" t="s">
        <v>242</v>
      </c>
      <c r="AC1259">
        <v>1</v>
      </c>
      <c r="AD1259">
        <v>7000</v>
      </c>
      <c r="AE1259">
        <v>0</v>
      </c>
      <c r="AF1259">
        <v>0</v>
      </c>
      <c r="AG1259">
        <v>411.31994987716007</v>
      </c>
      <c r="AH1259" t="s">
        <v>72</v>
      </c>
    </row>
    <row r="1260" spans="1:34" x14ac:dyDescent="0.3">
      <c r="A1260" t="s">
        <v>798</v>
      </c>
      <c r="B1260">
        <v>4132300986</v>
      </c>
      <c r="C1260" t="s">
        <v>355</v>
      </c>
      <c r="D1260" t="s">
        <v>394</v>
      </c>
      <c r="E1260" t="s">
        <v>441</v>
      </c>
      <c r="F1260" t="s">
        <v>430</v>
      </c>
      <c r="G1260" t="s">
        <v>419</v>
      </c>
      <c r="H1260" t="s">
        <v>231</v>
      </c>
      <c r="J1260" t="s">
        <v>52</v>
      </c>
      <c r="K1260" s="15">
        <v>43000</v>
      </c>
      <c r="L1260" s="15">
        <v>0</v>
      </c>
      <c r="M1260" s="13">
        <v>45199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 t="s">
        <v>242</v>
      </c>
      <c r="AC1260">
        <v>1</v>
      </c>
      <c r="AD1260">
        <v>43000</v>
      </c>
      <c r="AE1260">
        <v>0</v>
      </c>
      <c r="AF1260">
        <v>0</v>
      </c>
      <c r="AG1260">
        <v>952.84760324196577</v>
      </c>
      <c r="AH1260" t="s">
        <v>58</v>
      </c>
    </row>
    <row r="1261" spans="1:34" x14ac:dyDescent="0.3">
      <c r="A1261" t="s">
        <v>798</v>
      </c>
      <c r="B1261">
        <v>4142300737</v>
      </c>
      <c r="C1261" t="s">
        <v>358</v>
      </c>
      <c r="D1261" t="s">
        <v>397</v>
      </c>
      <c r="E1261" t="s">
        <v>445</v>
      </c>
      <c r="F1261" t="s">
        <v>430</v>
      </c>
      <c r="G1261" t="s">
        <v>237</v>
      </c>
      <c r="H1261" t="s">
        <v>234</v>
      </c>
      <c r="J1261" t="s">
        <v>52</v>
      </c>
      <c r="K1261" s="15">
        <v>12000</v>
      </c>
      <c r="L1261" s="15">
        <v>0</v>
      </c>
      <c r="M1261" s="13">
        <v>45199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39252.336448598144</v>
      </c>
      <c r="Y1261">
        <v>39252.336448598144</v>
      </c>
      <c r="Z1261">
        <v>2747.6635514018703</v>
      </c>
      <c r="AA1261">
        <v>42000.000000000015</v>
      </c>
      <c r="AB1261" t="s">
        <v>242</v>
      </c>
      <c r="AC1261">
        <v>3</v>
      </c>
      <c r="AD1261">
        <v>30000</v>
      </c>
      <c r="AE1261">
        <v>0</v>
      </c>
      <c r="AF1261">
        <v>0</v>
      </c>
      <c r="AG1261">
        <v>1962.616822429909</v>
      </c>
      <c r="AH1261" t="s">
        <v>58</v>
      </c>
    </row>
    <row r="1262" spans="1:34" x14ac:dyDescent="0.3">
      <c r="A1262" t="s">
        <v>798</v>
      </c>
      <c r="B1262">
        <v>12200042</v>
      </c>
      <c r="C1262" t="s">
        <v>625</v>
      </c>
      <c r="D1262" t="s">
        <v>624</v>
      </c>
      <c r="E1262" t="s">
        <v>435</v>
      </c>
      <c r="F1262" t="s">
        <v>427</v>
      </c>
      <c r="G1262" t="s">
        <v>230</v>
      </c>
      <c r="H1262" t="s">
        <v>230</v>
      </c>
      <c r="J1262" t="s">
        <v>52</v>
      </c>
      <c r="K1262" s="15">
        <v>2000</v>
      </c>
      <c r="M1262" s="13">
        <v>45199</v>
      </c>
      <c r="O1262">
        <v>0</v>
      </c>
      <c r="P1262">
        <v>0</v>
      </c>
      <c r="Q1262">
        <v>0</v>
      </c>
      <c r="R1262">
        <v>0</v>
      </c>
      <c r="S1262">
        <v>23173.699999999997</v>
      </c>
      <c r="T1262">
        <v>0</v>
      </c>
      <c r="U1262">
        <v>0</v>
      </c>
      <c r="V1262">
        <v>80000</v>
      </c>
      <c r="W1262">
        <v>0</v>
      </c>
      <c r="X1262">
        <v>0</v>
      </c>
      <c r="Y1262">
        <v>103173.7</v>
      </c>
      <c r="Z1262">
        <v>0</v>
      </c>
      <c r="AA1262">
        <v>103173.7</v>
      </c>
      <c r="AB1262" t="s">
        <v>242</v>
      </c>
      <c r="AC1262">
        <v>9</v>
      </c>
      <c r="AD1262">
        <v>17600</v>
      </c>
      <c r="AE1262">
        <v>0</v>
      </c>
      <c r="AF1262">
        <v>0</v>
      </c>
      <c r="AG1262">
        <v>0</v>
      </c>
      <c r="AH1262" t="s">
        <v>58</v>
      </c>
    </row>
    <row r="1263" spans="1:34" x14ac:dyDescent="0.3">
      <c r="A1263" t="s">
        <v>798</v>
      </c>
      <c r="B1263">
        <v>52200714</v>
      </c>
      <c r="C1263">
        <v>30196144</v>
      </c>
      <c r="D1263" t="s">
        <v>860</v>
      </c>
      <c r="E1263" t="s">
        <v>438</v>
      </c>
      <c r="F1263" t="s">
        <v>431</v>
      </c>
      <c r="G1263" t="s">
        <v>82</v>
      </c>
      <c r="H1263" t="s">
        <v>83</v>
      </c>
      <c r="J1263" t="s">
        <v>52</v>
      </c>
      <c r="K1263" s="15">
        <v>500</v>
      </c>
      <c r="L1263" s="15">
        <v>0</v>
      </c>
      <c r="M1263" s="13">
        <v>45200</v>
      </c>
      <c r="O1263">
        <v>0</v>
      </c>
      <c r="P1263">
        <v>0</v>
      </c>
      <c r="Q1263">
        <v>0</v>
      </c>
      <c r="R1263">
        <v>963.88601517707741</v>
      </c>
      <c r="S1263">
        <v>23925.340172731707</v>
      </c>
      <c r="T1263">
        <v>0</v>
      </c>
      <c r="U1263">
        <v>0</v>
      </c>
      <c r="V1263">
        <v>52336.448598130839</v>
      </c>
      <c r="W1263">
        <v>0</v>
      </c>
      <c r="X1263">
        <v>0</v>
      </c>
      <c r="Y1263">
        <v>77225.674786039628</v>
      </c>
      <c r="Z1263">
        <v>5338.3252139603792</v>
      </c>
      <c r="AA1263">
        <v>82564</v>
      </c>
      <c r="AB1263" t="s">
        <v>242</v>
      </c>
      <c r="AC1263">
        <v>6</v>
      </c>
      <c r="AD1263">
        <v>6000</v>
      </c>
      <c r="AE1263">
        <v>0</v>
      </c>
      <c r="AF1263">
        <v>0</v>
      </c>
      <c r="AG1263">
        <v>387.60936547887428</v>
      </c>
      <c r="AH1263" t="s">
        <v>58</v>
      </c>
    </row>
    <row r="1264" spans="1:34" x14ac:dyDescent="0.3">
      <c r="A1264" t="s">
        <v>798</v>
      </c>
      <c r="B1264">
        <v>4142300300</v>
      </c>
      <c r="C1264">
        <v>10131172</v>
      </c>
      <c r="D1264" t="s">
        <v>196</v>
      </c>
      <c r="E1264" t="s">
        <v>445</v>
      </c>
      <c r="F1264" t="s">
        <v>430</v>
      </c>
      <c r="G1264" t="s">
        <v>230</v>
      </c>
      <c r="H1264" t="s">
        <v>234</v>
      </c>
      <c r="J1264" t="s">
        <v>52</v>
      </c>
      <c r="K1264" s="15">
        <v>5000</v>
      </c>
      <c r="L1264" s="15">
        <v>0</v>
      </c>
      <c r="M1264" s="13">
        <v>45200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662279.5794392525</v>
      </c>
      <c r="Y1264">
        <v>662279.5794392525</v>
      </c>
      <c r="Z1264">
        <v>46359.570560747678</v>
      </c>
      <c r="AA1264">
        <v>708639.15000000014</v>
      </c>
      <c r="AB1264" t="s">
        <v>242</v>
      </c>
      <c r="AC1264">
        <v>6</v>
      </c>
      <c r="AD1264">
        <v>100000</v>
      </c>
      <c r="AE1264">
        <v>0</v>
      </c>
      <c r="AF1264">
        <v>0</v>
      </c>
      <c r="AG1264">
        <v>6542.0560747663549</v>
      </c>
      <c r="AH1264" t="s">
        <v>58</v>
      </c>
    </row>
    <row r="1265" spans="1:34" x14ac:dyDescent="0.3">
      <c r="A1265" t="s">
        <v>798</v>
      </c>
      <c r="B1265">
        <v>4142300766</v>
      </c>
      <c r="C1265">
        <v>10354207</v>
      </c>
      <c r="D1265" t="s">
        <v>207</v>
      </c>
      <c r="E1265" t="s">
        <v>445</v>
      </c>
      <c r="F1265" t="s">
        <v>430</v>
      </c>
      <c r="G1265" t="s">
        <v>230</v>
      </c>
      <c r="H1265" t="s">
        <v>234</v>
      </c>
      <c r="J1265" t="s">
        <v>52</v>
      </c>
      <c r="K1265" s="15">
        <v>2500</v>
      </c>
      <c r="L1265" s="15">
        <v>0</v>
      </c>
      <c r="M1265" s="13">
        <v>45200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316151.96261682245</v>
      </c>
      <c r="Y1265">
        <v>316151.96261682245</v>
      </c>
      <c r="Z1265">
        <v>22130.637383177575</v>
      </c>
      <c r="AA1265">
        <v>338282.60000000003</v>
      </c>
      <c r="AB1265" t="s">
        <v>242</v>
      </c>
      <c r="AC1265">
        <v>3</v>
      </c>
      <c r="AD1265">
        <v>35000</v>
      </c>
      <c r="AE1265">
        <v>0</v>
      </c>
      <c r="AF1265">
        <v>0</v>
      </c>
      <c r="AG1265">
        <v>2289.7196261682247</v>
      </c>
      <c r="AH1265" t="s">
        <v>58</v>
      </c>
    </row>
    <row r="1266" spans="1:34" x14ac:dyDescent="0.3">
      <c r="A1266" t="s">
        <v>798</v>
      </c>
      <c r="B1266">
        <v>12200041</v>
      </c>
      <c r="C1266">
        <v>23113175</v>
      </c>
      <c r="D1266" t="s">
        <v>78</v>
      </c>
      <c r="E1266" t="s">
        <v>435</v>
      </c>
      <c r="F1266" t="s">
        <v>427</v>
      </c>
      <c r="G1266" t="s">
        <v>82</v>
      </c>
      <c r="H1266" t="s">
        <v>82</v>
      </c>
      <c r="J1266" t="s">
        <v>52</v>
      </c>
      <c r="K1266" s="15">
        <v>5000</v>
      </c>
      <c r="L1266" s="15">
        <v>0</v>
      </c>
      <c r="M1266" s="13">
        <v>45201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157565.03142572055</v>
      </c>
      <c r="W1266">
        <v>0</v>
      </c>
      <c r="X1266">
        <v>0</v>
      </c>
      <c r="Y1266">
        <v>157565.03142572055</v>
      </c>
      <c r="Z1266">
        <v>0</v>
      </c>
      <c r="AA1266">
        <v>157565.03142572055</v>
      </c>
      <c r="AB1266" t="s">
        <v>242</v>
      </c>
      <c r="AC1266">
        <v>17</v>
      </c>
      <c r="AD1266">
        <v>65000</v>
      </c>
      <c r="AE1266">
        <v>0</v>
      </c>
      <c r="AF1266">
        <v>0</v>
      </c>
      <c r="AG1266">
        <v>0</v>
      </c>
      <c r="AH1266" t="s">
        <v>58</v>
      </c>
    </row>
    <row r="1267" spans="1:34" x14ac:dyDescent="0.3">
      <c r="A1267" t="s">
        <v>798</v>
      </c>
      <c r="B1267">
        <v>52201351</v>
      </c>
      <c r="C1267">
        <v>22940816</v>
      </c>
      <c r="D1267" t="s">
        <v>155</v>
      </c>
      <c r="E1267" t="s">
        <v>438</v>
      </c>
      <c r="F1267" t="s">
        <v>431</v>
      </c>
      <c r="G1267" t="s">
        <v>82</v>
      </c>
      <c r="H1267" t="s">
        <v>83</v>
      </c>
      <c r="J1267" t="s">
        <v>52</v>
      </c>
      <c r="K1267" s="15">
        <v>800</v>
      </c>
      <c r="L1267" s="15">
        <v>0</v>
      </c>
      <c r="M1267" s="13">
        <v>45201</v>
      </c>
      <c r="O1267">
        <v>0</v>
      </c>
      <c r="P1267">
        <v>0</v>
      </c>
      <c r="Q1267">
        <v>0</v>
      </c>
      <c r="R1267">
        <v>852.20681164343046</v>
      </c>
      <c r="S1267">
        <v>26556.981341195362</v>
      </c>
      <c r="T1267">
        <v>0</v>
      </c>
      <c r="U1267">
        <v>0</v>
      </c>
      <c r="V1267">
        <v>73829.741339665459</v>
      </c>
      <c r="W1267">
        <v>0</v>
      </c>
      <c r="X1267">
        <v>0</v>
      </c>
      <c r="Y1267">
        <v>101238.92949250425</v>
      </c>
      <c r="Z1267">
        <v>7027.0705876602588</v>
      </c>
      <c r="AA1267">
        <v>108266.00008016451</v>
      </c>
      <c r="AB1267" t="s">
        <v>242</v>
      </c>
      <c r="AC1267">
        <v>4</v>
      </c>
      <c r="AD1267">
        <v>4600</v>
      </c>
      <c r="AE1267">
        <v>0</v>
      </c>
      <c r="AF1267">
        <v>0</v>
      </c>
      <c r="AG1267">
        <v>298.396707303776</v>
      </c>
      <c r="AH1267" t="s">
        <v>58</v>
      </c>
    </row>
    <row r="1268" spans="1:34" x14ac:dyDescent="0.3">
      <c r="A1268" t="s">
        <v>798</v>
      </c>
      <c r="B1268">
        <v>52200151</v>
      </c>
      <c r="C1268" t="s">
        <v>605</v>
      </c>
      <c r="D1268" t="s">
        <v>604</v>
      </c>
      <c r="E1268" t="s">
        <v>436</v>
      </c>
      <c r="F1268" t="s">
        <v>431</v>
      </c>
      <c r="G1268" t="s">
        <v>82</v>
      </c>
      <c r="H1268" t="s">
        <v>83</v>
      </c>
      <c r="J1268" t="s">
        <v>52</v>
      </c>
      <c r="K1268" s="15">
        <v>3000</v>
      </c>
      <c r="M1268" s="13">
        <v>45201</v>
      </c>
      <c r="O1268">
        <v>0</v>
      </c>
      <c r="P1268">
        <v>0</v>
      </c>
      <c r="Q1268">
        <v>0</v>
      </c>
      <c r="R1268">
        <v>589.00224945782793</v>
      </c>
      <c r="S1268">
        <v>13351.677671482335</v>
      </c>
      <c r="T1268">
        <v>0</v>
      </c>
      <c r="U1268">
        <v>0</v>
      </c>
      <c r="V1268">
        <v>85797.853792470967</v>
      </c>
      <c r="W1268">
        <v>0</v>
      </c>
      <c r="X1268">
        <v>0</v>
      </c>
      <c r="Y1268">
        <v>99738.533713411132</v>
      </c>
      <c r="Z1268">
        <v>6940.4672024767315</v>
      </c>
      <c r="AA1268">
        <v>106679.00091588787</v>
      </c>
      <c r="AB1268" t="s">
        <v>242</v>
      </c>
      <c r="AC1268">
        <v>7</v>
      </c>
      <c r="AD1268">
        <v>17500</v>
      </c>
      <c r="AE1268">
        <v>0</v>
      </c>
      <c r="AF1268">
        <v>0</v>
      </c>
      <c r="AG1268">
        <v>1138.056221927148</v>
      </c>
      <c r="AH1268" t="s">
        <v>58</v>
      </c>
    </row>
    <row r="1269" spans="1:34" x14ac:dyDescent="0.3">
      <c r="A1269" t="s">
        <v>798</v>
      </c>
      <c r="B1269">
        <v>82200020</v>
      </c>
      <c r="C1269">
        <v>901020072374</v>
      </c>
      <c r="D1269" t="s">
        <v>170</v>
      </c>
      <c r="E1269" t="s">
        <v>440</v>
      </c>
      <c r="F1269" t="s">
        <v>433</v>
      </c>
      <c r="G1269" t="s">
        <v>82</v>
      </c>
      <c r="H1269" t="s">
        <v>83</v>
      </c>
      <c r="J1269" t="s">
        <v>52</v>
      </c>
      <c r="K1269" s="15">
        <v>20000</v>
      </c>
      <c r="L1269" s="15">
        <v>0</v>
      </c>
      <c r="M1269" s="13">
        <v>45203</v>
      </c>
      <c r="O1269">
        <v>0</v>
      </c>
      <c r="P1269">
        <v>0</v>
      </c>
      <c r="Q1269">
        <v>69599.030469066405</v>
      </c>
      <c r="R1269">
        <v>2111.77</v>
      </c>
      <c r="S1269">
        <v>35749.902832648208</v>
      </c>
      <c r="T1269">
        <v>0</v>
      </c>
      <c r="U1269">
        <v>0</v>
      </c>
      <c r="V1269">
        <v>898888.94</v>
      </c>
      <c r="W1269">
        <v>0</v>
      </c>
      <c r="X1269">
        <v>0</v>
      </c>
      <c r="Y1269">
        <v>1006349.6433017146</v>
      </c>
      <c r="Z1269">
        <v>65424.718998285382</v>
      </c>
      <c r="AA1269">
        <v>1071774.3622999999</v>
      </c>
      <c r="AB1269" t="s">
        <v>242</v>
      </c>
      <c r="AC1269">
        <v>1</v>
      </c>
      <c r="AD1269">
        <v>20000</v>
      </c>
      <c r="AE1269">
        <v>0</v>
      </c>
      <c r="AF1269">
        <v>0</v>
      </c>
      <c r="AG1269">
        <v>1215.0633017146247</v>
      </c>
      <c r="AH1269" t="s">
        <v>72</v>
      </c>
    </row>
    <row r="1270" spans="1:34" x14ac:dyDescent="0.3">
      <c r="A1270" t="s">
        <v>798</v>
      </c>
      <c r="B1270">
        <v>4142300444</v>
      </c>
      <c r="C1270" t="s">
        <v>491</v>
      </c>
      <c r="D1270" t="s">
        <v>563</v>
      </c>
      <c r="E1270" t="s">
        <v>445</v>
      </c>
      <c r="F1270" t="s">
        <v>430</v>
      </c>
      <c r="G1270" t="s">
        <v>230</v>
      </c>
      <c r="H1270" t="s">
        <v>234</v>
      </c>
      <c r="J1270" t="s">
        <v>416</v>
      </c>
      <c r="K1270" s="15">
        <v>0.19305055134821081</v>
      </c>
      <c r="L1270" s="15">
        <v>0</v>
      </c>
      <c r="M1270" s="13">
        <v>45203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373831.77570093458</v>
      </c>
      <c r="Y1270">
        <v>373831.77570093458</v>
      </c>
      <c r="Z1270">
        <v>26168.224299065423</v>
      </c>
      <c r="AA1270">
        <v>400000</v>
      </c>
      <c r="AB1270" t="s">
        <v>242</v>
      </c>
      <c r="AC1270">
        <v>1</v>
      </c>
      <c r="AD1270">
        <v>2000</v>
      </c>
      <c r="AE1270">
        <v>0</v>
      </c>
      <c r="AF1270">
        <v>0</v>
      </c>
      <c r="AG1270">
        <v>130.84112149532712</v>
      </c>
      <c r="AH1270" t="s">
        <v>58</v>
      </c>
    </row>
    <row r="1271" spans="1:34" x14ac:dyDescent="0.3">
      <c r="A1271" t="s">
        <v>798</v>
      </c>
      <c r="B1271">
        <v>62200095</v>
      </c>
      <c r="C1271" t="s">
        <v>640</v>
      </c>
      <c r="D1271" t="s">
        <v>639</v>
      </c>
      <c r="E1271" t="s">
        <v>435</v>
      </c>
      <c r="F1271" t="s">
        <v>432</v>
      </c>
      <c r="G1271" t="s">
        <v>235</v>
      </c>
      <c r="H1271" t="s">
        <v>235</v>
      </c>
      <c r="J1271" t="s">
        <v>52</v>
      </c>
      <c r="K1271" s="15">
        <v>2000</v>
      </c>
      <c r="M1271" s="13">
        <v>45203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42352.790000000008</v>
      </c>
      <c r="W1271">
        <v>0</v>
      </c>
      <c r="X1271">
        <v>0</v>
      </c>
      <c r="Y1271">
        <v>42352.790000000008</v>
      </c>
      <c r="Z1271">
        <v>0</v>
      </c>
      <c r="AA1271">
        <v>42352.790000000008</v>
      </c>
      <c r="AB1271" t="s">
        <v>242</v>
      </c>
      <c r="AC1271">
        <v>7</v>
      </c>
      <c r="AD1271">
        <v>14000</v>
      </c>
      <c r="AE1271">
        <v>0</v>
      </c>
      <c r="AF1271">
        <v>0</v>
      </c>
      <c r="AG1271">
        <v>0</v>
      </c>
      <c r="AH1271" t="s">
        <v>58</v>
      </c>
    </row>
    <row r="1272" spans="1:34" x14ac:dyDescent="0.3">
      <c r="A1272" t="s">
        <v>798</v>
      </c>
      <c r="B1272">
        <v>12200168</v>
      </c>
      <c r="C1272">
        <v>22304640</v>
      </c>
      <c r="D1272" t="s">
        <v>116</v>
      </c>
      <c r="E1272" t="s">
        <v>438</v>
      </c>
      <c r="F1272" t="s">
        <v>427</v>
      </c>
      <c r="G1272" t="s">
        <v>82</v>
      </c>
      <c r="H1272" t="s">
        <v>82</v>
      </c>
      <c r="J1272" t="s">
        <v>52</v>
      </c>
      <c r="K1272" s="15">
        <v>4830</v>
      </c>
      <c r="L1272" s="15">
        <v>0</v>
      </c>
      <c r="M1272" s="13">
        <v>45204</v>
      </c>
      <c r="O1272">
        <v>0</v>
      </c>
      <c r="P1272">
        <v>0</v>
      </c>
      <c r="Q1272">
        <v>0</v>
      </c>
      <c r="R1272">
        <v>0</v>
      </c>
      <c r="S1272">
        <v>24171.057465295118</v>
      </c>
      <c r="T1272">
        <v>0</v>
      </c>
      <c r="U1272">
        <v>0</v>
      </c>
      <c r="V1272">
        <v>265200.49260584638</v>
      </c>
      <c r="W1272">
        <v>0</v>
      </c>
      <c r="X1272">
        <v>0</v>
      </c>
      <c r="Y1272">
        <v>289371.55007114151</v>
      </c>
      <c r="Z1272">
        <v>0</v>
      </c>
      <c r="AA1272">
        <v>289371.55007114151</v>
      </c>
      <c r="AB1272" t="s">
        <v>242</v>
      </c>
      <c r="AC1272">
        <v>8</v>
      </c>
      <c r="AD1272">
        <v>55830</v>
      </c>
      <c r="AE1272">
        <v>0</v>
      </c>
      <c r="AF1272">
        <v>0</v>
      </c>
      <c r="AG1272">
        <v>0</v>
      </c>
      <c r="AH1272" t="s">
        <v>58</v>
      </c>
    </row>
    <row r="1273" spans="1:34" x14ac:dyDescent="0.3">
      <c r="A1273" t="s">
        <v>798</v>
      </c>
      <c r="B1273">
        <v>42201317</v>
      </c>
      <c r="C1273">
        <v>2757009008</v>
      </c>
      <c r="D1273" t="s">
        <v>832</v>
      </c>
      <c r="E1273" t="s">
        <v>439</v>
      </c>
      <c r="F1273" t="s">
        <v>430</v>
      </c>
      <c r="G1273" t="s">
        <v>230</v>
      </c>
      <c r="H1273" t="s">
        <v>234</v>
      </c>
      <c r="J1273" t="s">
        <v>52</v>
      </c>
      <c r="K1273" s="15">
        <v>1000</v>
      </c>
      <c r="L1273" s="15">
        <v>0</v>
      </c>
      <c r="M1273" s="13">
        <v>45204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411495.3271028038</v>
      </c>
      <c r="Y1273">
        <v>411495.3271028038</v>
      </c>
      <c r="Z1273">
        <v>28804.672897196269</v>
      </c>
      <c r="AA1273">
        <v>440300.00000000006</v>
      </c>
      <c r="AB1273" t="s">
        <v>242</v>
      </c>
      <c r="AC1273">
        <v>6</v>
      </c>
      <c r="AD1273">
        <v>6000</v>
      </c>
      <c r="AE1273">
        <v>0</v>
      </c>
      <c r="AF1273">
        <v>0</v>
      </c>
      <c r="AG1273">
        <v>392.52336448598135</v>
      </c>
      <c r="AH1273" t="s">
        <v>58</v>
      </c>
    </row>
    <row r="1274" spans="1:34" x14ac:dyDescent="0.3">
      <c r="A1274" t="s">
        <v>798</v>
      </c>
      <c r="B1274">
        <v>52200247</v>
      </c>
      <c r="C1274">
        <v>23477201</v>
      </c>
      <c r="D1274" t="s">
        <v>135</v>
      </c>
      <c r="E1274" t="s">
        <v>436</v>
      </c>
      <c r="F1274" t="s">
        <v>431</v>
      </c>
      <c r="G1274" t="s">
        <v>82</v>
      </c>
      <c r="H1274" t="s">
        <v>83</v>
      </c>
      <c r="J1274" t="s">
        <v>52</v>
      </c>
      <c r="K1274" s="15">
        <v>1000</v>
      </c>
      <c r="L1274" s="15">
        <v>0</v>
      </c>
      <c r="M1274" s="13">
        <v>45204</v>
      </c>
      <c r="O1274">
        <v>0</v>
      </c>
      <c r="P1274">
        <v>0</v>
      </c>
      <c r="Q1274">
        <v>0</v>
      </c>
      <c r="R1274">
        <v>597.11622254422639</v>
      </c>
      <c r="S1274">
        <v>5663.754343503957</v>
      </c>
      <c r="T1274">
        <v>0</v>
      </c>
      <c r="U1274">
        <v>0</v>
      </c>
      <c r="V1274">
        <v>46605.297542143431</v>
      </c>
      <c r="W1274">
        <v>0</v>
      </c>
      <c r="X1274">
        <v>0</v>
      </c>
      <c r="Y1274">
        <v>52866.168108191618</v>
      </c>
      <c r="Z1274">
        <v>3658.8336319953173</v>
      </c>
      <c r="AA1274">
        <v>56525.001740186934</v>
      </c>
      <c r="AB1274" t="s">
        <v>242</v>
      </c>
      <c r="AC1274">
        <v>6</v>
      </c>
      <c r="AD1274">
        <v>17000</v>
      </c>
      <c r="AE1274">
        <v>0</v>
      </c>
      <c r="AF1274">
        <v>0</v>
      </c>
      <c r="AG1274">
        <v>1099.4001267085016</v>
      </c>
      <c r="AH1274" t="s">
        <v>58</v>
      </c>
    </row>
    <row r="1275" spans="1:34" x14ac:dyDescent="0.3">
      <c r="A1275" t="s">
        <v>798</v>
      </c>
      <c r="B1275">
        <v>52200619</v>
      </c>
      <c r="C1275">
        <v>6102060118</v>
      </c>
      <c r="D1275" t="s">
        <v>138</v>
      </c>
      <c r="E1275" t="s">
        <v>437</v>
      </c>
      <c r="F1275" t="s">
        <v>431</v>
      </c>
      <c r="G1275" t="s">
        <v>82</v>
      </c>
      <c r="H1275" t="s">
        <v>83</v>
      </c>
      <c r="J1275" t="s">
        <v>52</v>
      </c>
      <c r="K1275" s="15">
        <v>800</v>
      </c>
      <c r="L1275" s="15">
        <v>0</v>
      </c>
      <c r="M1275" s="13">
        <v>45204</v>
      </c>
      <c r="O1275">
        <v>0</v>
      </c>
      <c r="P1275">
        <v>0</v>
      </c>
      <c r="Q1275">
        <v>0</v>
      </c>
      <c r="R1275">
        <v>0</v>
      </c>
      <c r="S1275">
        <v>210.91588785046736</v>
      </c>
      <c r="T1275">
        <v>0</v>
      </c>
      <c r="U1275">
        <v>0</v>
      </c>
      <c r="V1275">
        <v>10196.728971962617</v>
      </c>
      <c r="W1275">
        <v>0</v>
      </c>
      <c r="X1275">
        <v>0</v>
      </c>
      <c r="Y1275">
        <v>10407.644859813085</v>
      </c>
      <c r="Z1275">
        <v>728.53514018691601</v>
      </c>
      <c r="AA1275">
        <v>11136.18</v>
      </c>
      <c r="AB1275" t="s">
        <v>242</v>
      </c>
      <c r="AC1275">
        <v>11</v>
      </c>
      <c r="AD1275">
        <v>6800</v>
      </c>
      <c r="AE1275">
        <v>0</v>
      </c>
      <c r="AF1275">
        <v>0</v>
      </c>
      <c r="AG1275">
        <v>444.85981308411215</v>
      </c>
      <c r="AH1275" t="s">
        <v>58</v>
      </c>
    </row>
    <row r="1276" spans="1:34" x14ac:dyDescent="0.3">
      <c r="A1276" t="s">
        <v>798</v>
      </c>
      <c r="B1276">
        <v>2200002</v>
      </c>
      <c r="C1276" t="s">
        <v>645</v>
      </c>
      <c r="D1276" t="s">
        <v>407</v>
      </c>
      <c r="E1276" t="s">
        <v>435</v>
      </c>
      <c r="F1276" t="s">
        <v>426</v>
      </c>
      <c r="G1276" t="s">
        <v>235</v>
      </c>
      <c r="H1276" t="s">
        <v>235</v>
      </c>
      <c r="J1276" t="s">
        <v>52</v>
      </c>
      <c r="K1276" s="15">
        <v>5000</v>
      </c>
      <c r="M1276" s="13">
        <v>45204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98625</v>
      </c>
      <c r="W1276">
        <v>0</v>
      </c>
      <c r="X1276">
        <v>0</v>
      </c>
      <c r="Y1276">
        <v>98625</v>
      </c>
      <c r="Z1276">
        <v>0</v>
      </c>
      <c r="AA1276">
        <v>98625</v>
      </c>
      <c r="AB1276" t="s">
        <v>242</v>
      </c>
      <c r="AC1276">
        <v>6</v>
      </c>
      <c r="AD1276">
        <v>30000</v>
      </c>
      <c r="AE1276">
        <v>0</v>
      </c>
      <c r="AF1276">
        <v>0</v>
      </c>
      <c r="AG1276">
        <v>0</v>
      </c>
      <c r="AH1276" t="s">
        <v>58</v>
      </c>
    </row>
    <row r="1277" spans="1:34" x14ac:dyDescent="0.3">
      <c r="A1277" t="s">
        <v>798</v>
      </c>
      <c r="B1277">
        <v>2200003</v>
      </c>
      <c r="C1277" t="s">
        <v>646</v>
      </c>
      <c r="D1277" t="s">
        <v>407</v>
      </c>
      <c r="E1277" t="s">
        <v>435</v>
      </c>
      <c r="F1277" t="s">
        <v>426</v>
      </c>
      <c r="G1277" t="s">
        <v>235</v>
      </c>
      <c r="H1277" t="s">
        <v>235</v>
      </c>
      <c r="J1277" t="s">
        <v>52</v>
      </c>
      <c r="K1277" s="15">
        <v>5000</v>
      </c>
      <c r="M1277" s="13">
        <v>45204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108250</v>
      </c>
      <c r="W1277">
        <v>0</v>
      </c>
      <c r="X1277">
        <v>0</v>
      </c>
      <c r="Y1277">
        <v>108250</v>
      </c>
      <c r="Z1277">
        <v>0</v>
      </c>
      <c r="AA1277">
        <v>108250</v>
      </c>
      <c r="AB1277" t="s">
        <v>242</v>
      </c>
      <c r="AC1277">
        <v>6</v>
      </c>
      <c r="AD1277">
        <v>30000</v>
      </c>
      <c r="AE1277">
        <v>0</v>
      </c>
      <c r="AF1277">
        <v>0</v>
      </c>
      <c r="AG1277">
        <v>0</v>
      </c>
      <c r="AH1277" t="s">
        <v>58</v>
      </c>
    </row>
    <row r="1278" spans="1:34" x14ac:dyDescent="0.3">
      <c r="A1278" t="s">
        <v>798</v>
      </c>
      <c r="B1278">
        <v>52200012</v>
      </c>
      <c r="C1278" t="s">
        <v>638</v>
      </c>
      <c r="D1278" t="s">
        <v>637</v>
      </c>
      <c r="E1278" t="s">
        <v>435</v>
      </c>
      <c r="F1278" t="s">
        <v>431</v>
      </c>
      <c r="G1278" t="s">
        <v>230</v>
      </c>
      <c r="H1278" t="s">
        <v>231</v>
      </c>
      <c r="J1278" t="s">
        <v>52</v>
      </c>
      <c r="K1278" s="15">
        <v>2500</v>
      </c>
      <c r="M1278" s="13">
        <v>45204</v>
      </c>
      <c r="O1278">
        <v>4540.3910777812898</v>
      </c>
      <c r="P1278">
        <v>0</v>
      </c>
      <c r="Q1278">
        <v>0</v>
      </c>
      <c r="R1278">
        <v>0</v>
      </c>
      <c r="S1278">
        <v>0</v>
      </c>
      <c r="T1278">
        <v>20840.756002073551</v>
      </c>
      <c r="U1278">
        <v>0</v>
      </c>
      <c r="V1278">
        <v>0</v>
      </c>
      <c r="W1278">
        <v>42990.654205607476</v>
      </c>
      <c r="X1278">
        <v>0</v>
      </c>
      <c r="Y1278">
        <v>68371.801285462308</v>
      </c>
      <c r="Z1278">
        <v>4468.1987145376725</v>
      </c>
      <c r="AA1278">
        <v>72839.999999999985</v>
      </c>
      <c r="AB1278" t="s">
        <v>242</v>
      </c>
      <c r="AC1278">
        <v>8</v>
      </c>
      <c r="AD1278">
        <v>18800</v>
      </c>
      <c r="AE1278">
        <v>0</v>
      </c>
      <c r="AF1278">
        <v>0</v>
      </c>
      <c r="AG1278">
        <v>1147.5022200417666</v>
      </c>
      <c r="AH1278" t="s">
        <v>58</v>
      </c>
    </row>
    <row r="1279" spans="1:34" x14ac:dyDescent="0.3">
      <c r="A1279" t="s">
        <v>798</v>
      </c>
      <c r="B1279">
        <v>62200092</v>
      </c>
      <c r="C1279" t="s">
        <v>659</v>
      </c>
      <c r="D1279" t="s">
        <v>658</v>
      </c>
      <c r="E1279" t="s">
        <v>435</v>
      </c>
      <c r="F1279" t="s">
        <v>432</v>
      </c>
      <c r="G1279" t="s">
        <v>235</v>
      </c>
      <c r="H1279" t="s">
        <v>235</v>
      </c>
      <c r="J1279" t="s">
        <v>52</v>
      </c>
      <c r="K1279" s="15">
        <v>3000</v>
      </c>
      <c r="M1279" s="13">
        <v>45204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51618.739999999991</v>
      </c>
      <c r="W1279">
        <v>0</v>
      </c>
      <c r="X1279">
        <v>0</v>
      </c>
      <c r="Y1279">
        <v>51618.739999999991</v>
      </c>
      <c r="Z1279">
        <v>0</v>
      </c>
      <c r="AA1279">
        <v>51618.739999999991</v>
      </c>
      <c r="AB1279" t="s">
        <v>242</v>
      </c>
      <c r="AC1279">
        <v>4</v>
      </c>
      <c r="AD1279">
        <v>12000</v>
      </c>
      <c r="AE1279">
        <v>0</v>
      </c>
      <c r="AF1279">
        <v>0</v>
      </c>
      <c r="AG1279">
        <v>0</v>
      </c>
      <c r="AH1279" t="s">
        <v>58</v>
      </c>
    </row>
    <row r="1280" spans="1:34" x14ac:dyDescent="0.3">
      <c r="A1280" t="s">
        <v>798</v>
      </c>
      <c r="B1280">
        <v>52200185</v>
      </c>
      <c r="C1280">
        <v>24837727</v>
      </c>
      <c r="D1280" t="s">
        <v>133</v>
      </c>
      <c r="E1280" t="s">
        <v>436</v>
      </c>
      <c r="F1280" t="s">
        <v>431</v>
      </c>
      <c r="G1280" t="s">
        <v>82</v>
      </c>
      <c r="H1280" t="s">
        <v>83</v>
      </c>
      <c r="J1280" t="s">
        <v>52</v>
      </c>
      <c r="K1280" s="15">
        <v>2000</v>
      </c>
      <c r="L1280" s="15">
        <v>0</v>
      </c>
      <c r="M1280" s="13">
        <v>45205</v>
      </c>
      <c r="O1280">
        <v>0</v>
      </c>
      <c r="P1280">
        <v>0</v>
      </c>
      <c r="Q1280">
        <v>0</v>
      </c>
      <c r="R1280">
        <v>910.14366385386597</v>
      </c>
      <c r="S1280">
        <v>15762.12050980554</v>
      </c>
      <c r="T1280">
        <v>0</v>
      </c>
      <c r="U1280">
        <v>0</v>
      </c>
      <c r="V1280">
        <v>51964.847111538125</v>
      </c>
      <c r="W1280">
        <v>0</v>
      </c>
      <c r="X1280">
        <v>0</v>
      </c>
      <c r="Y1280">
        <v>68637.111285197534</v>
      </c>
      <c r="Z1280">
        <v>4740.8877334940571</v>
      </c>
      <c r="AA1280">
        <v>73377.999018691597</v>
      </c>
      <c r="AB1280" t="s">
        <v>242</v>
      </c>
      <c r="AC1280">
        <v>3</v>
      </c>
      <c r="AD1280">
        <v>6000</v>
      </c>
      <c r="AE1280">
        <v>0</v>
      </c>
      <c r="AF1280">
        <v>0</v>
      </c>
      <c r="AG1280">
        <v>387.2991181960474</v>
      </c>
      <c r="AH1280" t="s">
        <v>58</v>
      </c>
    </row>
    <row r="1281" spans="1:34" x14ac:dyDescent="0.3">
      <c r="A1281" t="s">
        <v>798</v>
      </c>
      <c r="B1281">
        <v>4142300131</v>
      </c>
      <c r="C1281" t="s">
        <v>478</v>
      </c>
      <c r="D1281" t="s">
        <v>551</v>
      </c>
      <c r="E1281" t="s">
        <v>445</v>
      </c>
      <c r="F1281" t="s">
        <v>430</v>
      </c>
      <c r="G1281" t="s">
        <v>230</v>
      </c>
      <c r="H1281" t="s">
        <v>234</v>
      </c>
      <c r="J1281" t="s">
        <v>416</v>
      </c>
      <c r="K1281" s="15">
        <v>8.7602716682130488E-2</v>
      </c>
      <c r="L1281" s="15">
        <v>0</v>
      </c>
      <c r="M1281" s="13">
        <v>45205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125558.8785046729</v>
      </c>
      <c r="Y1281">
        <v>125558.8785046729</v>
      </c>
      <c r="Z1281">
        <v>8789.1214953271046</v>
      </c>
      <c r="AA1281">
        <v>134348</v>
      </c>
      <c r="AB1281" t="s">
        <v>242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 t="s">
        <v>72</v>
      </c>
    </row>
    <row r="1282" spans="1:34" x14ac:dyDescent="0.3">
      <c r="A1282" t="s">
        <v>798</v>
      </c>
      <c r="B1282">
        <v>4142300131</v>
      </c>
      <c r="C1282" t="s">
        <v>478</v>
      </c>
      <c r="D1282" t="s">
        <v>551</v>
      </c>
      <c r="E1282" t="s">
        <v>445</v>
      </c>
      <c r="F1282" t="s">
        <v>430</v>
      </c>
      <c r="G1282" t="s">
        <v>421</v>
      </c>
      <c r="H1282" t="s">
        <v>234</v>
      </c>
      <c r="J1282" t="s">
        <v>52</v>
      </c>
      <c r="K1282" s="15">
        <v>134348</v>
      </c>
      <c r="L1282" s="15">
        <v>0</v>
      </c>
      <c r="M1282" s="13">
        <v>45205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 t="s">
        <v>242</v>
      </c>
      <c r="AC1282">
        <v>1</v>
      </c>
      <c r="AD1282">
        <v>134348</v>
      </c>
      <c r="AE1282">
        <v>0</v>
      </c>
      <c r="AF1282">
        <v>0</v>
      </c>
      <c r="AG1282">
        <v>8789.1214953270974</v>
      </c>
      <c r="AH1282" t="s">
        <v>58</v>
      </c>
    </row>
    <row r="1283" spans="1:34" x14ac:dyDescent="0.3">
      <c r="A1283" t="s">
        <v>798</v>
      </c>
      <c r="B1283">
        <v>42200737</v>
      </c>
      <c r="C1283">
        <v>2754011893</v>
      </c>
      <c r="D1283" t="s">
        <v>126</v>
      </c>
      <c r="E1283" t="s">
        <v>439</v>
      </c>
      <c r="F1283" t="s">
        <v>430</v>
      </c>
      <c r="G1283" t="s">
        <v>233</v>
      </c>
      <c r="H1283" t="s">
        <v>234</v>
      </c>
      <c r="J1283" t="s">
        <v>52</v>
      </c>
      <c r="K1283" s="15">
        <v>1000</v>
      </c>
      <c r="L1283" s="15">
        <v>0</v>
      </c>
      <c r="M1283" s="13">
        <v>45206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573841.96261682222</v>
      </c>
      <c r="Y1283">
        <v>573841.96261682222</v>
      </c>
      <c r="Z1283">
        <v>40168.937383177559</v>
      </c>
      <c r="AA1283">
        <v>614010.89999999979</v>
      </c>
      <c r="AB1283" t="s">
        <v>242</v>
      </c>
      <c r="AC1283">
        <v>5</v>
      </c>
      <c r="AD1283">
        <v>5000</v>
      </c>
      <c r="AE1283">
        <v>0</v>
      </c>
      <c r="AF1283">
        <v>0</v>
      </c>
      <c r="AG1283">
        <v>327.10280373831779</v>
      </c>
      <c r="AH1283" t="s">
        <v>58</v>
      </c>
    </row>
    <row r="1284" spans="1:34" x14ac:dyDescent="0.3">
      <c r="A1284" t="s">
        <v>798</v>
      </c>
      <c r="B1284">
        <v>42200889</v>
      </c>
      <c r="C1284">
        <v>2754011907</v>
      </c>
      <c r="D1284" t="s">
        <v>126</v>
      </c>
      <c r="E1284" t="s">
        <v>439</v>
      </c>
      <c r="F1284" t="s">
        <v>430</v>
      </c>
      <c r="G1284" t="s">
        <v>233</v>
      </c>
      <c r="H1284" t="s">
        <v>234</v>
      </c>
      <c r="J1284" t="s">
        <v>52</v>
      </c>
      <c r="K1284" s="15">
        <v>1000</v>
      </c>
      <c r="L1284" s="15">
        <v>0</v>
      </c>
      <c r="M1284" s="13">
        <v>45206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383870.09345794399</v>
      </c>
      <c r="Y1284">
        <v>383870.09345794399</v>
      </c>
      <c r="Z1284">
        <v>26870.906542056084</v>
      </c>
      <c r="AA1284">
        <v>410741.00000000006</v>
      </c>
      <c r="AB1284" t="s">
        <v>242</v>
      </c>
      <c r="AC1284">
        <v>3</v>
      </c>
      <c r="AD1284">
        <v>3000</v>
      </c>
      <c r="AE1284">
        <v>0</v>
      </c>
      <c r="AF1284">
        <v>0</v>
      </c>
      <c r="AG1284">
        <v>196.26168224299067</v>
      </c>
      <c r="AH1284" t="s">
        <v>58</v>
      </c>
    </row>
    <row r="1285" spans="1:34" x14ac:dyDescent="0.3">
      <c r="A1285" t="s">
        <v>798</v>
      </c>
      <c r="B1285">
        <v>52201277</v>
      </c>
      <c r="C1285">
        <v>26285645</v>
      </c>
      <c r="D1285" t="s">
        <v>153</v>
      </c>
      <c r="E1285" t="s">
        <v>438</v>
      </c>
      <c r="F1285" t="s">
        <v>431</v>
      </c>
      <c r="G1285" t="s">
        <v>82</v>
      </c>
      <c r="H1285" t="s">
        <v>83</v>
      </c>
      <c r="J1285" t="s">
        <v>52</v>
      </c>
      <c r="K1285" s="15">
        <v>2000</v>
      </c>
      <c r="L1285" s="15">
        <v>0</v>
      </c>
      <c r="M1285" s="13">
        <v>45206</v>
      </c>
      <c r="O1285">
        <v>0</v>
      </c>
      <c r="P1285">
        <v>0</v>
      </c>
      <c r="Q1285">
        <v>0</v>
      </c>
      <c r="R1285">
        <v>805.29313350384223</v>
      </c>
      <c r="S1285">
        <v>32538.244206064061</v>
      </c>
      <c r="T1285">
        <v>0</v>
      </c>
      <c r="U1285">
        <v>0</v>
      </c>
      <c r="V1285">
        <v>56278.303900452571</v>
      </c>
      <c r="W1285">
        <v>0</v>
      </c>
      <c r="X1285">
        <v>0</v>
      </c>
      <c r="Y1285">
        <v>89621.841240020469</v>
      </c>
      <c r="Z1285">
        <v>6217.1583674561643</v>
      </c>
      <c r="AA1285">
        <v>95838.999607476639</v>
      </c>
      <c r="AB1285" t="s">
        <v>242</v>
      </c>
      <c r="AC1285">
        <v>5</v>
      </c>
      <c r="AD1285">
        <v>9500</v>
      </c>
      <c r="AE1285">
        <v>0</v>
      </c>
      <c r="AF1285">
        <v>0</v>
      </c>
      <c r="AG1285">
        <v>615.88833583669998</v>
      </c>
      <c r="AH1285" t="s">
        <v>58</v>
      </c>
    </row>
    <row r="1286" spans="1:34" x14ac:dyDescent="0.3">
      <c r="A1286" t="s">
        <v>798</v>
      </c>
      <c r="B1286">
        <v>4132300266</v>
      </c>
      <c r="C1286">
        <v>1100168312</v>
      </c>
      <c r="D1286" t="s">
        <v>173</v>
      </c>
      <c r="E1286" t="s">
        <v>441</v>
      </c>
      <c r="F1286" t="s">
        <v>430</v>
      </c>
      <c r="G1286" t="s">
        <v>235</v>
      </c>
      <c r="H1286" t="s">
        <v>236</v>
      </c>
      <c r="J1286" t="s">
        <v>52</v>
      </c>
      <c r="K1286" s="15">
        <v>2000</v>
      </c>
      <c r="L1286" s="15">
        <v>0</v>
      </c>
      <c r="M1286" s="13">
        <v>45207</v>
      </c>
      <c r="O1286">
        <v>0</v>
      </c>
      <c r="P1286">
        <v>0</v>
      </c>
      <c r="Q1286">
        <v>0</v>
      </c>
      <c r="R1286">
        <v>0</v>
      </c>
      <c r="S1286">
        <v>83480.191061811769</v>
      </c>
      <c r="T1286">
        <v>0</v>
      </c>
      <c r="U1286">
        <v>0</v>
      </c>
      <c r="V1286">
        <v>217807.78456647985</v>
      </c>
      <c r="W1286">
        <v>0</v>
      </c>
      <c r="X1286">
        <v>0</v>
      </c>
      <c r="Y1286">
        <v>301287.97562829161</v>
      </c>
      <c r="Z1286">
        <v>15246.544919653592</v>
      </c>
      <c r="AA1286">
        <v>316534.52054794517</v>
      </c>
      <c r="AB1286" t="s">
        <v>242</v>
      </c>
      <c r="AC1286">
        <v>1</v>
      </c>
      <c r="AD1286">
        <v>2000</v>
      </c>
      <c r="AE1286">
        <v>0</v>
      </c>
      <c r="AF1286">
        <v>0</v>
      </c>
      <c r="AG1286">
        <v>94.576575673512934</v>
      </c>
      <c r="AH1286" t="s">
        <v>72</v>
      </c>
    </row>
    <row r="1287" spans="1:34" x14ac:dyDescent="0.3">
      <c r="A1287" t="s">
        <v>798</v>
      </c>
      <c r="B1287">
        <v>4142300448</v>
      </c>
      <c r="C1287">
        <v>10189967</v>
      </c>
      <c r="D1287" t="s">
        <v>282</v>
      </c>
      <c r="E1287" t="s">
        <v>445</v>
      </c>
      <c r="F1287" t="s">
        <v>430</v>
      </c>
      <c r="G1287" t="s">
        <v>237</v>
      </c>
      <c r="H1287" t="s">
        <v>234</v>
      </c>
      <c r="J1287" t="s">
        <v>425</v>
      </c>
      <c r="K1287" s="15">
        <v>70000</v>
      </c>
      <c r="L1287" s="15">
        <v>2609</v>
      </c>
      <c r="M1287" s="13">
        <v>45208</v>
      </c>
      <c r="O1287">
        <v>2609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102442.70093457945</v>
      </c>
      <c r="Y1287">
        <v>105051.70093457945</v>
      </c>
      <c r="Z1287">
        <v>7170.9890654205619</v>
      </c>
      <c r="AA1287">
        <v>112222.69000000002</v>
      </c>
      <c r="AB1287" t="s">
        <v>242</v>
      </c>
      <c r="AC1287">
        <v>0</v>
      </c>
      <c r="AD1287">
        <v>0</v>
      </c>
      <c r="AE1287">
        <v>0</v>
      </c>
      <c r="AF1287">
        <v>74900</v>
      </c>
      <c r="AG1287">
        <v>4900</v>
      </c>
      <c r="AH1287" t="s">
        <v>72</v>
      </c>
    </row>
    <row r="1288" spans="1:34" x14ac:dyDescent="0.3">
      <c r="A1288" t="s">
        <v>798</v>
      </c>
      <c r="B1288">
        <v>52200750</v>
      </c>
      <c r="C1288">
        <v>26151957</v>
      </c>
      <c r="D1288" t="s">
        <v>141</v>
      </c>
      <c r="E1288" t="s">
        <v>438</v>
      </c>
      <c r="F1288" t="s">
        <v>431</v>
      </c>
      <c r="G1288" t="s">
        <v>82</v>
      </c>
      <c r="H1288" t="s">
        <v>83</v>
      </c>
      <c r="J1288" t="s">
        <v>52</v>
      </c>
      <c r="K1288" s="15">
        <v>1000</v>
      </c>
      <c r="L1288" s="15">
        <v>0</v>
      </c>
      <c r="M1288" s="13">
        <v>45208</v>
      </c>
      <c r="O1288">
        <v>0</v>
      </c>
      <c r="P1288">
        <v>0</v>
      </c>
      <c r="Q1288">
        <v>0</v>
      </c>
      <c r="R1288">
        <v>857.47181834747312</v>
      </c>
      <c r="S1288">
        <v>22933.13938047276</v>
      </c>
      <c r="T1288">
        <v>0</v>
      </c>
      <c r="U1288">
        <v>0</v>
      </c>
      <c r="V1288">
        <v>47756.1392450563</v>
      </c>
      <c r="W1288">
        <v>0</v>
      </c>
      <c r="X1288">
        <v>0</v>
      </c>
      <c r="Y1288">
        <v>71546.750443876532</v>
      </c>
      <c r="Z1288">
        <v>4948.249503787034</v>
      </c>
      <c r="AA1288">
        <v>76494.999947663571</v>
      </c>
      <c r="AB1288" t="s">
        <v>242</v>
      </c>
      <c r="AC1288">
        <v>10</v>
      </c>
      <c r="AD1288">
        <v>11000</v>
      </c>
      <c r="AE1288">
        <v>0</v>
      </c>
      <c r="AF1288">
        <v>0</v>
      </c>
      <c r="AG1288">
        <v>710.95610026572274</v>
      </c>
      <c r="AH1288" t="s">
        <v>58</v>
      </c>
    </row>
    <row r="1289" spans="1:34" x14ac:dyDescent="0.3">
      <c r="A1289" t="s">
        <v>798</v>
      </c>
      <c r="B1289">
        <v>4142300221</v>
      </c>
      <c r="C1289">
        <v>10089343</v>
      </c>
      <c r="D1289" t="s">
        <v>194</v>
      </c>
      <c r="E1289" t="s">
        <v>445</v>
      </c>
      <c r="F1289" t="s">
        <v>430</v>
      </c>
      <c r="G1289" t="s">
        <v>230</v>
      </c>
      <c r="H1289" t="s">
        <v>234</v>
      </c>
      <c r="J1289" t="s">
        <v>52</v>
      </c>
      <c r="K1289" s="15">
        <v>15000</v>
      </c>
      <c r="L1289" s="15">
        <v>0</v>
      </c>
      <c r="M1289" s="13">
        <v>45208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130432.71028037385</v>
      </c>
      <c r="Y1289">
        <v>130432.71028037385</v>
      </c>
      <c r="Z1289">
        <v>9130.2897196261711</v>
      </c>
      <c r="AA1289">
        <v>139563.00000000003</v>
      </c>
      <c r="AB1289" t="s">
        <v>242</v>
      </c>
      <c r="AC1289">
        <v>4</v>
      </c>
      <c r="AD1289">
        <v>55000</v>
      </c>
      <c r="AE1289">
        <v>0</v>
      </c>
      <c r="AF1289">
        <v>0</v>
      </c>
      <c r="AG1289">
        <v>3598.1308411214959</v>
      </c>
      <c r="AH1289" t="s">
        <v>58</v>
      </c>
    </row>
    <row r="1290" spans="1:34" x14ac:dyDescent="0.3">
      <c r="A1290" t="s">
        <v>798</v>
      </c>
      <c r="B1290">
        <v>4142300425</v>
      </c>
      <c r="C1290">
        <v>10188307</v>
      </c>
      <c r="D1290" t="s">
        <v>199</v>
      </c>
      <c r="E1290" t="s">
        <v>445</v>
      </c>
      <c r="F1290" t="s">
        <v>430</v>
      </c>
      <c r="G1290" t="s">
        <v>230</v>
      </c>
      <c r="H1290" t="s">
        <v>234</v>
      </c>
      <c r="J1290" t="s">
        <v>52</v>
      </c>
      <c r="K1290" s="15">
        <v>30000</v>
      </c>
      <c r="L1290" s="15">
        <v>0</v>
      </c>
      <c r="M1290" s="13">
        <v>45208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290286.00934579445</v>
      </c>
      <c r="Y1290">
        <v>290286.00934579445</v>
      </c>
      <c r="Z1290">
        <v>20320.020654205615</v>
      </c>
      <c r="AA1290">
        <v>310606.03000000009</v>
      </c>
      <c r="AB1290" t="s">
        <v>242</v>
      </c>
      <c r="AC1290">
        <v>1</v>
      </c>
      <c r="AD1290">
        <v>30000</v>
      </c>
      <c r="AE1290">
        <v>0</v>
      </c>
      <c r="AF1290">
        <v>0</v>
      </c>
      <c r="AG1290">
        <v>1962.6168224299072</v>
      </c>
      <c r="AH1290" t="s">
        <v>72</v>
      </c>
    </row>
    <row r="1291" spans="1:34" x14ac:dyDescent="0.3">
      <c r="A1291" t="s">
        <v>798</v>
      </c>
      <c r="B1291">
        <v>4302300043</v>
      </c>
      <c r="C1291">
        <v>901012030332</v>
      </c>
      <c r="D1291" t="s">
        <v>227</v>
      </c>
      <c r="E1291" t="s">
        <v>447</v>
      </c>
      <c r="F1291" t="s">
        <v>433</v>
      </c>
      <c r="G1291" t="s">
        <v>82</v>
      </c>
      <c r="H1291" t="s">
        <v>83</v>
      </c>
      <c r="J1291" t="s">
        <v>52</v>
      </c>
      <c r="K1291" s="15">
        <v>7000</v>
      </c>
      <c r="L1291" s="15">
        <v>0</v>
      </c>
      <c r="M1291" s="13">
        <v>45208</v>
      </c>
      <c r="O1291">
        <v>0</v>
      </c>
      <c r="P1291">
        <v>0</v>
      </c>
      <c r="Q1291">
        <v>48650.869523935675</v>
      </c>
      <c r="R1291">
        <v>41417.75</v>
      </c>
      <c r="S1291">
        <v>106939.55493090124</v>
      </c>
      <c r="T1291">
        <v>0</v>
      </c>
      <c r="U1291">
        <v>0</v>
      </c>
      <c r="V1291">
        <v>706553.99</v>
      </c>
      <c r="W1291">
        <v>0</v>
      </c>
      <c r="X1291">
        <v>0</v>
      </c>
      <c r="Y1291">
        <v>903562.16445483686</v>
      </c>
      <c r="Z1291">
        <v>56944.548145163091</v>
      </c>
      <c r="AA1291">
        <v>960506.71259999997</v>
      </c>
      <c r="AB1291" t="s">
        <v>242</v>
      </c>
      <c r="AC1291">
        <v>1</v>
      </c>
      <c r="AD1291">
        <v>7000</v>
      </c>
      <c r="AE1291">
        <v>0</v>
      </c>
      <c r="AF1291">
        <v>0</v>
      </c>
      <c r="AG1291">
        <v>412.27445483691281</v>
      </c>
      <c r="AH1291" t="s">
        <v>72</v>
      </c>
    </row>
    <row r="1292" spans="1:34" x14ac:dyDescent="0.3">
      <c r="A1292" t="s">
        <v>798</v>
      </c>
      <c r="B1292">
        <v>4302300047</v>
      </c>
      <c r="C1292">
        <v>901012034728</v>
      </c>
      <c r="D1292" t="s">
        <v>227</v>
      </c>
      <c r="E1292" t="s">
        <v>447</v>
      </c>
      <c r="F1292" t="s">
        <v>433</v>
      </c>
      <c r="G1292" t="s">
        <v>82</v>
      </c>
      <c r="H1292" t="s">
        <v>83</v>
      </c>
      <c r="J1292" t="s">
        <v>52</v>
      </c>
      <c r="K1292" s="15">
        <v>7000</v>
      </c>
      <c r="L1292" s="15">
        <v>0</v>
      </c>
      <c r="M1292" s="13">
        <v>45208</v>
      </c>
      <c r="O1292">
        <v>0</v>
      </c>
      <c r="P1292">
        <v>0</v>
      </c>
      <c r="Q1292">
        <v>51308.438300313152</v>
      </c>
      <c r="R1292">
        <v>45094.06</v>
      </c>
      <c r="S1292">
        <v>111648.69747634284</v>
      </c>
      <c r="T1292">
        <v>0</v>
      </c>
      <c r="U1292">
        <v>0</v>
      </c>
      <c r="V1292">
        <v>745073.02</v>
      </c>
      <c r="W1292">
        <v>0</v>
      </c>
      <c r="X1292">
        <v>0</v>
      </c>
      <c r="Y1292">
        <v>953124.21577665606</v>
      </c>
      <c r="Z1292">
        <v>59970.520223344</v>
      </c>
      <c r="AA1292">
        <v>1013094.736</v>
      </c>
      <c r="AB1292" t="s">
        <v>242</v>
      </c>
      <c r="AC1292">
        <v>1</v>
      </c>
      <c r="AD1292">
        <v>7000</v>
      </c>
      <c r="AE1292">
        <v>0</v>
      </c>
      <c r="AF1292">
        <v>0</v>
      </c>
      <c r="AG1292">
        <v>411.60577665600067</v>
      </c>
      <c r="AH1292" t="s">
        <v>72</v>
      </c>
    </row>
    <row r="1293" spans="1:34" x14ac:dyDescent="0.3">
      <c r="A1293" t="s">
        <v>798</v>
      </c>
      <c r="B1293">
        <v>42200850</v>
      </c>
      <c r="C1293" t="s">
        <v>345</v>
      </c>
      <c r="D1293" t="s">
        <v>384</v>
      </c>
      <c r="E1293" t="s">
        <v>439</v>
      </c>
      <c r="F1293" t="s">
        <v>430</v>
      </c>
      <c r="G1293" t="s">
        <v>233</v>
      </c>
      <c r="H1293" t="s">
        <v>234</v>
      </c>
      <c r="J1293" t="s">
        <v>416</v>
      </c>
      <c r="K1293" s="15">
        <v>0.26889441848410367</v>
      </c>
      <c r="L1293" s="15">
        <v>0</v>
      </c>
      <c r="M1293" s="13">
        <v>45208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37383.17757009346</v>
      </c>
      <c r="Y1293">
        <v>37383.17757009346</v>
      </c>
      <c r="Z1293">
        <v>2616.8224299065423</v>
      </c>
      <c r="AA1293">
        <v>40000</v>
      </c>
      <c r="AB1293" t="s">
        <v>242</v>
      </c>
      <c r="AC1293">
        <v>2</v>
      </c>
      <c r="AD1293">
        <v>4500</v>
      </c>
      <c r="AE1293">
        <v>0</v>
      </c>
      <c r="AF1293">
        <v>0</v>
      </c>
      <c r="AG1293">
        <v>294.39252336448612</v>
      </c>
      <c r="AH1293" t="s">
        <v>58</v>
      </c>
    </row>
    <row r="1294" spans="1:34" x14ac:dyDescent="0.3">
      <c r="A1294" t="s">
        <v>798</v>
      </c>
      <c r="B1294">
        <v>4142300170</v>
      </c>
      <c r="C1294">
        <v>10056949</v>
      </c>
      <c r="D1294" t="s">
        <v>913</v>
      </c>
      <c r="E1294" t="s">
        <v>445</v>
      </c>
      <c r="F1294" t="s">
        <v>430</v>
      </c>
      <c r="G1294" t="s">
        <v>230</v>
      </c>
      <c r="H1294" t="s">
        <v>234</v>
      </c>
      <c r="J1294" t="s">
        <v>52</v>
      </c>
      <c r="K1294" s="15">
        <v>140000</v>
      </c>
      <c r="L1294" s="15">
        <v>0</v>
      </c>
      <c r="M1294" s="13">
        <v>45209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62258.345794392517</v>
      </c>
      <c r="Y1294">
        <v>62258.345794392517</v>
      </c>
      <c r="Z1294">
        <v>4358.0842056074762</v>
      </c>
      <c r="AA1294">
        <v>66616.429999999993</v>
      </c>
      <c r="AB1294" t="s">
        <v>242</v>
      </c>
      <c r="AC1294">
        <v>1</v>
      </c>
      <c r="AD1294">
        <v>140000</v>
      </c>
      <c r="AE1294">
        <v>0</v>
      </c>
      <c r="AF1294">
        <v>0</v>
      </c>
      <c r="AG1294">
        <v>9158.8785046729026</v>
      </c>
      <c r="AH1294" t="s">
        <v>72</v>
      </c>
    </row>
    <row r="1295" spans="1:34" x14ac:dyDescent="0.3">
      <c r="A1295" t="s">
        <v>798</v>
      </c>
      <c r="B1295">
        <v>42200725</v>
      </c>
      <c r="C1295" t="s">
        <v>359</v>
      </c>
      <c r="D1295" t="s">
        <v>398</v>
      </c>
      <c r="E1295" t="s">
        <v>439</v>
      </c>
      <c r="F1295" t="s">
        <v>430</v>
      </c>
      <c r="G1295" t="s">
        <v>419</v>
      </c>
      <c r="H1295" t="s">
        <v>234</v>
      </c>
      <c r="J1295" t="s">
        <v>52</v>
      </c>
      <c r="K1295" s="15">
        <v>44000</v>
      </c>
      <c r="L1295" s="15">
        <v>0</v>
      </c>
      <c r="M1295" s="13">
        <v>45209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 t="s">
        <v>242</v>
      </c>
      <c r="AC1295">
        <v>1</v>
      </c>
      <c r="AD1295">
        <v>44000</v>
      </c>
      <c r="AE1295">
        <v>0</v>
      </c>
      <c r="AF1295">
        <v>0</v>
      </c>
      <c r="AG1295">
        <v>2878.5046728971938</v>
      </c>
      <c r="AH1295" t="s">
        <v>72</v>
      </c>
    </row>
    <row r="1296" spans="1:34" x14ac:dyDescent="0.3">
      <c r="A1296" t="s">
        <v>798</v>
      </c>
      <c r="B1296">
        <v>52201188</v>
      </c>
      <c r="C1296" t="s">
        <v>463</v>
      </c>
      <c r="D1296" t="s">
        <v>531</v>
      </c>
      <c r="E1296" t="s">
        <v>438</v>
      </c>
      <c r="F1296" t="s">
        <v>431</v>
      </c>
      <c r="G1296" t="s">
        <v>82</v>
      </c>
      <c r="H1296" t="s">
        <v>83</v>
      </c>
      <c r="J1296" t="s">
        <v>52</v>
      </c>
      <c r="K1296" s="15">
        <v>1692</v>
      </c>
      <c r="L1296" s="15">
        <v>0</v>
      </c>
      <c r="M1296" s="13">
        <v>45209</v>
      </c>
      <c r="O1296">
        <v>0</v>
      </c>
      <c r="P1296">
        <v>0</v>
      </c>
      <c r="Q1296">
        <v>0</v>
      </c>
      <c r="R1296">
        <v>685.72089201281221</v>
      </c>
      <c r="S1296">
        <v>24338.920054229176</v>
      </c>
      <c r="T1296">
        <v>0</v>
      </c>
      <c r="U1296">
        <v>0</v>
      </c>
      <c r="V1296">
        <v>51829.564677665592</v>
      </c>
      <c r="W1296">
        <v>0</v>
      </c>
      <c r="X1296">
        <v>0</v>
      </c>
      <c r="Y1296">
        <v>76854.205623907576</v>
      </c>
      <c r="Z1296">
        <v>5331.7939312326343</v>
      </c>
      <c r="AA1296">
        <v>82185.99955514021</v>
      </c>
      <c r="AB1296" t="s">
        <v>242</v>
      </c>
      <c r="AC1296">
        <v>6</v>
      </c>
      <c r="AD1296">
        <v>11844</v>
      </c>
      <c r="AE1296">
        <v>0</v>
      </c>
      <c r="AF1296">
        <v>0</v>
      </c>
      <c r="AG1296">
        <v>767.88828265504389</v>
      </c>
      <c r="AH1296" t="s">
        <v>58</v>
      </c>
    </row>
    <row r="1297" spans="1:34" x14ac:dyDescent="0.3">
      <c r="A1297" t="s">
        <v>798</v>
      </c>
      <c r="B1297">
        <v>4142300172</v>
      </c>
      <c r="C1297" t="s">
        <v>480</v>
      </c>
      <c r="D1297" t="s">
        <v>289</v>
      </c>
      <c r="E1297" t="s">
        <v>445</v>
      </c>
      <c r="F1297" t="s">
        <v>430</v>
      </c>
      <c r="G1297" t="s">
        <v>230</v>
      </c>
      <c r="H1297" t="s">
        <v>234</v>
      </c>
      <c r="J1297" t="s">
        <v>450</v>
      </c>
      <c r="K1297" s="15">
        <v>5000</v>
      </c>
      <c r="L1297" s="15">
        <v>0</v>
      </c>
      <c r="M1297" s="13">
        <v>45209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277007.57943925232</v>
      </c>
      <c r="Y1297">
        <v>277007.57943925232</v>
      </c>
      <c r="Z1297">
        <v>19390.530560747666</v>
      </c>
      <c r="AA1297">
        <v>296398.11</v>
      </c>
      <c r="AB1297" t="s">
        <v>242</v>
      </c>
      <c r="AC1297">
        <v>0</v>
      </c>
      <c r="AD1297">
        <v>0</v>
      </c>
      <c r="AE1297">
        <v>0</v>
      </c>
      <c r="AF1297">
        <v>5000</v>
      </c>
      <c r="AG1297">
        <v>327.10280373831756</v>
      </c>
      <c r="AH1297" t="s">
        <v>72</v>
      </c>
    </row>
    <row r="1298" spans="1:34" x14ac:dyDescent="0.3">
      <c r="A1298" t="s">
        <v>798</v>
      </c>
      <c r="B1298">
        <v>4142301009</v>
      </c>
      <c r="C1298" t="s">
        <v>507</v>
      </c>
      <c r="D1298" t="s">
        <v>579</v>
      </c>
      <c r="E1298" t="s">
        <v>445</v>
      </c>
      <c r="F1298" t="s">
        <v>430</v>
      </c>
      <c r="G1298" t="s">
        <v>230</v>
      </c>
      <c r="H1298" t="s">
        <v>234</v>
      </c>
      <c r="J1298" t="s">
        <v>450</v>
      </c>
      <c r="K1298" s="15">
        <v>7000</v>
      </c>
      <c r="L1298" s="15">
        <v>0</v>
      </c>
      <c r="M1298" s="13">
        <v>45209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308552.68224299059</v>
      </c>
      <c r="Y1298">
        <v>308552.68224299059</v>
      </c>
      <c r="Z1298">
        <v>21598.687757009342</v>
      </c>
      <c r="AA1298">
        <v>330151.36999999994</v>
      </c>
      <c r="AB1298" t="s">
        <v>242</v>
      </c>
      <c r="AC1298">
        <v>1</v>
      </c>
      <c r="AD1298">
        <v>1500</v>
      </c>
      <c r="AE1298">
        <v>0</v>
      </c>
      <c r="AF1298">
        <v>7000</v>
      </c>
      <c r="AG1298">
        <v>556.07476635514058</v>
      </c>
      <c r="AH1298" t="s">
        <v>58</v>
      </c>
    </row>
    <row r="1299" spans="1:34" x14ac:dyDescent="0.3">
      <c r="A1299" t="s">
        <v>798</v>
      </c>
      <c r="B1299">
        <v>22200050</v>
      </c>
      <c r="C1299">
        <v>20757954</v>
      </c>
      <c r="D1299" t="s">
        <v>120</v>
      </c>
      <c r="E1299" t="s">
        <v>435</v>
      </c>
      <c r="F1299" t="s">
        <v>428</v>
      </c>
      <c r="G1299" t="s">
        <v>82</v>
      </c>
      <c r="H1299" t="s">
        <v>82</v>
      </c>
      <c r="J1299" t="s">
        <v>52</v>
      </c>
      <c r="K1299" s="15">
        <v>500</v>
      </c>
      <c r="L1299" s="15">
        <v>0</v>
      </c>
      <c r="M1299" s="13">
        <v>45210</v>
      </c>
      <c r="O1299">
        <v>0</v>
      </c>
      <c r="P1299">
        <v>0</v>
      </c>
      <c r="Q1299">
        <v>0</v>
      </c>
      <c r="R1299">
        <v>0</v>
      </c>
      <c r="S1299">
        <v>432.2079698630132</v>
      </c>
      <c r="T1299">
        <v>0</v>
      </c>
      <c r="U1299">
        <v>0</v>
      </c>
      <c r="V1299">
        <v>14084.08</v>
      </c>
      <c r="W1299">
        <v>0</v>
      </c>
      <c r="X1299">
        <v>0</v>
      </c>
      <c r="Y1299">
        <v>14516.287969863013</v>
      </c>
      <c r="Z1299">
        <v>0</v>
      </c>
      <c r="AA1299">
        <v>14516.287969863013</v>
      </c>
      <c r="AB1299" t="s">
        <v>242</v>
      </c>
      <c r="AC1299">
        <v>9</v>
      </c>
      <c r="AD1299">
        <v>5500</v>
      </c>
      <c r="AE1299">
        <v>0</v>
      </c>
      <c r="AF1299">
        <v>0</v>
      </c>
      <c r="AG1299">
        <v>0</v>
      </c>
      <c r="AH1299" t="s">
        <v>58</v>
      </c>
    </row>
    <row r="1300" spans="1:34" x14ac:dyDescent="0.3">
      <c r="A1300" t="s">
        <v>798</v>
      </c>
      <c r="B1300">
        <v>32200045</v>
      </c>
      <c r="C1300">
        <v>20758058</v>
      </c>
      <c r="D1300" t="s">
        <v>120</v>
      </c>
      <c r="E1300" t="s">
        <v>435</v>
      </c>
      <c r="F1300" t="s">
        <v>429</v>
      </c>
      <c r="G1300" t="s">
        <v>82</v>
      </c>
      <c r="H1300" t="s">
        <v>82</v>
      </c>
      <c r="J1300" t="s">
        <v>52</v>
      </c>
      <c r="K1300" s="15">
        <v>500</v>
      </c>
      <c r="L1300" s="15">
        <v>0</v>
      </c>
      <c r="M1300" s="13">
        <v>45210</v>
      </c>
      <c r="O1300">
        <v>0</v>
      </c>
      <c r="P1300">
        <v>0</v>
      </c>
      <c r="Q1300">
        <v>0</v>
      </c>
      <c r="R1300">
        <v>0</v>
      </c>
      <c r="S1300">
        <v>3924.0488810958905</v>
      </c>
      <c r="T1300">
        <v>0</v>
      </c>
      <c r="U1300">
        <v>0</v>
      </c>
      <c r="V1300">
        <v>18314.54</v>
      </c>
      <c r="W1300">
        <v>0</v>
      </c>
      <c r="X1300">
        <v>0</v>
      </c>
      <c r="Y1300">
        <v>22238.588881095893</v>
      </c>
      <c r="Z1300">
        <v>0</v>
      </c>
      <c r="AA1300">
        <v>22238.588881095893</v>
      </c>
      <c r="AB1300" t="s">
        <v>242</v>
      </c>
      <c r="AC1300">
        <v>7</v>
      </c>
      <c r="AD1300">
        <v>3500</v>
      </c>
      <c r="AE1300">
        <v>0</v>
      </c>
      <c r="AF1300">
        <v>0</v>
      </c>
      <c r="AG1300">
        <v>0</v>
      </c>
      <c r="AH1300" t="s">
        <v>58</v>
      </c>
    </row>
    <row r="1301" spans="1:34" x14ac:dyDescent="0.3">
      <c r="A1301" t="s">
        <v>798</v>
      </c>
      <c r="B1301">
        <v>42200052</v>
      </c>
      <c r="C1301" t="s">
        <v>90</v>
      </c>
      <c r="D1301" t="s">
        <v>121</v>
      </c>
      <c r="E1301" t="s">
        <v>437</v>
      </c>
      <c r="F1301" t="s">
        <v>430</v>
      </c>
      <c r="G1301" t="s">
        <v>230</v>
      </c>
      <c r="H1301" t="s">
        <v>231</v>
      </c>
      <c r="J1301" t="s">
        <v>52</v>
      </c>
      <c r="K1301" s="15">
        <v>2000</v>
      </c>
      <c r="L1301" s="15">
        <v>0</v>
      </c>
      <c r="M1301" s="13">
        <v>45210</v>
      </c>
      <c r="O1301">
        <v>0</v>
      </c>
      <c r="P1301">
        <v>2673.6119270538725</v>
      </c>
      <c r="Q1301">
        <v>0</v>
      </c>
      <c r="R1301">
        <v>0</v>
      </c>
      <c r="S1301">
        <v>5574.6712328767117</v>
      </c>
      <c r="T1301">
        <v>19463.914086865541</v>
      </c>
      <c r="U1301">
        <v>14018.691588785046</v>
      </c>
      <c r="V1301">
        <v>0</v>
      </c>
      <c r="W1301">
        <v>135514.01869158878</v>
      </c>
      <c r="X1301">
        <v>0</v>
      </c>
      <c r="Y1301">
        <v>177244.90752716994</v>
      </c>
      <c r="Z1301">
        <v>11829.763705706757</v>
      </c>
      <c r="AA1301">
        <v>189074.67123287669</v>
      </c>
      <c r="AB1301" t="s">
        <v>242</v>
      </c>
      <c r="AC1301">
        <v>2</v>
      </c>
      <c r="AD1301">
        <v>7000</v>
      </c>
      <c r="AE1301">
        <v>0</v>
      </c>
      <c r="AF1301">
        <v>0</v>
      </c>
      <c r="AG1301">
        <v>436.59143448015993</v>
      </c>
      <c r="AH1301" t="s">
        <v>58</v>
      </c>
    </row>
    <row r="1302" spans="1:34" x14ac:dyDescent="0.3">
      <c r="A1302" t="s">
        <v>798</v>
      </c>
      <c r="B1302">
        <v>52200733</v>
      </c>
      <c r="C1302">
        <v>29713647</v>
      </c>
      <c r="D1302" t="s">
        <v>140</v>
      </c>
      <c r="E1302" t="s">
        <v>438</v>
      </c>
      <c r="F1302" t="s">
        <v>431</v>
      </c>
      <c r="G1302" t="s">
        <v>82</v>
      </c>
      <c r="H1302" t="s">
        <v>83</v>
      </c>
      <c r="J1302" t="s">
        <v>52</v>
      </c>
      <c r="K1302" s="15">
        <v>2500</v>
      </c>
      <c r="L1302" s="15">
        <v>0</v>
      </c>
      <c r="M1302" s="13">
        <v>45210</v>
      </c>
      <c r="O1302">
        <v>0</v>
      </c>
      <c r="P1302">
        <v>0</v>
      </c>
      <c r="Q1302">
        <v>0</v>
      </c>
      <c r="R1302">
        <v>868.05670248192882</v>
      </c>
      <c r="S1302">
        <v>4827.0498107645581</v>
      </c>
      <c r="T1302">
        <v>0</v>
      </c>
      <c r="U1302">
        <v>0</v>
      </c>
      <c r="V1302">
        <v>58878.504672897187</v>
      </c>
      <c r="W1302">
        <v>0</v>
      </c>
      <c r="X1302">
        <v>0</v>
      </c>
      <c r="Y1302">
        <v>64573.611186143673</v>
      </c>
      <c r="Z1302">
        <v>4459.3888138563225</v>
      </c>
      <c r="AA1302">
        <v>69033</v>
      </c>
      <c r="AB1302" t="s">
        <v>242</v>
      </c>
      <c r="AC1302">
        <v>5</v>
      </c>
      <c r="AD1302">
        <v>19837</v>
      </c>
      <c r="AE1302">
        <v>0</v>
      </c>
      <c r="AF1302">
        <v>0</v>
      </c>
      <c r="AG1302">
        <v>1280.0878216576957</v>
      </c>
      <c r="AH1302" t="s">
        <v>58</v>
      </c>
    </row>
    <row r="1303" spans="1:34" x14ac:dyDescent="0.3">
      <c r="A1303" t="s">
        <v>798</v>
      </c>
      <c r="B1303">
        <v>52201351</v>
      </c>
      <c r="C1303">
        <v>22940816</v>
      </c>
      <c r="D1303" t="s">
        <v>155</v>
      </c>
      <c r="E1303" t="s">
        <v>438</v>
      </c>
      <c r="F1303" t="s">
        <v>431</v>
      </c>
      <c r="G1303" t="s">
        <v>82</v>
      </c>
      <c r="H1303" t="s">
        <v>83</v>
      </c>
      <c r="J1303" t="s">
        <v>52</v>
      </c>
      <c r="K1303" s="15">
        <v>500</v>
      </c>
      <c r="L1303" s="15">
        <v>0</v>
      </c>
      <c r="M1303" s="13">
        <v>45210</v>
      </c>
      <c r="O1303">
        <v>0</v>
      </c>
      <c r="P1303">
        <v>0</v>
      </c>
      <c r="Q1303">
        <v>0</v>
      </c>
      <c r="R1303">
        <v>847.99792275100833</v>
      </c>
      <c r="S1303">
        <v>26093.62516259015</v>
      </c>
      <c r="T1303">
        <v>0</v>
      </c>
      <c r="U1303">
        <v>0</v>
      </c>
      <c r="V1303">
        <v>73829.741339665459</v>
      </c>
      <c r="W1303">
        <v>0</v>
      </c>
      <c r="X1303">
        <v>0</v>
      </c>
      <c r="Y1303">
        <v>100771.36442500661</v>
      </c>
      <c r="Z1303">
        <v>6994.6356551578929</v>
      </c>
      <c r="AA1303">
        <v>107766.00008016451</v>
      </c>
      <c r="AB1303" t="s">
        <v>242</v>
      </c>
      <c r="AC1303">
        <v>5</v>
      </c>
      <c r="AD1303">
        <v>5100</v>
      </c>
      <c r="AE1303">
        <v>0</v>
      </c>
      <c r="AF1303">
        <v>0</v>
      </c>
      <c r="AG1303">
        <v>330.83163980614091</v>
      </c>
      <c r="AH1303" t="s">
        <v>58</v>
      </c>
    </row>
    <row r="1304" spans="1:34" x14ac:dyDescent="0.3">
      <c r="A1304" t="s">
        <v>798</v>
      </c>
      <c r="B1304">
        <v>4132300495</v>
      </c>
      <c r="C1304">
        <v>1030399494</v>
      </c>
      <c r="D1304" t="s">
        <v>904</v>
      </c>
      <c r="E1304" t="s">
        <v>441</v>
      </c>
      <c r="F1304" t="s">
        <v>430</v>
      </c>
      <c r="G1304" t="s">
        <v>237</v>
      </c>
      <c r="H1304" t="s">
        <v>231</v>
      </c>
      <c r="J1304" t="s">
        <v>52</v>
      </c>
      <c r="K1304" s="15">
        <v>2000</v>
      </c>
      <c r="L1304" s="15">
        <v>0</v>
      </c>
      <c r="M1304" s="13">
        <v>45210</v>
      </c>
      <c r="O1304">
        <v>0</v>
      </c>
      <c r="P1304">
        <v>11730.727730970471</v>
      </c>
      <c r="Q1304">
        <v>0</v>
      </c>
      <c r="R1304">
        <v>0</v>
      </c>
      <c r="S1304">
        <v>16998.965753424658</v>
      </c>
      <c r="T1304">
        <v>58912.403989747225</v>
      </c>
      <c r="U1304">
        <v>0</v>
      </c>
      <c r="V1304">
        <v>0</v>
      </c>
      <c r="W1304">
        <v>0</v>
      </c>
      <c r="X1304">
        <v>0</v>
      </c>
      <c r="Y1304">
        <v>87642.097474142356</v>
      </c>
      <c r="Z1304">
        <v>4123.8682792823065</v>
      </c>
      <c r="AA1304">
        <v>91765.965753424665</v>
      </c>
      <c r="AB1304" t="s">
        <v>242</v>
      </c>
      <c r="AC1304">
        <v>1</v>
      </c>
      <c r="AD1304">
        <v>2000</v>
      </c>
      <c r="AE1304">
        <v>0</v>
      </c>
      <c r="AF1304">
        <v>0</v>
      </c>
      <c r="AG1304">
        <v>87.907421652273797</v>
      </c>
      <c r="AH1304" t="s">
        <v>72</v>
      </c>
    </row>
    <row r="1305" spans="1:34" x14ac:dyDescent="0.3">
      <c r="A1305" t="s">
        <v>798</v>
      </c>
      <c r="B1305">
        <v>4242300005</v>
      </c>
      <c r="C1305">
        <v>123246</v>
      </c>
      <c r="D1305" t="s">
        <v>219</v>
      </c>
      <c r="E1305" t="s">
        <v>444</v>
      </c>
      <c r="F1305" t="s">
        <v>431</v>
      </c>
      <c r="G1305" t="s">
        <v>237</v>
      </c>
      <c r="H1305" t="s">
        <v>231</v>
      </c>
      <c r="J1305" t="s">
        <v>52</v>
      </c>
      <c r="K1305" s="15">
        <v>5000</v>
      </c>
      <c r="L1305" s="15">
        <v>0</v>
      </c>
      <c r="M1305" s="13">
        <v>45211</v>
      </c>
      <c r="O1305">
        <v>0</v>
      </c>
      <c r="P1305">
        <v>9770.2975397437604</v>
      </c>
      <c r="Q1305">
        <v>0</v>
      </c>
      <c r="R1305">
        <v>0</v>
      </c>
      <c r="S1305">
        <v>0</v>
      </c>
      <c r="T1305">
        <v>10496.609775940407</v>
      </c>
      <c r="U1305">
        <v>22429.906542056076</v>
      </c>
      <c r="V1305">
        <v>0</v>
      </c>
      <c r="W1305">
        <v>0</v>
      </c>
      <c r="X1305">
        <v>0</v>
      </c>
      <c r="Y1305">
        <v>42696.813857740242</v>
      </c>
      <c r="Z1305">
        <v>2304.8561422597545</v>
      </c>
      <c r="AA1305">
        <v>45001.67</v>
      </c>
      <c r="AB1305" t="s">
        <v>242</v>
      </c>
      <c r="AC1305">
        <v>3</v>
      </c>
      <c r="AD1305">
        <v>22200</v>
      </c>
      <c r="AE1305">
        <v>0</v>
      </c>
      <c r="AF1305">
        <v>0</v>
      </c>
      <c r="AG1305">
        <v>1114.4587175533293</v>
      </c>
      <c r="AH1305" t="s">
        <v>58</v>
      </c>
    </row>
    <row r="1306" spans="1:34" x14ac:dyDescent="0.3">
      <c r="A1306" t="s">
        <v>798</v>
      </c>
      <c r="B1306">
        <v>4302300007</v>
      </c>
      <c r="C1306">
        <v>901021083430</v>
      </c>
      <c r="D1306" t="s">
        <v>222</v>
      </c>
      <c r="E1306" t="s">
        <v>447</v>
      </c>
      <c r="F1306" t="s">
        <v>433</v>
      </c>
      <c r="G1306" t="s">
        <v>82</v>
      </c>
      <c r="H1306" t="s">
        <v>83</v>
      </c>
      <c r="J1306" t="s">
        <v>52</v>
      </c>
      <c r="K1306" s="15">
        <v>17725</v>
      </c>
      <c r="L1306" s="15">
        <v>0</v>
      </c>
      <c r="M1306" s="13">
        <v>45212</v>
      </c>
      <c r="O1306">
        <v>0</v>
      </c>
      <c r="P1306">
        <v>0</v>
      </c>
      <c r="Q1306">
        <v>77258.881601976755</v>
      </c>
      <c r="R1306">
        <v>469.7</v>
      </c>
      <c r="S1306">
        <v>0</v>
      </c>
      <c r="T1306">
        <v>0</v>
      </c>
      <c r="U1306">
        <v>0</v>
      </c>
      <c r="V1306">
        <v>925080.29083927406</v>
      </c>
      <c r="W1306">
        <v>0</v>
      </c>
      <c r="X1306">
        <v>0</v>
      </c>
      <c r="Y1306">
        <v>1002808.8724412508</v>
      </c>
      <c r="Z1306">
        <v>64755.620358749191</v>
      </c>
      <c r="AA1306">
        <v>1067564.4928000001</v>
      </c>
      <c r="AB1306" t="s">
        <v>242</v>
      </c>
      <c r="AC1306">
        <v>2</v>
      </c>
      <c r="AD1306">
        <v>35450</v>
      </c>
      <c r="AE1306">
        <v>0</v>
      </c>
      <c r="AF1306">
        <v>0</v>
      </c>
      <c r="AG1306">
        <v>2139.1124412508161</v>
      </c>
      <c r="AH1306" t="s">
        <v>58</v>
      </c>
    </row>
    <row r="1307" spans="1:34" x14ac:dyDescent="0.3">
      <c r="A1307" t="s">
        <v>798</v>
      </c>
      <c r="B1307">
        <v>4142300600</v>
      </c>
      <c r="C1307">
        <v>10261717</v>
      </c>
      <c r="D1307" t="s">
        <v>202</v>
      </c>
      <c r="E1307" t="s">
        <v>445</v>
      </c>
      <c r="F1307" t="s">
        <v>430</v>
      </c>
      <c r="G1307" t="s">
        <v>230</v>
      </c>
      <c r="H1307" t="s">
        <v>234</v>
      </c>
      <c r="J1307" t="s">
        <v>52</v>
      </c>
      <c r="K1307" s="15">
        <v>10000</v>
      </c>
      <c r="L1307" s="15">
        <v>0</v>
      </c>
      <c r="M1307" s="13">
        <v>45214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217414.67289719629</v>
      </c>
      <c r="Y1307">
        <v>217414.67289719629</v>
      </c>
      <c r="Z1307">
        <v>15219.027102803742</v>
      </c>
      <c r="AA1307">
        <v>232633.70000000004</v>
      </c>
      <c r="AB1307" t="s">
        <v>242</v>
      </c>
      <c r="AC1307">
        <v>4</v>
      </c>
      <c r="AD1307">
        <v>130000</v>
      </c>
      <c r="AE1307">
        <v>0</v>
      </c>
      <c r="AF1307">
        <v>0</v>
      </c>
      <c r="AG1307">
        <v>8504.6728971962602</v>
      </c>
      <c r="AH1307" t="s">
        <v>58</v>
      </c>
    </row>
    <row r="1308" spans="1:34" x14ac:dyDescent="0.3">
      <c r="A1308" t="s">
        <v>798</v>
      </c>
      <c r="B1308">
        <v>42200733</v>
      </c>
      <c r="C1308" t="s">
        <v>360</v>
      </c>
      <c r="D1308" t="s">
        <v>399</v>
      </c>
      <c r="E1308" t="s">
        <v>439</v>
      </c>
      <c r="F1308" t="s">
        <v>430</v>
      </c>
      <c r="G1308" t="s">
        <v>419</v>
      </c>
      <c r="H1308" t="s">
        <v>234</v>
      </c>
      <c r="J1308" t="s">
        <v>52</v>
      </c>
      <c r="K1308" s="15">
        <v>500000</v>
      </c>
      <c r="L1308" s="15">
        <v>0</v>
      </c>
      <c r="M1308" s="13">
        <v>45214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 t="s">
        <v>242</v>
      </c>
      <c r="AC1308">
        <v>2</v>
      </c>
      <c r="AD1308">
        <v>633397.17999999993</v>
      </c>
      <c r="AE1308">
        <v>0</v>
      </c>
      <c r="AF1308">
        <v>0</v>
      </c>
      <c r="AG1308">
        <v>41437.198691588812</v>
      </c>
      <c r="AH1308" t="s">
        <v>58</v>
      </c>
    </row>
    <row r="1309" spans="1:34" x14ac:dyDescent="0.3">
      <c r="A1309" t="s">
        <v>798</v>
      </c>
      <c r="B1309">
        <v>52201063</v>
      </c>
      <c r="C1309">
        <v>23710909</v>
      </c>
      <c r="D1309" t="s">
        <v>147</v>
      </c>
      <c r="E1309" t="s">
        <v>438</v>
      </c>
      <c r="F1309" t="s">
        <v>431</v>
      </c>
      <c r="G1309" t="s">
        <v>82</v>
      </c>
      <c r="H1309" t="s">
        <v>83</v>
      </c>
      <c r="J1309" t="s">
        <v>52</v>
      </c>
      <c r="K1309" s="15">
        <v>1000</v>
      </c>
      <c r="L1309" s="15">
        <v>0</v>
      </c>
      <c r="M1309" s="13">
        <v>45215</v>
      </c>
      <c r="O1309">
        <v>0</v>
      </c>
      <c r="P1309">
        <v>0</v>
      </c>
      <c r="Q1309">
        <v>0</v>
      </c>
      <c r="R1309">
        <v>835.34388213973762</v>
      </c>
      <c r="S1309">
        <v>24433.874903894663</v>
      </c>
      <c r="T1309">
        <v>0</v>
      </c>
      <c r="U1309">
        <v>0</v>
      </c>
      <c r="V1309">
        <v>49966.73843998649</v>
      </c>
      <c r="W1309">
        <v>0</v>
      </c>
      <c r="X1309">
        <v>0</v>
      </c>
      <c r="Y1309">
        <v>75235.957226020895</v>
      </c>
      <c r="Z1309">
        <v>5208.042934071681</v>
      </c>
      <c r="AA1309">
        <v>80444.000160092575</v>
      </c>
      <c r="AB1309" t="s">
        <v>242</v>
      </c>
      <c r="AC1309">
        <v>5</v>
      </c>
      <c r="AD1309">
        <v>5000</v>
      </c>
      <c r="AE1309">
        <v>0</v>
      </c>
      <c r="AF1309">
        <v>0</v>
      </c>
      <c r="AG1309">
        <v>323.46174929886149</v>
      </c>
      <c r="AH1309" t="s">
        <v>58</v>
      </c>
    </row>
    <row r="1310" spans="1:34" x14ac:dyDescent="0.3">
      <c r="A1310" t="s">
        <v>798</v>
      </c>
      <c r="B1310">
        <v>52201220</v>
      </c>
      <c r="C1310">
        <v>25378599</v>
      </c>
      <c r="D1310" t="s">
        <v>150</v>
      </c>
      <c r="E1310" t="s">
        <v>438</v>
      </c>
      <c r="F1310" t="s">
        <v>431</v>
      </c>
      <c r="G1310" t="s">
        <v>82</v>
      </c>
      <c r="H1310" t="s">
        <v>83</v>
      </c>
      <c r="J1310" t="s">
        <v>52</v>
      </c>
      <c r="K1310" s="15">
        <v>1000</v>
      </c>
      <c r="L1310" s="15">
        <v>0</v>
      </c>
      <c r="M1310" s="13">
        <v>45215</v>
      </c>
      <c r="O1310">
        <v>0</v>
      </c>
      <c r="P1310">
        <v>0</v>
      </c>
      <c r="Q1310">
        <v>0</v>
      </c>
      <c r="R1310">
        <v>688.95256702305016</v>
      </c>
      <c r="S1310">
        <v>13691.943541089911</v>
      </c>
      <c r="T1310">
        <v>0</v>
      </c>
      <c r="U1310">
        <v>0</v>
      </c>
      <c r="V1310">
        <v>79718.38097920474</v>
      </c>
      <c r="W1310">
        <v>0</v>
      </c>
      <c r="X1310">
        <v>0</v>
      </c>
      <c r="Y1310">
        <v>94099.277087317707</v>
      </c>
      <c r="Z1310">
        <v>6538.722716420627</v>
      </c>
      <c r="AA1310">
        <v>100637.99980373833</v>
      </c>
      <c r="AB1310" t="s">
        <v>242</v>
      </c>
      <c r="AC1310">
        <v>8</v>
      </c>
      <c r="AD1310">
        <v>14000</v>
      </c>
      <c r="AE1310">
        <v>0</v>
      </c>
      <c r="AF1310">
        <v>0</v>
      </c>
      <c r="AG1310">
        <v>909.14642961833044</v>
      </c>
      <c r="AH1310" t="s">
        <v>58</v>
      </c>
    </row>
    <row r="1311" spans="1:34" x14ac:dyDescent="0.3">
      <c r="A1311" t="s">
        <v>798</v>
      </c>
      <c r="B1311">
        <v>52201823</v>
      </c>
      <c r="C1311">
        <v>26207055</v>
      </c>
      <c r="D1311" t="s">
        <v>165</v>
      </c>
      <c r="E1311" t="s">
        <v>438</v>
      </c>
      <c r="F1311" t="s">
        <v>431</v>
      </c>
      <c r="G1311" t="s">
        <v>82</v>
      </c>
      <c r="H1311" t="s">
        <v>83</v>
      </c>
      <c r="J1311" t="s">
        <v>52</v>
      </c>
      <c r="K1311" s="15">
        <v>500</v>
      </c>
      <c r="L1311" s="15">
        <v>0</v>
      </c>
      <c r="M1311" s="13">
        <v>45215</v>
      </c>
      <c r="O1311">
        <v>0</v>
      </c>
      <c r="P1311">
        <v>0</v>
      </c>
      <c r="Q1311">
        <v>0</v>
      </c>
      <c r="R1311">
        <v>865.04642491923664</v>
      </c>
      <c r="S1311">
        <v>33330.126340218631</v>
      </c>
      <c r="T1311">
        <v>0</v>
      </c>
      <c r="U1311">
        <v>0</v>
      </c>
      <c r="V1311">
        <v>82604.409809083882</v>
      </c>
      <c r="W1311">
        <v>0</v>
      </c>
      <c r="X1311">
        <v>0</v>
      </c>
      <c r="Y1311">
        <v>116799.58257422174</v>
      </c>
      <c r="Z1311">
        <v>8115.4175304511764</v>
      </c>
      <c r="AA1311">
        <v>124915.00010467292</v>
      </c>
      <c r="AB1311" t="s">
        <v>242</v>
      </c>
      <c r="AC1311">
        <v>4</v>
      </c>
      <c r="AD1311">
        <v>3500</v>
      </c>
      <c r="AE1311">
        <v>0</v>
      </c>
      <c r="AF1311">
        <v>0</v>
      </c>
      <c r="AG1311">
        <v>227.27406518163224</v>
      </c>
      <c r="AH1311" t="s">
        <v>58</v>
      </c>
    </row>
    <row r="1312" spans="1:34" x14ac:dyDescent="0.3">
      <c r="A1312" t="s">
        <v>798</v>
      </c>
      <c r="B1312">
        <v>52201830</v>
      </c>
      <c r="C1312">
        <v>25560817</v>
      </c>
      <c r="D1312" t="s">
        <v>167</v>
      </c>
      <c r="E1312" t="s">
        <v>438</v>
      </c>
      <c r="F1312" t="s">
        <v>431</v>
      </c>
      <c r="G1312" t="s">
        <v>82</v>
      </c>
      <c r="H1312" t="s">
        <v>83</v>
      </c>
      <c r="J1312" t="s">
        <v>52</v>
      </c>
      <c r="K1312" s="15">
        <v>1500</v>
      </c>
      <c r="L1312" s="15">
        <v>0</v>
      </c>
      <c r="M1312" s="13">
        <v>45215</v>
      </c>
      <c r="O1312">
        <v>0</v>
      </c>
      <c r="P1312">
        <v>0</v>
      </c>
      <c r="Q1312">
        <v>0</v>
      </c>
      <c r="R1312">
        <v>848.62758816253302</v>
      </c>
      <c r="S1312">
        <v>24176.748516905693</v>
      </c>
      <c r="T1312">
        <v>0</v>
      </c>
      <c r="U1312">
        <v>0</v>
      </c>
      <c r="V1312">
        <v>53474.06748157987</v>
      </c>
      <c r="W1312">
        <v>0</v>
      </c>
      <c r="X1312">
        <v>0</v>
      </c>
      <c r="Y1312">
        <v>78499.443586648093</v>
      </c>
      <c r="Z1312">
        <v>5435.5571198939897</v>
      </c>
      <c r="AA1312">
        <v>83935.00070654208</v>
      </c>
      <c r="AB1312" t="s">
        <v>242</v>
      </c>
      <c r="AC1312">
        <v>7</v>
      </c>
      <c r="AD1312">
        <v>13000</v>
      </c>
      <c r="AE1312">
        <v>0</v>
      </c>
      <c r="AF1312">
        <v>0</v>
      </c>
      <c r="AG1312">
        <v>841.21862726296922</v>
      </c>
      <c r="AH1312" t="s">
        <v>58</v>
      </c>
    </row>
    <row r="1313" spans="1:34" x14ac:dyDescent="0.3">
      <c r="A1313" t="s">
        <v>798</v>
      </c>
      <c r="B1313">
        <v>52200769</v>
      </c>
      <c r="C1313" t="s">
        <v>666</v>
      </c>
      <c r="D1313" t="s">
        <v>665</v>
      </c>
      <c r="E1313" t="s">
        <v>438</v>
      </c>
      <c r="F1313" t="s">
        <v>431</v>
      </c>
      <c r="G1313" t="s">
        <v>230</v>
      </c>
      <c r="H1313" t="s">
        <v>231</v>
      </c>
      <c r="J1313" t="s">
        <v>672</v>
      </c>
      <c r="M1313" s="13">
        <v>45215</v>
      </c>
      <c r="O1313">
        <v>5400</v>
      </c>
      <c r="P1313">
        <v>0</v>
      </c>
      <c r="Q1313">
        <v>0</v>
      </c>
      <c r="R1313">
        <v>0</v>
      </c>
      <c r="S1313">
        <v>0</v>
      </c>
      <c r="T1313">
        <v>14018.691588785046</v>
      </c>
      <c r="U1313">
        <v>0</v>
      </c>
      <c r="V1313">
        <v>0</v>
      </c>
      <c r="W1313">
        <v>88785.046728971967</v>
      </c>
      <c r="X1313">
        <v>0</v>
      </c>
      <c r="Y1313">
        <v>108203.73831775702</v>
      </c>
      <c r="Z1313">
        <v>7196.2616822429918</v>
      </c>
      <c r="AA1313">
        <v>115400</v>
      </c>
      <c r="AB1313" t="s">
        <v>242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 t="s">
        <v>72</v>
      </c>
    </row>
    <row r="1314" spans="1:34" x14ac:dyDescent="0.3">
      <c r="A1314" t="s">
        <v>798</v>
      </c>
      <c r="B1314">
        <v>52201672</v>
      </c>
      <c r="C1314" t="s">
        <v>671</v>
      </c>
      <c r="D1314" t="s">
        <v>670</v>
      </c>
      <c r="E1314" t="s">
        <v>438</v>
      </c>
      <c r="F1314" t="s">
        <v>431</v>
      </c>
      <c r="G1314" t="s">
        <v>230</v>
      </c>
      <c r="H1314" t="s">
        <v>231</v>
      </c>
      <c r="J1314" t="s">
        <v>672</v>
      </c>
      <c r="M1314" s="13">
        <v>45215</v>
      </c>
      <c r="O1314">
        <v>4680</v>
      </c>
      <c r="P1314">
        <v>0</v>
      </c>
      <c r="Q1314">
        <v>0</v>
      </c>
      <c r="R1314">
        <v>0</v>
      </c>
      <c r="S1314">
        <v>0</v>
      </c>
      <c r="T1314">
        <v>18532.710280373831</v>
      </c>
      <c r="U1314">
        <v>0</v>
      </c>
      <c r="V1314">
        <v>0</v>
      </c>
      <c r="W1314">
        <v>41121.495327102806</v>
      </c>
      <c r="X1314">
        <v>0</v>
      </c>
      <c r="Y1314">
        <v>64334.205607476637</v>
      </c>
      <c r="Z1314">
        <v>4175.7943925233649</v>
      </c>
      <c r="AA1314">
        <v>68510</v>
      </c>
      <c r="AB1314" t="s">
        <v>242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 t="s">
        <v>72</v>
      </c>
    </row>
    <row r="1315" spans="1:34" x14ac:dyDescent="0.3">
      <c r="A1315" t="s">
        <v>798</v>
      </c>
      <c r="B1315">
        <v>4142300652</v>
      </c>
      <c r="C1315">
        <v>10289270</v>
      </c>
      <c r="D1315" t="s">
        <v>203</v>
      </c>
      <c r="E1315" t="s">
        <v>445</v>
      </c>
      <c r="F1315" t="s">
        <v>430</v>
      </c>
      <c r="G1315" t="s">
        <v>237</v>
      </c>
      <c r="H1315" t="s">
        <v>234</v>
      </c>
      <c r="J1315" t="s">
        <v>52</v>
      </c>
      <c r="K1315" s="15">
        <v>2000</v>
      </c>
      <c r="L1315" s="15">
        <v>0</v>
      </c>
      <c r="M1315" s="13">
        <v>45216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44179.439252336451</v>
      </c>
      <c r="Y1315">
        <v>44179.439252336451</v>
      </c>
      <c r="Z1315">
        <v>3092.5607476635519</v>
      </c>
      <c r="AA1315">
        <v>47272</v>
      </c>
      <c r="AB1315" t="s">
        <v>242</v>
      </c>
      <c r="AC1315">
        <v>5</v>
      </c>
      <c r="AD1315">
        <v>15000</v>
      </c>
      <c r="AE1315">
        <v>0</v>
      </c>
      <c r="AF1315">
        <v>0</v>
      </c>
      <c r="AG1315">
        <v>981.30841121495291</v>
      </c>
      <c r="AH1315" t="s">
        <v>58</v>
      </c>
    </row>
    <row r="1316" spans="1:34" x14ac:dyDescent="0.3">
      <c r="A1316" t="s">
        <v>798</v>
      </c>
      <c r="B1316">
        <v>4142300141</v>
      </c>
      <c r="C1316" t="s">
        <v>479</v>
      </c>
      <c r="D1316" t="s">
        <v>552</v>
      </c>
      <c r="E1316" t="s">
        <v>445</v>
      </c>
      <c r="F1316" t="s">
        <v>430</v>
      </c>
      <c r="G1316" t="s">
        <v>421</v>
      </c>
      <c r="H1316" t="s">
        <v>234</v>
      </c>
      <c r="J1316" t="s">
        <v>450</v>
      </c>
      <c r="K1316" s="15">
        <v>53500</v>
      </c>
      <c r="L1316" s="15">
        <v>2500</v>
      </c>
      <c r="M1316" s="13">
        <v>45216</v>
      </c>
      <c r="O1316">
        <v>2500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111355.1401869159</v>
      </c>
      <c r="Y1316">
        <v>113855.1401869159</v>
      </c>
      <c r="Z1316">
        <v>7794.8598130841137</v>
      </c>
      <c r="AA1316">
        <v>121650.00000000001</v>
      </c>
      <c r="AB1316" t="s">
        <v>242</v>
      </c>
      <c r="AC1316">
        <v>0</v>
      </c>
      <c r="AD1316">
        <v>0</v>
      </c>
      <c r="AE1316">
        <v>0</v>
      </c>
      <c r="AF1316">
        <v>53500</v>
      </c>
      <c r="AG1316">
        <v>3500</v>
      </c>
      <c r="AH1316" t="s">
        <v>72</v>
      </c>
    </row>
    <row r="1317" spans="1:34" x14ac:dyDescent="0.3">
      <c r="A1317" t="s">
        <v>798</v>
      </c>
      <c r="B1317">
        <v>52201351</v>
      </c>
      <c r="C1317">
        <v>22940816</v>
      </c>
      <c r="D1317" t="s">
        <v>155</v>
      </c>
      <c r="E1317" t="s">
        <v>438</v>
      </c>
      <c r="F1317" t="s">
        <v>431</v>
      </c>
      <c r="G1317" t="s">
        <v>82</v>
      </c>
      <c r="H1317" t="s">
        <v>83</v>
      </c>
      <c r="J1317" t="s">
        <v>52</v>
      </c>
      <c r="K1317" s="15">
        <v>500</v>
      </c>
      <c r="L1317" s="15">
        <v>0</v>
      </c>
      <c r="M1317" s="13">
        <v>45218</v>
      </c>
      <c r="O1317">
        <v>0</v>
      </c>
      <c r="P1317">
        <v>0</v>
      </c>
      <c r="Q1317">
        <v>0</v>
      </c>
      <c r="R1317">
        <v>843.79038855917906</v>
      </c>
      <c r="S1317">
        <v>25630.267717909617</v>
      </c>
      <c r="T1317">
        <v>0</v>
      </c>
      <c r="U1317">
        <v>0</v>
      </c>
      <c r="V1317">
        <v>73829.741339665459</v>
      </c>
      <c r="W1317">
        <v>0</v>
      </c>
      <c r="X1317">
        <v>0</v>
      </c>
      <c r="Y1317">
        <v>100303.79944613426</v>
      </c>
      <c r="Z1317">
        <v>6962.200634030256</v>
      </c>
      <c r="AA1317">
        <v>107266.00008016452</v>
      </c>
      <c r="AB1317" t="s">
        <v>242</v>
      </c>
      <c r="AC1317">
        <v>6</v>
      </c>
      <c r="AD1317">
        <v>5600</v>
      </c>
      <c r="AE1317">
        <v>0</v>
      </c>
      <c r="AF1317">
        <v>0</v>
      </c>
      <c r="AG1317">
        <v>363.26666093377827</v>
      </c>
      <c r="AH1317" t="s">
        <v>58</v>
      </c>
    </row>
    <row r="1318" spans="1:34" x14ac:dyDescent="0.3">
      <c r="A1318" t="s">
        <v>798</v>
      </c>
      <c r="B1318">
        <v>4142300653</v>
      </c>
      <c r="C1318">
        <v>10280769</v>
      </c>
      <c r="D1318" t="s">
        <v>204</v>
      </c>
      <c r="E1318" t="s">
        <v>445</v>
      </c>
      <c r="F1318" t="s">
        <v>430</v>
      </c>
      <c r="G1318" t="s">
        <v>230</v>
      </c>
      <c r="H1318" t="s">
        <v>234</v>
      </c>
      <c r="J1318" t="s">
        <v>52</v>
      </c>
      <c r="K1318" s="15">
        <v>15000</v>
      </c>
      <c r="L1318" s="15">
        <v>0</v>
      </c>
      <c r="M1318" s="13">
        <v>45218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853769.14953271032</v>
      </c>
      <c r="Y1318">
        <v>853769.14953271032</v>
      </c>
      <c r="Z1318">
        <v>59763.84046728973</v>
      </c>
      <c r="AA1318">
        <v>913532.99</v>
      </c>
      <c r="AB1318" t="s">
        <v>242</v>
      </c>
      <c r="AC1318">
        <v>3</v>
      </c>
      <c r="AD1318">
        <v>45000</v>
      </c>
      <c r="AE1318">
        <v>0</v>
      </c>
      <c r="AF1318">
        <v>0</v>
      </c>
      <c r="AG1318">
        <v>2943.9252336448608</v>
      </c>
      <c r="AH1318" t="s">
        <v>58</v>
      </c>
    </row>
    <row r="1319" spans="1:34" x14ac:dyDescent="0.3">
      <c r="A1319" t="s">
        <v>798</v>
      </c>
      <c r="B1319">
        <v>4132300003</v>
      </c>
      <c r="C1319" t="s">
        <v>464</v>
      </c>
      <c r="D1319" t="s">
        <v>537</v>
      </c>
      <c r="E1319" t="s">
        <v>441</v>
      </c>
      <c r="F1319" t="s">
        <v>430</v>
      </c>
      <c r="G1319" t="s">
        <v>235</v>
      </c>
      <c r="H1319" t="s">
        <v>236</v>
      </c>
      <c r="J1319" t="s">
        <v>416</v>
      </c>
      <c r="K1319" s="15">
        <v>0.19030996487374841</v>
      </c>
      <c r="L1319" s="15">
        <v>0</v>
      </c>
      <c r="M1319" s="13">
        <v>45218</v>
      </c>
      <c r="O1319">
        <v>0</v>
      </c>
      <c r="P1319">
        <v>0</v>
      </c>
      <c r="Q1319">
        <v>0</v>
      </c>
      <c r="R1319">
        <v>0</v>
      </c>
      <c r="S1319">
        <v>164422.32461097106</v>
      </c>
      <c r="T1319">
        <v>0</v>
      </c>
      <c r="U1319">
        <v>0</v>
      </c>
      <c r="V1319">
        <v>266895.02372806444</v>
      </c>
      <c r="W1319">
        <v>0</v>
      </c>
      <c r="X1319">
        <v>0</v>
      </c>
      <c r="Y1319">
        <v>431317.34833903552</v>
      </c>
      <c r="Z1319">
        <v>18682.651660964511</v>
      </c>
      <c r="AA1319">
        <v>450000.00000000006</v>
      </c>
      <c r="AB1319" t="s">
        <v>242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 t="s">
        <v>72</v>
      </c>
    </row>
    <row r="1320" spans="1:34" x14ac:dyDescent="0.3">
      <c r="A1320" t="s">
        <v>798</v>
      </c>
      <c r="B1320">
        <v>4132300482</v>
      </c>
      <c r="C1320" t="s">
        <v>347</v>
      </c>
      <c r="D1320" t="s">
        <v>386</v>
      </c>
      <c r="E1320" t="s">
        <v>441</v>
      </c>
      <c r="F1320" t="s">
        <v>430</v>
      </c>
      <c r="G1320" t="s">
        <v>233</v>
      </c>
      <c r="H1320" t="s">
        <v>231</v>
      </c>
      <c r="J1320" t="s">
        <v>416</v>
      </c>
      <c r="K1320" s="15">
        <v>0.20170861933471473</v>
      </c>
      <c r="L1320" s="15">
        <v>0</v>
      </c>
      <c r="M1320" s="13">
        <v>45218</v>
      </c>
      <c r="O1320">
        <v>0</v>
      </c>
      <c r="P1320">
        <v>3272.9946607276697</v>
      </c>
      <c r="Q1320">
        <v>0</v>
      </c>
      <c r="R1320">
        <v>0</v>
      </c>
      <c r="S1320">
        <v>5059.1650636672266</v>
      </c>
      <c r="T1320">
        <v>18845.64511738795</v>
      </c>
      <c r="U1320">
        <v>0</v>
      </c>
      <c r="V1320">
        <v>0</v>
      </c>
      <c r="W1320">
        <v>0</v>
      </c>
      <c r="X1320">
        <v>0</v>
      </c>
      <c r="Y1320">
        <v>27177.804841782847</v>
      </c>
      <c r="Z1320">
        <v>1319.1951582171566</v>
      </c>
      <c r="AA1320">
        <v>28497.000000000004</v>
      </c>
      <c r="AB1320" t="s">
        <v>242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 t="s">
        <v>72</v>
      </c>
    </row>
    <row r="1321" spans="1:34" x14ac:dyDescent="0.3">
      <c r="A1321" t="s">
        <v>798</v>
      </c>
      <c r="B1321">
        <v>52200112</v>
      </c>
      <c r="C1321">
        <v>25062909</v>
      </c>
      <c r="D1321" t="s">
        <v>132</v>
      </c>
      <c r="E1321" t="s">
        <v>436</v>
      </c>
      <c r="F1321" t="s">
        <v>431</v>
      </c>
      <c r="G1321" t="s">
        <v>82</v>
      </c>
      <c r="H1321" t="s">
        <v>83</v>
      </c>
      <c r="J1321" t="s">
        <v>52</v>
      </c>
      <c r="K1321" s="15">
        <v>1000</v>
      </c>
      <c r="L1321" s="15">
        <v>0</v>
      </c>
      <c r="M1321" s="13">
        <v>45219</v>
      </c>
      <c r="O1321">
        <v>0</v>
      </c>
      <c r="P1321">
        <v>0</v>
      </c>
      <c r="Q1321">
        <v>0</v>
      </c>
      <c r="R1321">
        <v>727.71429037434689</v>
      </c>
      <c r="S1321">
        <v>12429.98395344524</v>
      </c>
      <c r="T1321">
        <v>0</v>
      </c>
      <c r="U1321">
        <v>0</v>
      </c>
      <c r="V1321">
        <v>48171.217589309104</v>
      </c>
      <c r="W1321">
        <v>0</v>
      </c>
      <c r="X1321">
        <v>0</v>
      </c>
      <c r="Y1321">
        <v>61328.915833128689</v>
      </c>
      <c r="Z1321">
        <v>4242.0841079928041</v>
      </c>
      <c r="AA1321">
        <v>65570.999941121496</v>
      </c>
      <c r="AB1321" t="s">
        <v>242</v>
      </c>
      <c r="AC1321">
        <v>6</v>
      </c>
      <c r="AD1321">
        <v>5400</v>
      </c>
      <c r="AE1321">
        <v>0</v>
      </c>
      <c r="AF1321">
        <v>0</v>
      </c>
      <c r="AG1321">
        <v>349.06542086561143</v>
      </c>
      <c r="AH1321" t="s">
        <v>58</v>
      </c>
    </row>
    <row r="1322" spans="1:34" x14ac:dyDescent="0.3">
      <c r="A1322" t="s">
        <v>798</v>
      </c>
      <c r="B1322">
        <v>4142300097</v>
      </c>
      <c r="C1322">
        <v>82365</v>
      </c>
      <c r="D1322" t="s">
        <v>187</v>
      </c>
      <c r="E1322" t="s">
        <v>444</v>
      </c>
      <c r="F1322" t="s">
        <v>430</v>
      </c>
      <c r="G1322" t="s">
        <v>230</v>
      </c>
      <c r="H1322" t="s">
        <v>231</v>
      </c>
      <c r="J1322" t="s">
        <v>52</v>
      </c>
      <c r="K1322" s="15">
        <v>6000</v>
      </c>
      <c r="L1322" s="15">
        <v>0</v>
      </c>
      <c r="M1322" s="13">
        <v>45219</v>
      </c>
      <c r="O1322">
        <v>0</v>
      </c>
      <c r="P1322">
        <v>3876.1368792290191</v>
      </c>
      <c r="Q1322">
        <v>0</v>
      </c>
      <c r="R1322">
        <v>0</v>
      </c>
      <c r="S1322">
        <v>0</v>
      </c>
      <c r="T1322">
        <v>464.66646801026309</v>
      </c>
      <c r="U1322">
        <v>7476.6355140186915</v>
      </c>
      <c r="V1322">
        <v>0</v>
      </c>
      <c r="W1322">
        <v>71222.429906542064</v>
      </c>
      <c r="X1322">
        <v>0</v>
      </c>
      <c r="Y1322">
        <v>83039.868767800042</v>
      </c>
      <c r="Z1322">
        <v>5541.4612321999712</v>
      </c>
      <c r="AA1322">
        <v>88581.330000000016</v>
      </c>
      <c r="AB1322" t="s">
        <v>242</v>
      </c>
      <c r="AC1322">
        <v>2</v>
      </c>
      <c r="AD1322">
        <v>12000</v>
      </c>
      <c r="AE1322">
        <v>0</v>
      </c>
      <c r="AF1322">
        <v>0</v>
      </c>
      <c r="AG1322">
        <v>748.15848742619801</v>
      </c>
      <c r="AH1322" t="s">
        <v>58</v>
      </c>
    </row>
    <row r="1323" spans="1:34" x14ac:dyDescent="0.3">
      <c r="A1323" t="s">
        <v>798</v>
      </c>
      <c r="B1323">
        <v>4142300416</v>
      </c>
      <c r="C1323">
        <v>10179898</v>
      </c>
      <c r="D1323" t="s">
        <v>198</v>
      </c>
      <c r="E1323" t="s">
        <v>445</v>
      </c>
      <c r="F1323" t="s">
        <v>430</v>
      </c>
      <c r="G1323" t="s">
        <v>230</v>
      </c>
      <c r="H1323" t="s">
        <v>234</v>
      </c>
      <c r="J1323" t="s">
        <v>52</v>
      </c>
      <c r="K1323" s="15">
        <v>4000</v>
      </c>
      <c r="L1323" s="15">
        <v>0</v>
      </c>
      <c r="M1323" s="13">
        <v>45219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326314.94392523367</v>
      </c>
      <c r="Y1323">
        <v>326314.94392523367</v>
      </c>
      <c r="Z1323">
        <v>22842.04607476636</v>
      </c>
      <c r="AA1323">
        <v>349156.99000000005</v>
      </c>
      <c r="AB1323" t="s">
        <v>242</v>
      </c>
      <c r="AC1323">
        <v>6</v>
      </c>
      <c r="AD1323">
        <v>27600</v>
      </c>
      <c r="AE1323">
        <v>0</v>
      </c>
      <c r="AF1323">
        <v>0</v>
      </c>
      <c r="AG1323">
        <v>1805.6074766355143</v>
      </c>
      <c r="AH1323" t="s">
        <v>58</v>
      </c>
    </row>
    <row r="1324" spans="1:34" x14ac:dyDescent="0.3">
      <c r="A1324" t="s">
        <v>798</v>
      </c>
      <c r="B1324">
        <v>4132300331</v>
      </c>
      <c r="C1324">
        <v>9040040746</v>
      </c>
      <c r="D1324" t="s">
        <v>174</v>
      </c>
      <c r="E1324" t="s">
        <v>441</v>
      </c>
      <c r="F1324" t="s">
        <v>430</v>
      </c>
      <c r="G1324" t="s">
        <v>230</v>
      </c>
      <c r="H1324" t="s">
        <v>231</v>
      </c>
      <c r="J1324" t="s">
        <v>52</v>
      </c>
      <c r="K1324" s="15">
        <v>2000</v>
      </c>
      <c r="L1324" s="15">
        <v>0</v>
      </c>
      <c r="M1324" s="13">
        <v>45220</v>
      </c>
      <c r="O1324">
        <v>0</v>
      </c>
      <c r="P1324">
        <v>9181.6522616224192</v>
      </c>
      <c r="Q1324">
        <v>0</v>
      </c>
      <c r="R1324">
        <v>0</v>
      </c>
      <c r="S1324">
        <v>7733.8356164383558</v>
      </c>
      <c r="T1324">
        <v>38975.091344278117</v>
      </c>
      <c r="U1324">
        <v>0</v>
      </c>
      <c r="V1324">
        <v>0</v>
      </c>
      <c r="W1324">
        <v>168224.29906542055</v>
      </c>
      <c r="X1324">
        <v>0</v>
      </c>
      <c r="Y1324">
        <v>224114.87828775943</v>
      </c>
      <c r="Z1324">
        <v>14503.957328678907</v>
      </c>
      <c r="AA1324">
        <v>238618.83561643833</v>
      </c>
      <c r="AB1324" t="s">
        <v>242</v>
      </c>
      <c r="AC1324">
        <v>3</v>
      </c>
      <c r="AD1324">
        <v>6000</v>
      </c>
      <c r="AE1324">
        <v>0</v>
      </c>
      <c r="AF1324">
        <v>0</v>
      </c>
      <c r="AG1324">
        <v>362.8651012276348</v>
      </c>
      <c r="AH1324" t="s">
        <v>58</v>
      </c>
    </row>
    <row r="1325" spans="1:34" x14ac:dyDescent="0.3">
      <c r="A1325" t="s">
        <v>798</v>
      </c>
      <c r="B1325">
        <v>4132300375</v>
      </c>
      <c r="C1325">
        <v>1010227956</v>
      </c>
      <c r="D1325" t="s">
        <v>175</v>
      </c>
      <c r="E1325" t="s">
        <v>441</v>
      </c>
      <c r="F1325" t="s">
        <v>430</v>
      </c>
      <c r="G1325" t="s">
        <v>233</v>
      </c>
      <c r="H1325" t="s">
        <v>231</v>
      </c>
      <c r="J1325" t="s">
        <v>52</v>
      </c>
      <c r="K1325" s="15">
        <v>2000</v>
      </c>
      <c r="L1325" s="15">
        <v>0</v>
      </c>
      <c r="M1325" s="13">
        <v>45220</v>
      </c>
      <c r="O1325">
        <v>0</v>
      </c>
      <c r="P1325">
        <v>0</v>
      </c>
      <c r="Q1325">
        <v>0</v>
      </c>
      <c r="R1325">
        <v>0</v>
      </c>
      <c r="S1325">
        <v>15116.535016517362</v>
      </c>
      <c r="T1325">
        <v>3982.722363259923</v>
      </c>
      <c r="U1325">
        <v>0</v>
      </c>
      <c r="V1325">
        <v>0</v>
      </c>
      <c r="W1325">
        <v>0</v>
      </c>
      <c r="X1325">
        <v>0</v>
      </c>
      <c r="Y1325">
        <v>19099.257379777286</v>
      </c>
      <c r="Z1325">
        <v>278.79056542819461</v>
      </c>
      <c r="AA1325">
        <v>19378.047945205479</v>
      </c>
      <c r="AB1325" t="s">
        <v>242</v>
      </c>
      <c r="AC1325">
        <v>3</v>
      </c>
      <c r="AD1325">
        <v>6000</v>
      </c>
      <c r="AE1325">
        <v>0</v>
      </c>
      <c r="AF1325">
        <v>0</v>
      </c>
      <c r="AG1325">
        <v>81.022518683954956</v>
      </c>
      <c r="AH1325" t="s">
        <v>58</v>
      </c>
    </row>
    <row r="1326" spans="1:34" x14ac:dyDescent="0.3">
      <c r="A1326" t="s">
        <v>798</v>
      </c>
      <c r="B1326">
        <v>82200002</v>
      </c>
      <c r="C1326" t="s">
        <v>107</v>
      </c>
      <c r="D1326" t="s">
        <v>664</v>
      </c>
      <c r="E1326" t="s">
        <v>440</v>
      </c>
      <c r="F1326" t="s">
        <v>433</v>
      </c>
      <c r="G1326" t="s">
        <v>673</v>
      </c>
      <c r="H1326" t="s">
        <v>83</v>
      </c>
      <c r="J1326" t="s">
        <v>52</v>
      </c>
      <c r="K1326" s="15">
        <v>15000</v>
      </c>
      <c r="M1326" s="13">
        <v>45220</v>
      </c>
      <c r="O1326">
        <v>0</v>
      </c>
      <c r="P1326">
        <v>0</v>
      </c>
      <c r="Q1326">
        <v>65019.278474909122</v>
      </c>
      <c r="R1326">
        <v>34918.17</v>
      </c>
      <c r="S1326">
        <v>197583.54161223449</v>
      </c>
      <c r="T1326">
        <v>0</v>
      </c>
      <c r="U1326">
        <v>0</v>
      </c>
      <c r="V1326">
        <v>967982.71</v>
      </c>
      <c r="W1326">
        <v>0</v>
      </c>
      <c r="X1326">
        <v>0</v>
      </c>
      <c r="Y1326">
        <v>1265503.7000871436</v>
      </c>
      <c r="Z1326">
        <v>81589.637612856415</v>
      </c>
      <c r="AA1326">
        <v>1347093.3377</v>
      </c>
      <c r="AB1326" t="s">
        <v>242</v>
      </c>
      <c r="AC1326">
        <v>2</v>
      </c>
      <c r="AD1326">
        <v>50000</v>
      </c>
      <c r="AE1326">
        <v>0</v>
      </c>
      <c r="AF1326">
        <v>0</v>
      </c>
      <c r="AG1326">
        <v>3012.2300871435891</v>
      </c>
      <c r="AH1326" t="s">
        <v>58</v>
      </c>
    </row>
    <row r="1327" spans="1:34" x14ac:dyDescent="0.3">
      <c r="A1327" t="s">
        <v>798</v>
      </c>
      <c r="B1327">
        <v>52200619</v>
      </c>
      <c r="C1327">
        <v>6102060118</v>
      </c>
      <c r="D1327" t="s">
        <v>138</v>
      </c>
      <c r="E1327" t="s">
        <v>437</v>
      </c>
      <c r="F1327" t="s">
        <v>431</v>
      </c>
      <c r="G1327" t="s">
        <v>82</v>
      </c>
      <c r="H1327" t="s">
        <v>83</v>
      </c>
      <c r="J1327" t="s">
        <v>52</v>
      </c>
      <c r="K1327" s="15">
        <v>700</v>
      </c>
      <c r="L1327" s="15">
        <v>0</v>
      </c>
      <c r="M1327" s="13">
        <v>45221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9753.4392523364495</v>
      </c>
      <c r="W1327">
        <v>0</v>
      </c>
      <c r="X1327">
        <v>0</v>
      </c>
      <c r="Y1327">
        <v>9753.4392523364495</v>
      </c>
      <c r="Z1327">
        <v>682.74074766355147</v>
      </c>
      <c r="AA1327">
        <v>10436.18</v>
      </c>
      <c r="AB1327" t="s">
        <v>242</v>
      </c>
      <c r="AC1327">
        <v>12</v>
      </c>
      <c r="AD1327">
        <v>7500</v>
      </c>
      <c r="AE1327">
        <v>0</v>
      </c>
      <c r="AF1327">
        <v>0</v>
      </c>
      <c r="AG1327">
        <v>490.65420560747668</v>
      </c>
      <c r="AH1327" t="s">
        <v>58</v>
      </c>
    </row>
    <row r="1328" spans="1:34" x14ac:dyDescent="0.3">
      <c r="A1328" t="s">
        <v>798</v>
      </c>
      <c r="B1328">
        <v>4132300713</v>
      </c>
      <c r="C1328" t="s">
        <v>247</v>
      </c>
      <c r="D1328" t="s">
        <v>318</v>
      </c>
      <c r="E1328" t="s">
        <v>441</v>
      </c>
      <c r="F1328" t="s">
        <v>430</v>
      </c>
      <c r="G1328" t="s">
        <v>233</v>
      </c>
      <c r="H1328" t="s">
        <v>231</v>
      </c>
      <c r="J1328" t="s">
        <v>52</v>
      </c>
      <c r="K1328" s="15">
        <v>2000</v>
      </c>
      <c r="L1328" s="15">
        <v>0</v>
      </c>
      <c r="M1328" s="13">
        <v>45221</v>
      </c>
      <c r="O1328">
        <v>0</v>
      </c>
      <c r="P1328">
        <v>0</v>
      </c>
      <c r="Q1328">
        <v>0</v>
      </c>
      <c r="R1328">
        <v>0</v>
      </c>
      <c r="S1328">
        <v>3453.5616438356165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3453.5616438356165</v>
      </c>
      <c r="Z1328">
        <v>0</v>
      </c>
      <c r="AA1328">
        <v>3453.5616438356165</v>
      </c>
      <c r="AB1328" t="s">
        <v>242</v>
      </c>
      <c r="AC1328">
        <v>4</v>
      </c>
      <c r="AD1328">
        <v>8000</v>
      </c>
      <c r="AE1328">
        <v>0</v>
      </c>
      <c r="AF1328">
        <v>0</v>
      </c>
      <c r="AG1328">
        <v>0</v>
      </c>
      <c r="AH1328" t="s">
        <v>58</v>
      </c>
    </row>
    <row r="1329" spans="1:34" x14ac:dyDescent="0.3">
      <c r="A1329" t="s">
        <v>798</v>
      </c>
      <c r="B1329">
        <v>4142300444</v>
      </c>
      <c r="C1329" t="s">
        <v>491</v>
      </c>
      <c r="D1329" t="s">
        <v>563</v>
      </c>
      <c r="E1329" t="s">
        <v>445</v>
      </c>
      <c r="F1329" t="s">
        <v>430</v>
      </c>
      <c r="G1329" t="s">
        <v>230</v>
      </c>
      <c r="H1329" t="s">
        <v>234</v>
      </c>
      <c r="J1329" t="s">
        <v>52</v>
      </c>
      <c r="K1329" s="15">
        <v>100000</v>
      </c>
      <c r="L1329" s="15">
        <v>0</v>
      </c>
      <c r="M1329" s="13">
        <v>45222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280373.83177570091</v>
      </c>
      <c r="Y1329">
        <v>280373.83177570091</v>
      </c>
      <c r="Z1329">
        <v>19626.168224299065</v>
      </c>
      <c r="AA1329">
        <v>300000</v>
      </c>
      <c r="AB1329" t="s">
        <v>242</v>
      </c>
      <c r="AC1329">
        <v>2</v>
      </c>
      <c r="AD1329">
        <v>102000</v>
      </c>
      <c r="AE1329">
        <v>0</v>
      </c>
      <c r="AF1329">
        <v>0</v>
      </c>
      <c r="AG1329">
        <v>6672.8971962616815</v>
      </c>
      <c r="AH1329" t="s">
        <v>58</v>
      </c>
    </row>
    <row r="1330" spans="1:34" x14ac:dyDescent="0.3">
      <c r="A1330" t="s">
        <v>798</v>
      </c>
      <c r="B1330">
        <v>4132300882</v>
      </c>
      <c r="C1330" t="s">
        <v>354</v>
      </c>
      <c r="D1330" t="s">
        <v>393</v>
      </c>
      <c r="E1330" t="s">
        <v>441</v>
      </c>
      <c r="F1330" t="s">
        <v>430</v>
      </c>
      <c r="G1330" t="s">
        <v>233</v>
      </c>
      <c r="H1330" t="s">
        <v>231</v>
      </c>
      <c r="J1330" t="s">
        <v>416</v>
      </c>
      <c r="K1330" s="15">
        <v>0.35437501799237436</v>
      </c>
      <c r="L1330" s="15">
        <v>0</v>
      </c>
      <c r="M1330" s="13">
        <v>45223</v>
      </c>
      <c r="O1330">
        <v>0</v>
      </c>
      <c r="P1330">
        <v>5753.8098396519599</v>
      </c>
      <c r="Q1330">
        <v>0</v>
      </c>
      <c r="R1330">
        <v>0</v>
      </c>
      <c r="S1330">
        <v>38908.81948931329</v>
      </c>
      <c r="T1330">
        <v>145175.11277666799</v>
      </c>
      <c r="U1330">
        <v>0</v>
      </c>
      <c r="V1330">
        <v>0</v>
      </c>
      <c r="W1330">
        <v>0</v>
      </c>
      <c r="X1330">
        <v>0</v>
      </c>
      <c r="Y1330">
        <v>189837.74210563325</v>
      </c>
      <c r="Z1330">
        <v>10162.25789436676</v>
      </c>
      <c r="AA1330">
        <v>200000</v>
      </c>
      <c r="AB1330" t="s">
        <v>242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 t="s">
        <v>72</v>
      </c>
    </row>
    <row r="1331" spans="1:34" x14ac:dyDescent="0.3">
      <c r="A1331" t="s">
        <v>798</v>
      </c>
      <c r="B1331">
        <v>4232300095</v>
      </c>
      <c r="C1331" t="s">
        <v>513</v>
      </c>
      <c r="D1331" t="s">
        <v>585</v>
      </c>
      <c r="E1331" t="s">
        <v>443</v>
      </c>
      <c r="F1331" t="s">
        <v>431</v>
      </c>
      <c r="G1331" t="s">
        <v>230</v>
      </c>
      <c r="H1331" t="s">
        <v>231</v>
      </c>
      <c r="J1331" t="s">
        <v>416</v>
      </c>
      <c r="K1331" s="15">
        <v>0.20852641334569044</v>
      </c>
      <c r="L1331" s="15">
        <v>0</v>
      </c>
      <c r="M1331" s="13">
        <v>45223</v>
      </c>
      <c r="O1331">
        <v>0</v>
      </c>
      <c r="P1331">
        <v>3165.8943466172382</v>
      </c>
      <c r="Q1331">
        <v>0</v>
      </c>
      <c r="R1331">
        <v>0</v>
      </c>
      <c r="S1331">
        <v>0</v>
      </c>
      <c r="T1331">
        <v>14793.898815968403</v>
      </c>
      <c r="U1331">
        <v>17678.709085082242</v>
      </c>
      <c r="V1331">
        <v>0</v>
      </c>
      <c r="W1331">
        <v>44381.696447905211</v>
      </c>
      <c r="X1331">
        <v>0</v>
      </c>
      <c r="Y1331">
        <v>80020.198695573097</v>
      </c>
      <c r="Z1331">
        <v>5379.801304426911</v>
      </c>
      <c r="AA1331">
        <v>85400.000000000015</v>
      </c>
      <c r="AB1331" t="s">
        <v>242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 t="s">
        <v>72</v>
      </c>
    </row>
    <row r="1332" spans="1:34" x14ac:dyDescent="0.3">
      <c r="A1332" t="s">
        <v>798</v>
      </c>
      <c r="B1332">
        <v>52200938</v>
      </c>
      <c r="C1332">
        <v>26269572</v>
      </c>
      <c r="D1332" t="s">
        <v>144</v>
      </c>
      <c r="E1332" t="s">
        <v>438</v>
      </c>
      <c r="F1332" t="s">
        <v>431</v>
      </c>
      <c r="G1332" t="s">
        <v>82</v>
      </c>
      <c r="H1332" t="s">
        <v>83</v>
      </c>
      <c r="J1332" t="s">
        <v>52</v>
      </c>
      <c r="K1332" s="15">
        <v>2500</v>
      </c>
      <c r="L1332" s="15">
        <v>0</v>
      </c>
      <c r="M1332" s="13">
        <v>45224</v>
      </c>
      <c r="O1332">
        <v>0</v>
      </c>
      <c r="P1332">
        <v>0</v>
      </c>
      <c r="Q1332">
        <v>0</v>
      </c>
      <c r="R1332">
        <v>924.25930843322487</v>
      </c>
      <c r="S1332">
        <v>14339.344748071815</v>
      </c>
      <c r="T1332">
        <v>0</v>
      </c>
      <c r="U1332">
        <v>0</v>
      </c>
      <c r="V1332">
        <v>47963.216707056527</v>
      </c>
      <c r="W1332">
        <v>0</v>
      </c>
      <c r="X1332">
        <v>0</v>
      </c>
      <c r="Y1332">
        <v>63226.820763561569</v>
      </c>
      <c r="Z1332">
        <v>4361.1793018589842</v>
      </c>
      <c r="AA1332">
        <v>67588.000065420551</v>
      </c>
      <c r="AB1332" t="s">
        <v>242</v>
      </c>
      <c r="AC1332">
        <v>6</v>
      </c>
      <c r="AD1332">
        <v>14500</v>
      </c>
      <c r="AE1332">
        <v>0</v>
      </c>
      <c r="AF1332">
        <v>0</v>
      </c>
      <c r="AG1332">
        <v>934.6150949442299</v>
      </c>
      <c r="AH1332" t="s">
        <v>58</v>
      </c>
    </row>
    <row r="1333" spans="1:34" x14ac:dyDescent="0.3">
      <c r="A1333" t="s">
        <v>798</v>
      </c>
      <c r="B1333">
        <v>4132301071</v>
      </c>
      <c r="C1333">
        <v>1120064246</v>
      </c>
      <c r="D1333" t="s">
        <v>909</v>
      </c>
      <c r="E1333" t="s">
        <v>441</v>
      </c>
      <c r="F1333" t="s">
        <v>430</v>
      </c>
      <c r="G1333" t="s">
        <v>233</v>
      </c>
      <c r="H1333" t="s">
        <v>231</v>
      </c>
      <c r="J1333" t="s">
        <v>52</v>
      </c>
      <c r="K1333" s="15">
        <v>2000</v>
      </c>
      <c r="L1333" s="15">
        <v>0</v>
      </c>
      <c r="M1333" s="13">
        <v>45224</v>
      </c>
      <c r="O1333">
        <v>0</v>
      </c>
      <c r="P1333">
        <v>2855.1293043189462</v>
      </c>
      <c r="Q1333">
        <v>0</v>
      </c>
      <c r="R1333">
        <v>0</v>
      </c>
      <c r="S1333">
        <v>4473.0308219178078</v>
      </c>
      <c r="T1333">
        <v>16350.346444561734</v>
      </c>
      <c r="U1333">
        <v>0</v>
      </c>
      <c r="V1333">
        <v>0</v>
      </c>
      <c r="W1333">
        <v>0</v>
      </c>
      <c r="X1333">
        <v>0</v>
      </c>
      <c r="Y1333">
        <v>23678.506570798487</v>
      </c>
      <c r="Z1333">
        <v>1144.5242511193214</v>
      </c>
      <c r="AA1333">
        <v>24823.030821917808</v>
      </c>
      <c r="AB1333" t="s">
        <v>242</v>
      </c>
      <c r="AC1333">
        <v>2</v>
      </c>
      <c r="AD1333">
        <v>4000</v>
      </c>
      <c r="AE1333">
        <v>0</v>
      </c>
      <c r="AF1333">
        <v>0</v>
      </c>
      <c r="AG1333">
        <v>180.24210402086555</v>
      </c>
      <c r="AH1333" t="s">
        <v>58</v>
      </c>
    </row>
    <row r="1334" spans="1:34" x14ac:dyDescent="0.3">
      <c r="A1334" t="s">
        <v>798</v>
      </c>
      <c r="B1334">
        <v>4132301112</v>
      </c>
      <c r="C1334">
        <v>3010184753</v>
      </c>
      <c r="D1334" t="s">
        <v>179</v>
      </c>
      <c r="E1334" t="s">
        <v>441</v>
      </c>
      <c r="F1334" t="s">
        <v>430</v>
      </c>
      <c r="G1334" t="s">
        <v>233</v>
      </c>
      <c r="H1334" t="s">
        <v>231</v>
      </c>
      <c r="J1334" t="s">
        <v>52</v>
      </c>
      <c r="K1334" s="15">
        <v>500</v>
      </c>
      <c r="L1334" s="15">
        <v>0</v>
      </c>
      <c r="M1334" s="13">
        <v>45224</v>
      </c>
      <c r="O1334">
        <v>0</v>
      </c>
      <c r="P1334">
        <v>3943.2635293030762</v>
      </c>
      <c r="Q1334">
        <v>0</v>
      </c>
      <c r="R1334">
        <v>0</v>
      </c>
      <c r="S1334">
        <v>21290.753424657534</v>
      </c>
      <c r="T1334">
        <v>55286.669598782166</v>
      </c>
      <c r="U1334">
        <v>0</v>
      </c>
      <c r="V1334">
        <v>0</v>
      </c>
      <c r="W1334">
        <v>0</v>
      </c>
      <c r="X1334">
        <v>0</v>
      </c>
      <c r="Y1334">
        <v>80520.686552742773</v>
      </c>
      <c r="Z1334">
        <v>3870.066871914752</v>
      </c>
      <c r="AA1334">
        <v>84390.753424657523</v>
      </c>
      <c r="AB1334" t="s">
        <v>242</v>
      </c>
      <c r="AC1334">
        <v>1</v>
      </c>
      <c r="AD1334">
        <v>500</v>
      </c>
      <c r="AE1334">
        <v>0</v>
      </c>
      <c r="AF1334">
        <v>0</v>
      </c>
      <c r="AG1334">
        <v>22.456492571229262</v>
      </c>
      <c r="AH1334" t="s">
        <v>72</v>
      </c>
    </row>
    <row r="1335" spans="1:34" x14ac:dyDescent="0.3">
      <c r="A1335" t="s">
        <v>798</v>
      </c>
      <c r="B1335">
        <v>4132301147</v>
      </c>
      <c r="C1335">
        <v>3100025875</v>
      </c>
      <c r="D1335" t="s">
        <v>180</v>
      </c>
      <c r="E1335" t="s">
        <v>441</v>
      </c>
      <c r="F1335" t="s">
        <v>430</v>
      </c>
      <c r="G1335" t="s">
        <v>233</v>
      </c>
      <c r="H1335" t="s">
        <v>231</v>
      </c>
      <c r="J1335" t="s">
        <v>52</v>
      </c>
      <c r="K1335" s="15">
        <v>1000</v>
      </c>
      <c r="L1335" s="15">
        <v>0</v>
      </c>
      <c r="M1335" s="13">
        <v>45224</v>
      </c>
      <c r="O1335">
        <v>0</v>
      </c>
      <c r="P1335">
        <v>1851.6859285304236</v>
      </c>
      <c r="Q1335">
        <v>0</v>
      </c>
      <c r="R1335">
        <v>0</v>
      </c>
      <c r="S1335">
        <v>1065.7191780821918</v>
      </c>
      <c r="T1335">
        <v>2334.8729639902585</v>
      </c>
      <c r="U1335">
        <v>0</v>
      </c>
      <c r="V1335">
        <v>0</v>
      </c>
      <c r="W1335">
        <v>0</v>
      </c>
      <c r="X1335">
        <v>0</v>
      </c>
      <c r="Y1335">
        <v>5252.2780706028734</v>
      </c>
      <c r="Z1335">
        <v>163.44110747931811</v>
      </c>
      <c r="AA1335">
        <v>5415.7191780821913</v>
      </c>
      <c r="AB1335" t="s">
        <v>242</v>
      </c>
      <c r="AC1335">
        <v>4</v>
      </c>
      <c r="AD1335">
        <v>4000</v>
      </c>
      <c r="AE1335">
        <v>0</v>
      </c>
      <c r="AF1335">
        <v>0</v>
      </c>
      <c r="AG1335">
        <v>114.59627569825204</v>
      </c>
      <c r="AH1335" t="s">
        <v>58</v>
      </c>
    </row>
    <row r="1336" spans="1:34" x14ac:dyDescent="0.3">
      <c r="A1336" t="s">
        <v>798</v>
      </c>
      <c r="B1336">
        <v>4142300192</v>
      </c>
      <c r="C1336">
        <v>10067571</v>
      </c>
      <c r="D1336" t="s">
        <v>192</v>
      </c>
      <c r="E1336" t="s">
        <v>445</v>
      </c>
      <c r="F1336" t="s">
        <v>430</v>
      </c>
      <c r="G1336" t="s">
        <v>233</v>
      </c>
      <c r="H1336" t="s">
        <v>234</v>
      </c>
      <c r="J1336" t="s">
        <v>52</v>
      </c>
      <c r="K1336" s="15">
        <v>5000</v>
      </c>
      <c r="L1336" s="15">
        <v>0</v>
      </c>
      <c r="M1336" s="13">
        <v>45224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279927.03738317755</v>
      </c>
      <c r="Y1336">
        <v>279927.03738317755</v>
      </c>
      <c r="Z1336">
        <v>19594.892616822432</v>
      </c>
      <c r="AA1336">
        <v>299521.93</v>
      </c>
      <c r="AB1336" t="s">
        <v>242</v>
      </c>
      <c r="AC1336">
        <v>3</v>
      </c>
      <c r="AD1336">
        <v>15000</v>
      </c>
      <c r="AE1336">
        <v>0</v>
      </c>
      <c r="AF1336">
        <v>0</v>
      </c>
      <c r="AG1336">
        <v>981.30841121495268</v>
      </c>
      <c r="AH1336" t="s">
        <v>58</v>
      </c>
    </row>
    <row r="1337" spans="1:34" x14ac:dyDescent="0.3">
      <c r="A1337" t="s">
        <v>798</v>
      </c>
      <c r="B1337">
        <v>4142300724</v>
      </c>
      <c r="C1337">
        <v>10329637</v>
      </c>
      <c r="D1337" t="s">
        <v>206</v>
      </c>
      <c r="E1337" t="s">
        <v>445</v>
      </c>
      <c r="F1337" t="s">
        <v>430</v>
      </c>
      <c r="G1337" t="s">
        <v>230</v>
      </c>
      <c r="H1337" t="s">
        <v>234</v>
      </c>
      <c r="J1337" t="s">
        <v>52</v>
      </c>
      <c r="K1337" s="15">
        <v>2000</v>
      </c>
      <c r="L1337" s="15">
        <v>0</v>
      </c>
      <c r="M1337" s="13">
        <v>45224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410861.34937908081</v>
      </c>
      <c r="Y1337">
        <v>410861.34937908081</v>
      </c>
      <c r="Z1337">
        <v>28760.294456535659</v>
      </c>
      <c r="AA1337">
        <v>439621.64383561647</v>
      </c>
      <c r="AB1337" t="s">
        <v>242</v>
      </c>
      <c r="AC1337">
        <v>3</v>
      </c>
      <c r="AD1337">
        <v>5000</v>
      </c>
      <c r="AE1337">
        <v>0</v>
      </c>
      <c r="AF1337">
        <v>0</v>
      </c>
      <c r="AG1337">
        <v>327.10280373831779</v>
      </c>
      <c r="AH1337" t="s">
        <v>58</v>
      </c>
    </row>
    <row r="1338" spans="1:34" x14ac:dyDescent="0.3">
      <c r="A1338" t="s">
        <v>798</v>
      </c>
      <c r="B1338">
        <v>4142300766</v>
      </c>
      <c r="C1338">
        <v>10354207</v>
      </c>
      <c r="D1338" t="s">
        <v>207</v>
      </c>
      <c r="E1338" t="s">
        <v>445</v>
      </c>
      <c r="F1338" t="s">
        <v>430</v>
      </c>
      <c r="G1338" t="s">
        <v>230</v>
      </c>
      <c r="H1338" t="s">
        <v>234</v>
      </c>
      <c r="J1338" t="s">
        <v>52</v>
      </c>
      <c r="K1338" s="15">
        <v>1000</v>
      </c>
      <c r="L1338" s="15">
        <v>0</v>
      </c>
      <c r="M1338" s="13">
        <v>45224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315217.38317757013</v>
      </c>
      <c r="Y1338">
        <v>315217.38317757013</v>
      </c>
      <c r="Z1338">
        <v>22065.216822429909</v>
      </c>
      <c r="AA1338">
        <v>337282.60000000003</v>
      </c>
      <c r="AB1338" t="s">
        <v>242</v>
      </c>
      <c r="AC1338">
        <v>4</v>
      </c>
      <c r="AD1338">
        <v>36000</v>
      </c>
      <c r="AE1338">
        <v>0</v>
      </c>
      <c r="AF1338">
        <v>0</v>
      </c>
      <c r="AG1338">
        <v>2355.1401869158881</v>
      </c>
      <c r="AH1338" t="s">
        <v>58</v>
      </c>
    </row>
    <row r="1339" spans="1:34" x14ac:dyDescent="0.3">
      <c r="A1339" t="s">
        <v>798</v>
      </c>
      <c r="B1339">
        <v>4132300482</v>
      </c>
      <c r="C1339" t="s">
        <v>347</v>
      </c>
      <c r="D1339" t="s">
        <v>386</v>
      </c>
      <c r="E1339" t="s">
        <v>441</v>
      </c>
      <c r="F1339" t="s">
        <v>430</v>
      </c>
      <c r="G1339" t="s">
        <v>233</v>
      </c>
      <c r="H1339" t="s">
        <v>231</v>
      </c>
      <c r="J1339" t="s">
        <v>52</v>
      </c>
      <c r="K1339" s="15">
        <v>7200</v>
      </c>
      <c r="L1339" s="15">
        <v>0</v>
      </c>
      <c r="M1339" s="13">
        <v>45224</v>
      </c>
      <c r="O1339">
        <v>0</v>
      </c>
      <c r="P1339">
        <v>1065.6217560767045</v>
      </c>
      <c r="Q1339">
        <v>0</v>
      </c>
      <c r="R1339">
        <v>0</v>
      </c>
      <c r="S1339">
        <v>5059.1650636672266</v>
      </c>
      <c r="T1339">
        <v>14179.638486220629</v>
      </c>
      <c r="U1339">
        <v>0</v>
      </c>
      <c r="V1339">
        <v>0</v>
      </c>
      <c r="W1339">
        <v>0</v>
      </c>
      <c r="X1339">
        <v>0</v>
      </c>
      <c r="Y1339">
        <v>20304.42530596456</v>
      </c>
      <c r="Z1339">
        <v>992.57469403544405</v>
      </c>
      <c r="AA1339">
        <v>21297.000000000004</v>
      </c>
      <c r="AB1339" t="s">
        <v>242</v>
      </c>
      <c r="AC1339">
        <v>1</v>
      </c>
      <c r="AD1339">
        <v>7200</v>
      </c>
      <c r="AE1339">
        <v>0</v>
      </c>
      <c r="AF1339">
        <v>0</v>
      </c>
      <c r="AG1339">
        <v>326.62046418171303</v>
      </c>
      <c r="AH1339" t="s">
        <v>58</v>
      </c>
    </row>
    <row r="1340" spans="1:34" x14ac:dyDescent="0.3">
      <c r="A1340" t="s">
        <v>798</v>
      </c>
      <c r="B1340">
        <v>4132300485</v>
      </c>
      <c r="C1340" t="s">
        <v>362</v>
      </c>
      <c r="D1340" t="s">
        <v>401</v>
      </c>
      <c r="E1340" t="s">
        <v>441</v>
      </c>
      <c r="F1340" t="s">
        <v>430</v>
      </c>
      <c r="G1340" t="s">
        <v>419</v>
      </c>
      <c r="H1340" t="s">
        <v>231</v>
      </c>
      <c r="J1340" t="s">
        <v>52</v>
      </c>
      <c r="K1340" s="15">
        <v>112051.84</v>
      </c>
      <c r="L1340" s="15">
        <v>0</v>
      </c>
      <c r="M1340" s="13">
        <v>45224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2.3044424451654777E-3</v>
      </c>
      <c r="U1340">
        <v>0</v>
      </c>
      <c r="V1340">
        <v>0</v>
      </c>
      <c r="W1340">
        <v>0</v>
      </c>
      <c r="X1340">
        <v>0</v>
      </c>
      <c r="Y1340">
        <v>2.3044424451654777E-3</v>
      </c>
      <c r="Z1340">
        <v>1.6131097116158346E-4</v>
      </c>
      <c r="AA1340">
        <v>2.4657534163270611E-3</v>
      </c>
      <c r="AB1340" t="s">
        <v>242</v>
      </c>
      <c r="AC1340">
        <v>1</v>
      </c>
      <c r="AD1340">
        <v>112051.84</v>
      </c>
      <c r="AE1340">
        <v>0</v>
      </c>
      <c r="AF1340">
        <v>0</v>
      </c>
      <c r="AG1340">
        <v>5645.7942312123923</v>
      </c>
      <c r="AH1340" t="s">
        <v>72</v>
      </c>
    </row>
    <row r="1341" spans="1:34" x14ac:dyDescent="0.3">
      <c r="A1341" t="s">
        <v>798</v>
      </c>
      <c r="B1341">
        <v>4132300882</v>
      </c>
      <c r="C1341" t="s">
        <v>354</v>
      </c>
      <c r="D1341" t="s">
        <v>393</v>
      </c>
      <c r="E1341" t="s">
        <v>441</v>
      </c>
      <c r="F1341" t="s">
        <v>430</v>
      </c>
      <c r="G1341" t="s">
        <v>419</v>
      </c>
      <c r="H1341" t="s">
        <v>231</v>
      </c>
      <c r="J1341" t="s">
        <v>52</v>
      </c>
      <c r="K1341" s="15">
        <v>200000</v>
      </c>
      <c r="L1341" s="15">
        <v>0</v>
      </c>
      <c r="M1341" s="13">
        <v>45224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 t="s">
        <v>242</v>
      </c>
      <c r="AC1341">
        <v>1</v>
      </c>
      <c r="AD1341">
        <v>200000</v>
      </c>
      <c r="AE1341">
        <v>0</v>
      </c>
      <c r="AF1341">
        <v>0</v>
      </c>
      <c r="AG1341">
        <v>10162.257894366747</v>
      </c>
      <c r="AH1341" t="s">
        <v>58</v>
      </c>
    </row>
    <row r="1342" spans="1:34" x14ac:dyDescent="0.3">
      <c r="A1342" t="s">
        <v>798</v>
      </c>
      <c r="B1342">
        <v>2200001</v>
      </c>
      <c r="C1342" t="s">
        <v>630</v>
      </c>
      <c r="D1342" t="s">
        <v>407</v>
      </c>
      <c r="E1342" t="s">
        <v>435</v>
      </c>
      <c r="F1342" t="s">
        <v>675</v>
      </c>
      <c r="G1342" t="s">
        <v>235</v>
      </c>
      <c r="H1342" t="s">
        <v>235</v>
      </c>
      <c r="J1342" t="s">
        <v>52</v>
      </c>
      <c r="K1342" s="15">
        <v>3000</v>
      </c>
      <c r="M1342" s="13">
        <v>45224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42246.990000000005</v>
      </c>
      <c r="W1342">
        <v>0</v>
      </c>
      <c r="X1342">
        <v>0</v>
      </c>
      <c r="Y1342">
        <v>42246.990000000005</v>
      </c>
      <c r="Z1342">
        <v>0</v>
      </c>
      <c r="AA1342">
        <v>42246.990000000005</v>
      </c>
      <c r="AB1342" t="s">
        <v>242</v>
      </c>
      <c r="AC1342">
        <v>9</v>
      </c>
      <c r="AD1342">
        <v>27000</v>
      </c>
      <c r="AE1342">
        <v>0</v>
      </c>
      <c r="AF1342">
        <v>0</v>
      </c>
      <c r="AG1342">
        <v>0</v>
      </c>
      <c r="AH1342" t="s">
        <v>58</v>
      </c>
    </row>
    <row r="1343" spans="1:34" x14ac:dyDescent="0.3">
      <c r="A1343" t="s">
        <v>798</v>
      </c>
      <c r="B1343">
        <v>52200044</v>
      </c>
      <c r="C1343" t="s">
        <v>669</v>
      </c>
      <c r="D1343" t="s">
        <v>383</v>
      </c>
      <c r="E1343" t="s">
        <v>435</v>
      </c>
      <c r="F1343" t="s">
        <v>431</v>
      </c>
      <c r="G1343" t="s">
        <v>235</v>
      </c>
      <c r="H1343" t="s">
        <v>236</v>
      </c>
      <c r="J1343" t="s">
        <v>52</v>
      </c>
      <c r="K1343" s="15">
        <v>5000</v>
      </c>
      <c r="M1343" s="13">
        <v>45224</v>
      </c>
      <c r="O1343">
        <v>4735.4352506920941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139458.47172832515</v>
      </c>
      <c r="W1343">
        <v>0</v>
      </c>
      <c r="X1343">
        <v>0</v>
      </c>
      <c r="Y1343">
        <v>144193.90697901725</v>
      </c>
      <c r="Z1343">
        <v>9762.093020982762</v>
      </c>
      <c r="AA1343">
        <v>153956</v>
      </c>
      <c r="AB1343" t="s">
        <v>242</v>
      </c>
      <c r="AC1343">
        <v>2</v>
      </c>
      <c r="AD1343">
        <v>10000</v>
      </c>
      <c r="AE1343">
        <v>0</v>
      </c>
      <c r="AF1343">
        <v>0</v>
      </c>
      <c r="AG1343">
        <v>639.49812689546889</v>
      </c>
      <c r="AH1343" t="s">
        <v>58</v>
      </c>
    </row>
    <row r="1344" spans="1:34" x14ac:dyDescent="0.3">
      <c r="A1344" t="s">
        <v>798</v>
      </c>
      <c r="B1344">
        <v>12200001</v>
      </c>
      <c r="C1344">
        <v>11371109</v>
      </c>
      <c r="D1344" t="s">
        <v>111</v>
      </c>
      <c r="E1344" t="s">
        <v>435</v>
      </c>
      <c r="F1344" t="s">
        <v>427</v>
      </c>
      <c r="G1344" t="s">
        <v>82</v>
      </c>
      <c r="H1344" t="s">
        <v>82</v>
      </c>
      <c r="J1344" t="s">
        <v>52</v>
      </c>
      <c r="K1344" s="15">
        <v>2000</v>
      </c>
      <c r="L1344" s="15">
        <v>0</v>
      </c>
      <c r="M1344" s="13">
        <v>45225</v>
      </c>
      <c r="O1344">
        <v>0</v>
      </c>
      <c r="P1344">
        <v>0</v>
      </c>
      <c r="Q1344">
        <v>0</v>
      </c>
      <c r="R1344">
        <v>0</v>
      </c>
      <c r="S1344">
        <v>31274.413513237239</v>
      </c>
      <c r="T1344">
        <v>0</v>
      </c>
      <c r="U1344">
        <v>0</v>
      </c>
      <c r="V1344">
        <v>107144.0766813306</v>
      </c>
      <c r="W1344">
        <v>0</v>
      </c>
      <c r="X1344">
        <v>0</v>
      </c>
      <c r="Y1344">
        <v>138418.49019456783</v>
      </c>
      <c r="Z1344">
        <v>0</v>
      </c>
      <c r="AA1344">
        <v>138418.49019456783</v>
      </c>
      <c r="AB1344" t="s">
        <v>242</v>
      </c>
      <c r="AC1344">
        <v>7</v>
      </c>
      <c r="AD1344">
        <v>12000</v>
      </c>
      <c r="AE1344">
        <v>0</v>
      </c>
      <c r="AF1344">
        <v>0</v>
      </c>
      <c r="AG1344">
        <v>0</v>
      </c>
      <c r="AH1344" t="s">
        <v>58</v>
      </c>
    </row>
    <row r="1345" spans="1:34" x14ac:dyDescent="0.3">
      <c r="A1345" t="s">
        <v>798</v>
      </c>
      <c r="B1345">
        <v>12200198</v>
      </c>
      <c r="C1345">
        <v>21155200</v>
      </c>
      <c r="D1345" t="s">
        <v>815</v>
      </c>
      <c r="E1345" t="s">
        <v>438</v>
      </c>
      <c r="F1345" t="s">
        <v>427</v>
      </c>
      <c r="G1345" t="s">
        <v>82</v>
      </c>
      <c r="H1345" t="s">
        <v>82</v>
      </c>
      <c r="J1345" t="s">
        <v>52</v>
      </c>
      <c r="K1345" s="15">
        <v>3000</v>
      </c>
      <c r="L1345" s="15">
        <v>0</v>
      </c>
      <c r="M1345" s="13">
        <v>45225</v>
      </c>
      <c r="O1345">
        <v>0</v>
      </c>
      <c r="P1345">
        <v>0</v>
      </c>
      <c r="Q1345">
        <v>0</v>
      </c>
      <c r="R1345">
        <v>0</v>
      </c>
      <c r="S1345">
        <v>12252.267691327819</v>
      </c>
      <c r="T1345">
        <v>0</v>
      </c>
      <c r="U1345">
        <v>0</v>
      </c>
      <c r="V1345">
        <v>142102.18304325169</v>
      </c>
      <c r="W1345">
        <v>0</v>
      </c>
      <c r="X1345">
        <v>0</v>
      </c>
      <c r="Y1345">
        <v>154354.4507345795</v>
      </c>
      <c r="Z1345">
        <v>0</v>
      </c>
      <c r="AA1345">
        <v>154354.4507345795</v>
      </c>
      <c r="AB1345" t="s">
        <v>242</v>
      </c>
      <c r="AC1345">
        <v>11</v>
      </c>
      <c r="AD1345">
        <v>27000</v>
      </c>
      <c r="AE1345">
        <v>0</v>
      </c>
      <c r="AF1345">
        <v>0</v>
      </c>
      <c r="AG1345">
        <v>0</v>
      </c>
      <c r="AH1345" t="s">
        <v>58</v>
      </c>
    </row>
    <row r="1346" spans="1:34" x14ac:dyDescent="0.3">
      <c r="A1346" t="s">
        <v>798</v>
      </c>
      <c r="B1346">
        <v>32200123</v>
      </c>
      <c r="C1346">
        <v>26112598</v>
      </c>
      <c r="D1346" t="s">
        <v>815</v>
      </c>
      <c r="E1346" t="s">
        <v>438</v>
      </c>
      <c r="F1346" t="s">
        <v>429</v>
      </c>
      <c r="G1346" t="s">
        <v>82</v>
      </c>
      <c r="H1346" t="s">
        <v>82</v>
      </c>
      <c r="J1346" t="s">
        <v>52</v>
      </c>
      <c r="K1346" s="15">
        <v>3000</v>
      </c>
      <c r="L1346" s="15">
        <v>0</v>
      </c>
      <c r="M1346" s="13">
        <v>45225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14404.701369863014</v>
      </c>
      <c r="W1346">
        <v>0</v>
      </c>
      <c r="X1346">
        <v>0</v>
      </c>
      <c r="Y1346">
        <v>14404.701369863014</v>
      </c>
      <c r="Z1346">
        <v>0</v>
      </c>
      <c r="AA1346">
        <v>14404.701369863014</v>
      </c>
      <c r="AB1346" t="s">
        <v>242</v>
      </c>
      <c r="AC1346">
        <v>5</v>
      </c>
      <c r="AD1346">
        <v>11000</v>
      </c>
      <c r="AE1346">
        <v>0</v>
      </c>
      <c r="AF1346">
        <v>0</v>
      </c>
      <c r="AG1346">
        <v>0</v>
      </c>
      <c r="AH1346" t="s">
        <v>58</v>
      </c>
    </row>
    <row r="1347" spans="1:34" x14ac:dyDescent="0.3">
      <c r="A1347" t="s">
        <v>798</v>
      </c>
      <c r="B1347">
        <v>42200128</v>
      </c>
      <c r="C1347">
        <v>2759027402</v>
      </c>
      <c r="D1347" t="s">
        <v>824</v>
      </c>
      <c r="E1347" t="s">
        <v>439</v>
      </c>
      <c r="F1347" t="s">
        <v>430</v>
      </c>
      <c r="G1347" t="s">
        <v>232</v>
      </c>
      <c r="H1347" t="s">
        <v>71</v>
      </c>
      <c r="J1347" t="s">
        <v>52</v>
      </c>
      <c r="K1347" s="15">
        <v>1000</v>
      </c>
      <c r="L1347" s="15">
        <v>0</v>
      </c>
      <c r="M1347" s="13">
        <v>45225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67135.196261682242</v>
      </c>
      <c r="Y1347">
        <v>67135.196261682242</v>
      </c>
      <c r="Z1347">
        <v>4699.4637383177578</v>
      </c>
      <c r="AA1347">
        <v>71834.66</v>
      </c>
      <c r="AB1347" t="s">
        <v>242</v>
      </c>
      <c r="AC1347">
        <v>3</v>
      </c>
      <c r="AD1347">
        <v>4000</v>
      </c>
      <c r="AE1347">
        <v>0</v>
      </c>
      <c r="AF1347">
        <v>0</v>
      </c>
      <c r="AG1347">
        <v>261.68224299065423</v>
      </c>
      <c r="AH1347" t="s">
        <v>58</v>
      </c>
    </row>
    <row r="1348" spans="1:34" x14ac:dyDescent="0.3">
      <c r="A1348" t="s">
        <v>798</v>
      </c>
      <c r="B1348">
        <v>52201087</v>
      </c>
      <c r="C1348">
        <v>26018254</v>
      </c>
      <c r="D1348" t="s">
        <v>149</v>
      </c>
      <c r="E1348" t="s">
        <v>438</v>
      </c>
      <c r="F1348" t="s">
        <v>431</v>
      </c>
      <c r="G1348" t="s">
        <v>82</v>
      </c>
      <c r="H1348" t="s">
        <v>83</v>
      </c>
      <c r="J1348" t="s">
        <v>52</v>
      </c>
      <c r="K1348" s="15">
        <v>2000</v>
      </c>
      <c r="L1348" s="15">
        <v>0</v>
      </c>
      <c r="M1348" s="13">
        <v>45225</v>
      </c>
      <c r="O1348">
        <v>0</v>
      </c>
      <c r="P1348">
        <v>0</v>
      </c>
      <c r="Q1348">
        <v>0</v>
      </c>
      <c r="R1348">
        <v>949.12355823172823</v>
      </c>
      <c r="S1348">
        <v>4701.0103079329492</v>
      </c>
      <c r="T1348">
        <v>0</v>
      </c>
      <c r="U1348">
        <v>0</v>
      </c>
      <c r="V1348">
        <v>36780.182457105089</v>
      </c>
      <c r="W1348">
        <v>0</v>
      </c>
      <c r="X1348">
        <v>0</v>
      </c>
      <c r="Y1348">
        <v>42430.31632326977</v>
      </c>
      <c r="Z1348">
        <v>2903.6834935526631</v>
      </c>
      <c r="AA1348">
        <v>45333.999816822434</v>
      </c>
      <c r="AB1348" t="s">
        <v>242</v>
      </c>
      <c r="AC1348">
        <v>2</v>
      </c>
      <c r="AD1348">
        <v>4000</v>
      </c>
      <c r="AE1348">
        <v>0</v>
      </c>
      <c r="AF1348">
        <v>0</v>
      </c>
      <c r="AG1348">
        <v>255.80247577216915</v>
      </c>
      <c r="AH1348" t="s">
        <v>58</v>
      </c>
    </row>
    <row r="1349" spans="1:34" x14ac:dyDescent="0.3">
      <c r="A1349" t="s">
        <v>798</v>
      </c>
      <c r="B1349">
        <v>52201351</v>
      </c>
      <c r="C1349">
        <v>22940816</v>
      </c>
      <c r="D1349" t="s">
        <v>155</v>
      </c>
      <c r="E1349" t="s">
        <v>438</v>
      </c>
      <c r="F1349" t="s">
        <v>431</v>
      </c>
      <c r="G1349" t="s">
        <v>82</v>
      </c>
      <c r="H1349" t="s">
        <v>83</v>
      </c>
      <c r="J1349" t="s">
        <v>52</v>
      </c>
      <c r="K1349" s="15">
        <v>500</v>
      </c>
      <c r="L1349" s="15">
        <v>0</v>
      </c>
      <c r="M1349" s="13">
        <v>45225</v>
      </c>
      <c r="O1349">
        <v>0</v>
      </c>
      <c r="P1349">
        <v>0</v>
      </c>
      <c r="Q1349">
        <v>0</v>
      </c>
      <c r="R1349">
        <v>839.58421494851575</v>
      </c>
      <c r="S1349">
        <v>25166.909001657899</v>
      </c>
      <c r="T1349">
        <v>0</v>
      </c>
      <c r="U1349">
        <v>0</v>
      </c>
      <c r="V1349">
        <v>73829.741339665459</v>
      </c>
      <c r="W1349">
        <v>0</v>
      </c>
      <c r="X1349">
        <v>0</v>
      </c>
      <c r="Y1349">
        <v>99836.234556271869</v>
      </c>
      <c r="Z1349">
        <v>6929.7655238926354</v>
      </c>
      <c r="AA1349">
        <v>106766.00008016451</v>
      </c>
      <c r="AB1349" t="s">
        <v>242</v>
      </c>
      <c r="AC1349">
        <v>7</v>
      </c>
      <c r="AD1349">
        <v>6100</v>
      </c>
      <c r="AE1349">
        <v>0</v>
      </c>
      <c r="AF1349">
        <v>0</v>
      </c>
      <c r="AG1349">
        <v>395.70177107139841</v>
      </c>
      <c r="AH1349" t="s">
        <v>58</v>
      </c>
    </row>
    <row r="1350" spans="1:34" x14ac:dyDescent="0.3">
      <c r="A1350" t="s">
        <v>798</v>
      </c>
      <c r="B1350">
        <v>4132301018</v>
      </c>
      <c r="C1350">
        <v>1080106951</v>
      </c>
      <c r="D1350" t="s">
        <v>178</v>
      </c>
      <c r="E1350" t="s">
        <v>441</v>
      </c>
      <c r="F1350" t="s">
        <v>430</v>
      </c>
      <c r="G1350" t="s">
        <v>238</v>
      </c>
      <c r="H1350" t="s">
        <v>236</v>
      </c>
      <c r="J1350" t="s">
        <v>52</v>
      </c>
      <c r="K1350" s="15">
        <v>3000</v>
      </c>
      <c r="L1350" s="15">
        <v>0</v>
      </c>
      <c r="M1350" s="13">
        <v>45225</v>
      </c>
      <c r="O1350">
        <v>0</v>
      </c>
      <c r="P1350">
        <v>0</v>
      </c>
      <c r="Q1350">
        <v>0</v>
      </c>
      <c r="R1350">
        <v>0</v>
      </c>
      <c r="S1350">
        <v>3991.3202825568014</v>
      </c>
      <c r="T1350">
        <v>0</v>
      </c>
      <c r="U1350">
        <v>0</v>
      </c>
      <c r="V1350">
        <v>119807.36934289277</v>
      </c>
      <c r="W1350">
        <v>0</v>
      </c>
      <c r="X1350">
        <v>0</v>
      </c>
      <c r="Y1350">
        <v>123798.68962544957</v>
      </c>
      <c r="Z1350">
        <v>8386.515854002495</v>
      </c>
      <c r="AA1350">
        <v>132185.20547945207</v>
      </c>
      <c r="AB1350" t="s">
        <v>242</v>
      </c>
      <c r="AC1350">
        <v>2</v>
      </c>
      <c r="AD1350">
        <v>6000</v>
      </c>
      <c r="AE1350">
        <v>0</v>
      </c>
      <c r="AF1350">
        <v>0</v>
      </c>
      <c r="AG1350">
        <v>379.83928618442269</v>
      </c>
      <c r="AH1350" t="s">
        <v>58</v>
      </c>
    </row>
    <row r="1351" spans="1:34" x14ac:dyDescent="0.3">
      <c r="A1351" t="s">
        <v>798</v>
      </c>
      <c r="B1351">
        <v>4132301072</v>
      </c>
      <c r="C1351">
        <v>1120077615</v>
      </c>
      <c r="D1351" t="s">
        <v>910</v>
      </c>
      <c r="E1351" t="s">
        <v>441</v>
      </c>
      <c r="F1351" t="s">
        <v>430</v>
      </c>
      <c r="G1351" t="s">
        <v>233</v>
      </c>
      <c r="H1351" t="s">
        <v>231</v>
      </c>
      <c r="J1351" t="s">
        <v>52</v>
      </c>
      <c r="K1351" s="15">
        <v>1000</v>
      </c>
      <c r="L1351" s="15">
        <v>0</v>
      </c>
      <c r="M1351" s="13">
        <v>45225</v>
      </c>
      <c r="O1351">
        <v>0</v>
      </c>
      <c r="P1351">
        <v>530.43636868789099</v>
      </c>
      <c r="Q1351">
        <v>0</v>
      </c>
      <c r="R1351">
        <v>0</v>
      </c>
      <c r="S1351">
        <v>2451.8589041095888</v>
      </c>
      <c r="T1351">
        <v>4705.1996554318775</v>
      </c>
      <c r="U1351">
        <v>0</v>
      </c>
      <c r="V1351">
        <v>0</v>
      </c>
      <c r="W1351">
        <v>0</v>
      </c>
      <c r="X1351">
        <v>0</v>
      </c>
      <c r="Y1351">
        <v>7687.4949282293574</v>
      </c>
      <c r="Z1351">
        <v>329.36397588023146</v>
      </c>
      <c r="AA1351">
        <v>8016.8589041095893</v>
      </c>
      <c r="AB1351" t="s">
        <v>242</v>
      </c>
      <c r="AC1351">
        <v>3</v>
      </c>
      <c r="AD1351">
        <v>7000</v>
      </c>
      <c r="AE1351">
        <v>0</v>
      </c>
      <c r="AF1351">
        <v>0</v>
      </c>
      <c r="AG1351">
        <v>276.43041664313319</v>
      </c>
      <c r="AH1351" t="s">
        <v>58</v>
      </c>
    </row>
    <row r="1352" spans="1:34" x14ac:dyDescent="0.3">
      <c r="A1352" t="s">
        <v>798</v>
      </c>
      <c r="B1352">
        <v>4132301072</v>
      </c>
      <c r="C1352">
        <v>1120077615</v>
      </c>
      <c r="D1352" t="s">
        <v>910</v>
      </c>
      <c r="E1352" t="s">
        <v>441</v>
      </c>
      <c r="F1352" t="s">
        <v>430</v>
      </c>
      <c r="G1352" t="s">
        <v>233</v>
      </c>
      <c r="H1352" t="s">
        <v>231</v>
      </c>
      <c r="J1352" t="s">
        <v>52</v>
      </c>
      <c r="K1352" s="15">
        <v>2000</v>
      </c>
      <c r="L1352" s="15">
        <v>0</v>
      </c>
      <c r="M1352" s="13">
        <v>45225</v>
      </c>
      <c r="O1352">
        <v>0</v>
      </c>
      <c r="P1352">
        <v>0</v>
      </c>
      <c r="Q1352">
        <v>0</v>
      </c>
      <c r="R1352">
        <v>0</v>
      </c>
      <c r="S1352">
        <v>2206.4130639270315</v>
      </c>
      <c r="T1352">
        <v>3561.164336619212</v>
      </c>
      <c r="U1352">
        <v>0</v>
      </c>
      <c r="V1352">
        <v>0</v>
      </c>
      <c r="W1352">
        <v>0</v>
      </c>
      <c r="X1352">
        <v>0</v>
      </c>
      <c r="Y1352">
        <v>5767.5774005462436</v>
      </c>
      <c r="Z1352">
        <v>249.28150356334487</v>
      </c>
      <c r="AA1352">
        <v>6016.8589041095884</v>
      </c>
      <c r="AB1352" t="s">
        <v>242</v>
      </c>
      <c r="AC1352">
        <v>4</v>
      </c>
      <c r="AD1352">
        <v>9000</v>
      </c>
      <c r="AE1352">
        <v>0</v>
      </c>
      <c r="AF1352">
        <v>0</v>
      </c>
      <c r="AG1352">
        <v>356.51288896001984</v>
      </c>
      <c r="AH1352" t="s">
        <v>58</v>
      </c>
    </row>
    <row r="1353" spans="1:34" x14ac:dyDescent="0.3">
      <c r="A1353" t="s">
        <v>798</v>
      </c>
      <c r="B1353">
        <v>4142300044</v>
      </c>
      <c r="C1353">
        <v>120810</v>
      </c>
      <c r="D1353" t="s">
        <v>186</v>
      </c>
      <c r="E1353" t="s">
        <v>444</v>
      </c>
      <c r="F1353" t="s">
        <v>430</v>
      </c>
      <c r="G1353" t="s">
        <v>233</v>
      </c>
      <c r="H1353" t="s">
        <v>231</v>
      </c>
      <c r="J1353" t="s">
        <v>52</v>
      </c>
      <c r="K1353" s="15">
        <v>1637</v>
      </c>
      <c r="L1353" s="15">
        <v>0</v>
      </c>
      <c r="M1353" s="13">
        <v>45225</v>
      </c>
      <c r="O1353">
        <v>0</v>
      </c>
      <c r="P1353">
        <v>0</v>
      </c>
      <c r="Q1353">
        <v>17863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17863</v>
      </c>
      <c r="Z1353">
        <v>0</v>
      </c>
      <c r="AA1353">
        <v>17863</v>
      </c>
      <c r="AB1353" t="s">
        <v>242</v>
      </c>
      <c r="AC1353">
        <v>3</v>
      </c>
      <c r="AD1353">
        <v>8137</v>
      </c>
      <c r="AE1353">
        <v>0</v>
      </c>
      <c r="AF1353">
        <v>0</v>
      </c>
      <c r="AG1353">
        <v>0</v>
      </c>
      <c r="AH1353" t="s">
        <v>58</v>
      </c>
    </row>
    <row r="1354" spans="1:34" x14ac:dyDescent="0.3">
      <c r="A1354" t="s">
        <v>798</v>
      </c>
      <c r="B1354">
        <v>4142300842</v>
      </c>
      <c r="C1354">
        <v>10382588</v>
      </c>
      <c r="D1354" t="s">
        <v>211</v>
      </c>
      <c r="E1354" t="s">
        <v>445</v>
      </c>
      <c r="F1354" t="s">
        <v>430</v>
      </c>
      <c r="G1354" t="s">
        <v>230</v>
      </c>
      <c r="H1354" t="s">
        <v>234</v>
      </c>
      <c r="J1354" t="s">
        <v>52</v>
      </c>
      <c r="K1354" s="15">
        <v>2000</v>
      </c>
      <c r="L1354" s="15">
        <v>0</v>
      </c>
      <c r="M1354" s="13">
        <v>45225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117787.99065420558</v>
      </c>
      <c r="Y1354">
        <v>117787.99065420558</v>
      </c>
      <c r="Z1354">
        <v>8245.1593457943909</v>
      </c>
      <c r="AA1354">
        <v>126033.14999999998</v>
      </c>
      <c r="AB1354" t="s">
        <v>242</v>
      </c>
      <c r="AC1354">
        <v>7</v>
      </c>
      <c r="AD1354">
        <v>10500</v>
      </c>
      <c r="AE1354">
        <v>0</v>
      </c>
      <c r="AF1354">
        <v>0</v>
      </c>
      <c r="AG1354">
        <v>686.91588785046747</v>
      </c>
      <c r="AH1354" t="s">
        <v>58</v>
      </c>
    </row>
    <row r="1355" spans="1:34" x14ac:dyDescent="0.3">
      <c r="A1355" t="s">
        <v>798</v>
      </c>
      <c r="B1355">
        <v>4132300350</v>
      </c>
      <c r="C1355" t="s">
        <v>466</v>
      </c>
      <c r="D1355" t="s">
        <v>539</v>
      </c>
      <c r="E1355" t="s">
        <v>441</v>
      </c>
      <c r="F1355" t="s">
        <v>430</v>
      </c>
      <c r="G1355" t="s">
        <v>230</v>
      </c>
      <c r="H1355" t="s">
        <v>231</v>
      </c>
      <c r="J1355" t="s">
        <v>52</v>
      </c>
      <c r="K1355" s="15">
        <v>2000</v>
      </c>
      <c r="L1355" s="15">
        <v>0</v>
      </c>
      <c r="M1355" s="13">
        <v>45225</v>
      </c>
      <c r="O1355">
        <v>0</v>
      </c>
      <c r="P1355">
        <v>0</v>
      </c>
      <c r="Q1355">
        <v>0</v>
      </c>
      <c r="R1355">
        <v>0</v>
      </c>
      <c r="S1355">
        <v>3000.0775633854678</v>
      </c>
      <c r="T1355">
        <v>0</v>
      </c>
      <c r="U1355">
        <v>0</v>
      </c>
      <c r="V1355">
        <v>0</v>
      </c>
      <c r="W1355">
        <v>7124.8282918046461</v>
      </c>
      <c r="X1355">
        <v>0</v>
      </c>
      <c r="Y1355">
        <v>10124.905855190114</v>
      </c>
      <c r="Z1355">
        <v>498.73798042632529</v>
      </c>
      <c r="AA1355">
        <v>10623.64383561644</v>
      </c>
      <c r="AB1355" t="s">
        <v>242</v>
      </c>
      <c r="AC1355">
        <v>4</v>
      </c>
      <c r="AD1355">
        <v>15000</v>
      </c>
      <c r="AE1355">
        <v>0</v>
      </c>
      <c r="AF1355">
        <v>0</v>
      </c>
      <c r="AG1355">
        <v>680.59846817180551</v>
      </c>
      <c r="AH1355" t="s">
        <v>58</v>
      </c>
    </row>
    <row r="1356" spans="1:34" x14ac:dyDescent="0.3">
      <c r="A1356" t="s">
        <v>798</v>
      </c>
      <c r="B1356">
        <v>12200035</v>
      </c>
      <c r="C1356" t="s">
        <v>632</v>
      </c>
      <c r="D1356" t="s">
        <v>631</v>
      </c>
      <c r="E1356" t="s">
        <v>435</v>
      </c>
      <c r="F1356" t="s">
        <v>427</v>
      </c>
      <c r="G1356" t="s">
        <v>230</v>
      </c>
      <c r="H1356" t="s">
        <v>230</v>
      </c>
      <c r="J1356" t="s">
        <v>52</v>
      </c>
      <c r="K1356" s="15">
        <v>1500</v>
      </c>
      <c r="M1356" s="13">
        <v>45225</v>
      </c>
      <c r="O1356">
        <v>0</v>
      </c>
      <c r="P1356">
        <v>0</v>
      </c>
      <c r="Q1356">
        <v>0</v>
      </c>
      <c r="R1356">
        <v>0</v>
      </c>
      <c r="S1356">
        <v>66099.029999999984</v>
      </c>
      <c r="T1356">
        <v>0</v>
      </c>
      <c r="U1356">
        <v>0</v>
      </c>
      <c r="V1356">
        <v>79907.710000000006</v>
      </c>
      <c r="W1356">
        <v>0</v>
      </c>
      <c r="X1356">
        <v>0</v>
      </c>
      <c r="Y1356">
        <v>146006.74</v>
      </c>
      <c r="Z1356">
        <v>0</v>
      </c>
      <c r="AA1356">
        <v>146006.74</v>
      </c>
      <c r="AB1356" t="s">
        <v>242</v>
      </c>
      <c r="AC1356">
        <v>8</v>
      </c>
      <c r="AD1356">
        <v>12000</v>
      </c>
      <c r="AE1356">
        <v>0</v>
      </c>
      <c r="AF1356">
        <v>0</v>
      </c>
      <c r="AG1356">
        <v>0</v>
      </c>
      <c r="AH1356" t="s">
        <v>58</v>
      </c>
    </row>
    <row r="1357" spans="1:34" x14ac:dyDescent="0.3">
      <c r="A1357" t="s">
        <v>798</v>
      </c>
      <c r="B1357">
        <v>52200688</v>
      </c>
      <c r="C1357" t="s">
        <v>679</v>
      </c>
      <c r="D1357" t="s">
        <v>733</v>
      </c>
      <c r="E1357" t="s">
        <v>438</v>
      </c>
      <c r="F1357" t="s">
        <v>431</v>
      </c>
      <c r="G1357" t="s">
        <v>230</v>
      </c>
      <c r="H1357" t="s">
        <v>231</v>
      </c>
      <c r="J1357" t="s">
        <v>672</v>
      </c>
      <c r="L1357" s="15" t="s">
        <v>423</v>
      </c>
      <c r="M1357" s="13">
        <v>45225</v>
      </c>
      <c r="O1357">
        <v>3000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11214.953271028038</v>
      </c>
      <c r="V1357">
        <v>0</v>
      </c>
      <c r="W1357">
        <v>70093.457943925227</v>
      </c>
      <c r="X1357">
        <v>0</v>
      </c>
      <c r="Y1357">
        <v>84308.411214953259</v>
      </c>
      <c r="Z1357">
        <v>5691.5887850467288</v>
      </c>
      <c r="AA1357">
        <v>89999.999999999985</v>
      </c>
      <c r="AB1357" t="s">
        <v>242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 t="s">
        <v>72</v>
      </c>
    </row>
    <row r="1358" spans="1:34" x14ac:dyDescent="0.3">
      <c r="A1358" t="s">
        <v>798</v>
      </c>
      <c r="B1358">
        <v>12200171</v>
      </c>
      <c r="C1358">
        <v>25596188</v>
      </c>
      <c r="D1358" t="s">
        <v>117</v>
      </c>
      <c r="E1358" t="s">
        <v>438</v>
      </c>
      <c r="F1358" t="s">
        <v>427</v>
      </c>
      <c r="G1358" t="s">
        <v>82</v>
      </c>
      <c r="H1358" t="s">
        <v>82</v>
      </c>
      <c r="J1358" t="s">
        <v>52</v>
      </c>
      <c r="K1358" s="15">
        <v>1500</v>
      </c>
      <c r="L1358" s="15">
        <v>0</v>
      </c>
      <c r="M1358" s="13">
        <v>45226</v>
      </c>
      <c r="O1358">
        <v>0</v>
      </c>
      <c r="P1358">
        <v>0</v>
      </c>
      <c r="Q1358">
        <v>0</v>
      </c>
      <c r="R1358">
        <v>0</v>
      </c>
      <c r="S1358">
        <v>29244.933781943517</v>
      </c>
      <c r="T1358">
        <v>0</v>
      </c>
      <c r="U1358">
        <v>0</v>
      </c>
      <c r="V1358">
        <v>146895.79377429161</v>
      </c>
      <c r="W1358">
        <v>0</v>
      </c>
      <c r="X1358">
        <v>0</v>
      </c>
      <c r="Y1358">
        <v>176140.72755623513</v>
      </c>
      <c r="Z1358">
        <v>0</v>
      </c>
      <c r="AA1358">
        <v>176140.72755623513</v>
      </c>
      <c r="AB1358" t="s">
        <v>242</v>
      </c>
      <c r="AC1358">
        <v>5</v>
      </c>
      <c r="AD1358">
        <v>5800</v>
      </c>
      <c r="AE1358">
        <v>0</v>
      </c>
      <c r="AF1358">
        <v>0</v>
      </c>
      <c r="AG1358">
        <v>0</v>
      </c>
      <c r="AH1358" t="s">
        <v>58</v>
      </c>
    </row>
    <row r="1359" spans="1:34" x14ac:dyDescent="0.3">
      <c r="A1359" t="s">
        <v>798</v>
      </c>
      <c r="B1359">
        <v>42200052</v>
      </c>
      <c r="C1359" t="s">
        <v>90</v>
      </c>
      <c r="D1359" t="s">
        <v>121</v>
      </c>
      <c r="E1359" t="s">
        <v>437</v>
      </c>
      <c r="F1359" t="s">
        <v>430</v>
      </c>
      <c r="G1359" t="s">
        <v>230</v>
      </c>
      <c r="H1359" t="s">
        <v>231</v>
      </c>
      <c r="J1359" t="s">
        <v>52</v>
      </c>
      <c r="K1359" s="15">
        <v>3000</v>
      </c>
      <c r="L1359" s="15">
        <v>0</v>
      </c>
      <c r="M1359" s="13">
        <v>45226</v>
      </c>
      <c r="O1359">
        <v>0</v>
      </c>
      <c r="P1359">
        <v>2534.0036876690619</v>
      </c>
      <c r="Q1359">
        <v>0</v>
      </c>
      <c r="R1359">
        <v>0</v>
      </c>
      <c r="S1359">
        <v>5574.6712328767117</v>
      </c>
      <c r="T1359">
        <v>16790.650759187796</v>
      </c>
      <c r="U1359">
        <v>14018.691588785046</v>
      </c>
      <c r="V1359">
        <v>0</v>
      </c>
      <c r="W1359">
        <v>135514.01869158878</v>
      </c>
      <c r="X1359">
        <v>0</v>
      </c>
      <c r="Y1359">
        <v>174432.0359601074</v>
      </c>
      <c r="Z1359">
        <v>11642.635272769316</v>
      </c>
      <c r="AA1359">
        <v>186074.67123287672</v>
      </c>
      <c r="AB1359" t="s">
        <v>242</v>
      </c>
      <c r="AC1359">
        <v>3</v>
      </c>
      <c r="AD1359">
        <v>10000</v>
      </c>
      <c r="AE1359">
        <v>0</v>
      </c>
      <c r="AF1359">
        <v>0</v>
      </c>
      <c r="AG1359">
        <v>623.71986741760247</v>
      </c>
      <c r="AH1359" t="s">
        <v>58</v>
      </c>
    </row>
    <row r="1360" spans="1:34" x14ac:dyDescent="0.3">
      <c r="A1360" t="s">
        <v>798</v>
      </c>
      <c r="B1360">
        <v>42200060</v>
      </c>
      <c r="C1360" t="s">
        <v>801</v>
      </c>
      <c r="D1360" t="s">
        <v>821</v>
      </c>
      <c r="E1360" t="s">
        <v>437</v>
      </c>
      <c r="F1360" t="s">
        <v>430</v>
      </c>
      <c r="G1360" t="s">
        <v>230</v>
      </c>
      <c r="H1360" t="s">
        <v>231</v>
      </c>
      <c r="J1360" t="s">
        <v>52</v>
      </c>
      <c r="K1360" s="15">
        <v>1000</v>
      </c>
      <c r="L1360" s="15">
        <v>0</v>
      </c>
      <c r="M1360" s="13">
        <v>45226</v>
      </c>
      <c r="O1360">
        <v>0</v>
      </c>
      <c r="P1360">
        <v>2359.4099547246906</v>
      </c>
      <c r="Q1360">
        <v>0</v>
      </c>
      <c r="R1360">
        <v>0</v>
      </c>
      <c r="S1360">
        <v>0</v>
      </c>
      <c r="T1360">
        <v>14083.729014275988</v>
      </c>
      <c r="U1360">
        <v>22429.906542056076</v>
      </c>
      <c r="V1360">
        <v>0</v>
      </c>
      <c r="W1360">
        <v>130841.1214953271</v>
      </c>
      <c r="X1360">
        <v>0</v>
      </c>
      <c r="Y1360">
        <v>169714.16700638385</v>
      </c>
      <c r="Z1360">
        <v>11714.832993616143</v>
      </c>
      <c r="AA1360">
        <v>181429</v>
      </c>
      <c r="AB1360" t="s">
        <v>242</v>
      </c>
      <c r="AC1360">
        <v>5</v>
      </c>
      <c r="AD1360">
        <v>5000</v>
      </c>
      <c r="AE1360">
        <v>0</v>
      </c>
      <c r="AF1360">
        <v>0</v>
      </c>
      <c r="AG1360">
        <v>322.55018395395177</v>
      </c>
      <c r="AH1360" t="s">
        <v>58</v>
      </c>
    </row>
    <row r="1361" spans="1:34" x14ac:dyDescent="0.3">
      <c r="A1361" t="s">
        <v>798</v>
      </c>
      <c r="B1361">
        <v>52200938</v>
      </c>
      <c r="C1361">
        <v>26269572</v>
      </c>
      <c r="D1361" t="s">
        <v>144</v>
      </c>
      <c r="E1361" t="s">
        <v>438</v>
      </c>
      <c r="F1361" t="s">
        <v>431</v>
      </c>
      <c r="G1361" t="s">
        <v>82</v>
      </c>
      <c r="H1361" t="s">
        <v>83</v>
      </c>
      <c r="J1361" t="s">
        <v>52</v>
      </c>
      <c r="K1361" s="15">
        <v>500</v>
      </c>
      <c r="L1361" s="15">
        <v>0</v>
      </c>
      <c r="M1361" s="13">
        <v>45226</v>
      </c>
      <c r="O1361">
        <v>0</v>
      </c>
      <c r="P1361">
        <v>0</v>
      </c>
      <c r="Q1361">
        <v>0</v>
      </c>
      <c r="R1361">
        <v>916.95023217989308</v>
      </c>
      <c r="S1361">
        <v>13878.885940831939</v>
      </c>
      <c r="T1361">
        <v>0</v>
      </c>
      <c r="U1361">
        <v>0</v>
      </c>
      <c r="V1361">
        <v>47963.216707056527</v>
      </c>
      <c r="W1361">
        <v>0</v>
      </c>
      <c r="X1361">
        <v>0</v>
      </c>
      <c r="Y1361">
        <v>62759.052880068361</v>
      </c>
      <c r="Z1361">
        <v>4328.9471853521927</v>
      </c>
      <c r="AA1361">
        <v>67088.000065420551</v>
      </c>
      <c r="AB1361" t="s">
        <v>242</v>
      </c>
      <c r="AC1361">
        <v>7</v>
      </c>
      <c r="AD1361">
        <v>15000</v>
      </c>
      <c r="AE1361">
        <v>0</v>
      </c>
      <c r="AF1361">
        <v>0</v>
      </c>
      <c r="AG1361">
        <v>966.84721145102128</v>
      </c>
      <c r="AH1361" t="s">
        <v>58</v>
      </c>
    </row>
    <row r="1362" spans="1:34" x14ac:dyDescent="0.3">
      <c r="A1362" t="s">
        <v>798</v>
      </c>
      <c r="B1362">
        <v>4132300003</v>
      </c>
      <c r="C1362" t="s">
        <v>464</v>
      </c>
      <c r="D1362" t="s">
        <v>537</v>
      </c>
      <c r="E1362" t="s">
        <v>441</v>
      </c>
      <c r="F1362" t="s">
        <v>430</v>
      </c>
      <c r="G1362" t="s">
        <v>418</v>
      </c>
      <c r="H1362" t="s">
        <v>236</v>
      </c>
      <c r="J1362" t="s">
        <v>52</v>
      </c>
      <c r="K1362" s="15">
        <v>450000</v>
      </c>
      <c r="L1362" s="15">
        <v>0</v>
      </c>
      <c r="M1362" s="13">
        <v>45226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 t="s">
        <v>242</v>
      </c>
      <c r="AC1362">
        <v>1</v>
      </c>
      <c r="AD1362">
        <v>450000</v>
      </c>
      <c r="AE1362">
        <v>0</v>
      </c>
      <c r="AF1362">
        <v>0</v>
      </c>
      <c r="AG1362">
        <v>18682.651660964533</v>
      </c>
      <c r="AH1362" t="s">
        <v>58</v>
      </c>
    </row>
    <row r="1363" spans="1:34" x14ac:dyDescent="0.3">
      <c r="A1363" t="s">
        <v>798</v>
      </c>
      <c r="B1363">
        <v>52200217</v>
      </c>
      <c r="C1363">
        <v>27002024</v>
      </c>
      <c r="D1363" t="s">
        <v>134</v>
      </c>
      <c r="E1363" t="s">
        <v>436</v>
      </c>
      <c r="F1363" t="s">
        <v>431</v>
      </c>
      <c r="G1363" t="s">
        <v>82</v>
      </c>
      <c r="H1363" t="s">
        <v>83</v>
      </c>
      <c r="J1363" t="s">
        <v>52</v>
      </c>
      <c r="K1363" s="15">
        <v>1500</v>
      </c>
      <c r="L1363" s="15">
        <v>0</v>
      </c>
      <c r="M1363" s="13">
        <v>45227</v>
      </c>
      <c r="O1363">
        <v>0</v>
      </c>
      <c r="P1363">
        <v>0</v>
      </c>
      <c r="Q1363">
        <v>0</v>
      </c>
      <c r="R1363">
        <v>724.83359222830723</v>
      </c>
      <c r="S1363">
        <v>1536.6041194127956</v>
      </c>
      <c r="T1363">
        <v>0</v>
      </c>
      <c r="U1363">
        <v>0</v>
      </c>
      <c r="V1363">
        <v>45794.392523364484</v>
      </c>
      <c r="W1363">
        <v>0</v>
      </c>
      <c r="X1363">
        <v>0</v>
      </c>
      <c r="Y1363">
        <v>48055.830235005589</v>
      </c>
      <c r="Z1363">
        <v>3313.1697649944099</v>
      </c>
      <c r="AA1363">
        <v>51369</v>
      </c>
      <c r="AB1363" t="s">
        <v>242</v>
      </c>
      <c r="AC1363">
        <v>7</v>
      </c>
      <c r="AD1363">
        <v>20500</v>
      </c>
      <c r="AE1363">
        <v>0</v>
      </c>
      <c r="AF1363">
        <v>0</v>
      </c>
      <c r="AG1363">
        <v>1320.5685527625997</v>
      </c>
      <c r="AH1363" t="s">
        <v>58</v>
      </c>
    </row>
    <row r="1364" spans="1:34" x14ac:dyDescent="0.3">
      <c r="A1364" t="s">
        <v>798</v>
      </c>
      <c r="B1364">
        <v>62200025</v>
      </c>
      <c r="C1364">
        <v>9001302</v>
      </c>
      <c r="D1364" t="s">
        <v>79</v>
      </c>
      <c r="E1364" t="s">
        <v>435</v>
      </c>
      <c r="F1364" t="s">
        <v>432</v>
      </c>
      <c r="G1364" t="s">
        <v>82</v>
      </c>
      <c r="H1364" t="s">
        <v>82</v>
      </c>
      <c r="J1364" t="s">
        <v>52</v>
      </c>
      <c r="K1364" s="15">
        <v>1000</v>
      </c>
      <c r="L1364" s="15">
        <v>0</v>
      </c>
      <c r="M1364" s="13">
        <v>45227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16024.843263835617</v>
      </c>
      <c r="W1364">
        <v>0</v>
      </c>
      <c r="X1364">
        <v>0</v>
      </c>
      <c r="Y1364">
        <v>16024.843263835617</v>
      </c>
      <c r="Z1364">
        <v>0</v>
      </c>
      <c r="AA1364">
        <v>16024.843263835617</v>
      </c>
      <c r="AB1364" t="s">
        <v>242</v>
      </c>
      <c r="AC1364">
        <v>14</v>
      </c>
      <c r="AD1364">
        <v>14170</v>
      </c>
      <c r="AE1364">
        <v>0</v>
      </c>
      <c r="AF1364">
        <v>0</v>
      </c>
      <c r="AG1364">
        <v>0</v>
      </c>
      <c r="AH1364" t="s">
        <v>58</v>
      </c>
    </row>
    <row r="1365" spans="1:34" x14ac:dyDescent="0.3">
      <c r="A1365" t="s">
        <v>798</v>
      </c>
      <c r="B1365">
        <v>4142300897</v>
      </c>
      <c r="C1365">
        <v>10425033</v>
      </c>
      <c r="D1365" t="s">
        <v>212</v>
      </c>
      <c r="E1365" t="s">
        <v>445</v>
      </c>
      <c r="F1365" t="s">
        <v>430</v>
      </c>
      <c r="G1365" t="s">
        <v>237</v>
      </c>
      <c r="H1365" t="s">
        <v>234</v>
      </c>
      <c r="J1365" t="s">
        <v>52</v>
      </c>
      <c r="K1365" s="15">
        <v>2000</v>
      </c>
      <c r="L1365" s="15">
        <v>0</v>
      </c>
      <c r="M1365" s="13">
        <v>45227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239124.14953271023</v>
      </c>
      <c r="Y1365">
        <v>239124.14953271023</v>
      </c>
      <c r="Z1365">
        <v>16738.690467289718</v>
      </c>
      <c r="AA1365">
        <v>255862.83999999994</v>
      </c>
      <c r="AB1365" t="s">
        <v>242</v>
      </c>
      <c r="AC1365">
        <v>3</v>
      </c>
      <c r="AD1365">
        <v>6000</v>
      </c>
      <c r="AE1365">
        <v>0</v>
      </c>
      <c r="AF1365">
        <v>0</v>
      </c>
      <c r="AG1365">
        <v>392.52336448598135</v>
      </c>
      <c r="AH1365" t="s">
        <v>58</v>
      </c>
    </row>
    <row r="1366" spans="1:34" x14ac:dyDescent="0.3">
      <c r="A1366" t="s">
        <v>798</v>
      </c>
      <c r="B1366">
        <v>62200104</v>
      </c>
      <c r="C1366" t="s">
        <v>245</v>
      </c>
      <c r="D1366" t="s">
        <v>316</v>
      </c>
      <c r="E1366" t="s">
        <v>435</v>
      </c>
      <c r="F1366" t="s">
        <v>432</v>
      </c>
      <c r="G1366" t="s">
        <v>82</v>
      </c>
      <c r="H1366" t="s">
        <v>82</v>
      </c>
      <c r="J1366" t="s">
        <v>52</v>
      </c>
      <c r="K1366" s="15">
        <v>3000</v>
      </c>
      <c r="L1366" s="15">
        <v>0</v>
      </c>
      <c r="M1366" s="13">
        <v>45227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2594.8866788080632</v>
      </c>
      <c r="W1366">
        <v>0</v>
      </c>
      <c r="X1366">
        <v>0</v>
      </c>
      <c r="Y1366">
        <v>2594.8866788080632</v>
      </c>
      <c r="Z1366">
        <v>0</v>
      </c>
      <c r="AA1366">
        <v>2594.8866788080632</v>
      </c>
      <c r="AB1366" t="s">
        <v>242</v>
      </c>
      <c r="AC1366">
        <v>15</v>
      </c>
      <c r="AD1366">
        <v>35000</v>
      </c>
      <c r="AE1366">
        <v>0</v>
      </c>
      <c r="AF1366">
        <v>0</v>
      </c>
      <c r="AG1366">
        <v>0</v>
      </c>
      <c r="AH1366" t="s">
        <v>58</v>
      </c>
    </row>
    <row r="1367" spans="1:34" x14ac:dyDescent="0.3">
      <c r="A1367" t="s">
        <v>798</v>
      </c>
      <c r="B1367">
        <v>52200769</v>
      </c>
      <c r="C1367" t="s">
        <v>666</v>
      </c>
      <c r="D1367" t="s">
        <v>665</v>
      </c>
      <c r="E1367" t="s">
        <v>438</v>
      </c>
      <c r="F1367" t="s">
        <v>431</v>
      </c>
      <c r="G1367" t="s">
        <v>230</v>
      </c>
      <c r="H1367" t="s">
        <v>231</v>
      </c>
      <c r="J1367" t="s">
        <v>52</v>
      </c>
      <c r="K1367" s="15">
        <v>2000</v>
      </c>
      <c r="M1367" s="13">
        <v>45227</v>
      </c>
      <c r="O1367">
        <v>5300.1882913852369</v>
      </c>
      <c r="P1367">
        <v>0</v>
      </c>
      <c r="Q1367">
        <v>0</v>
      </c>
      <c r="R1367">
        <v>0</v>
      </c>
      <c r="S1367">
        <v>0</v>
      </c>
      <c r="T1367">
        <v>12242.814680948377</v>
      </c>
      <c r="U1367">
        <v>0</v>
      </c>
      <c r="V1367">
        <v>0</v>
      </c>
      <c r="W1367">
        <v>88785.046728971967</v>
      </c>
      <c r="X1367">
        <v>0</v>
      </c>
      <c r="Y1367">
        <v>106328.04970130557</v>
      </c>
      <c r="Z1367">
        <v>7071.9502986944244</v>
      </c>
      <c r="AA1367">
        <v>113400</v>
      </c>
      <c r="AB1367" t="s">
        <v>242</v>
      </c>
      <c r="AC1367">
        <v>1</v>
      </c>
      <c r="AD1367">
        <v>2000</v>
      </c>
      <c r="AE1367">
        <v>0</v>
      </c>
      <c r="AF1367">
        <v>0</v>
      </c>
      <c r="AG1367">
        <v>124.31138354856694</v>
      </c>
      <c r="AH1367" t="s">
        <v>58</v>
      </c>
    </row>
    <row r="1368" spans="1:34" x14ac:dyDescent="0.3">
      <c r="A1368" t="s">
        <v>798</v>
      </c>
      <c r="B1368">
        <v>4132300378</v>
      </c>
      <c r="C1368" t="s">
        <v>254</v>
      </c>
      <c r="D1368" t="s">
        <v>325</v>
      </c>
      <c r="E1368" t="s">
        <v>441</v>
      </c>
      <c r="F1368" t="s">
        <v>430</v>
      </c>
      <c r="G1368" t="s">
        <v>233</v>
      </c>
      <c r="H1368" t="s">
        <v>231</v>
      </c>
      <c r="J1368" t="s">
        <v>52</v>
      </c>
      <c r="K1368" s="15">
        <v>5000</v>
      </c>
      <c r="L1368" s="15">
        <v>0</v>
      </c>
      <c r="M1368" s="13">
        <v>45228</v>
      </c>
      <c r="O1368">
        <v>0</v>
      </c>
      <c r="P1368">
        <v>0</v>
      </c>
      <c r="Q1368">
        <v>0</v>
      </c>
      <c r="R1368">
        <v>0</v>
      </c>
      <c r="S1368">
        <v>7738.0404436466597</v>
      </c>
      <c r="T1368">
        <v>1221.393517011827</v>
      </c>
      <c r="U1368">
        <v>0</v>
      </c>
      <c r="V1368">
        <v>0</v>
      </c>
      <c r="W1368">
        <v>0</v>
      </c>
      <c r="X1368">
        <v>0</v>
      </c>
      <c r="Y1368">
        <v>8959.4339606584872</v>
      </c>
      <c r="Z1368">
        <v>85.497546190827904</v>
      </c>
      <c r="AA1368">
        <v>9044.9315068493142</v>
      </c>
      <c r="AB1368" t="s">
        <v>242</v>
      </c>
      <c r="AC1368">
        <v>3</v>
      </c>
      <c r="AD1368">
        <v>13000</v>
      </c>
      <c r="AE1368">
        <v>0</v>
      </c>
      <c r="AF1368">
        <v>0</v>
      </c>
      <c r="AG1368">
        <v>110.76413605216271</v>
      </c>
      <c r="AH1368" t="s">
        <v>58</v>
      </c>
    </row>
    <row r="1369" spans="1:34" x14ac:dyDescent="0.3">
      <c r="A1369" t="s">
        <v>798</v>
      </c>
      <c r="B1369">
        <v>4132300940</v>
      </c>
      <c r="C1369" t="s">
        <v>364</v>
      </c>
      <c r="D1369" t="s">
        <v>403</v>
      </c>
      <c r="E1369" t="s">
        <v>441</v>
      </c>
      <c r="F1369" t="s">
        <v>430</v>
      </c>
      <c r="G1369" t="s">
        <v>238</v>
      </c>
      <c r="H1369" t="s">
        <v>236</v>
      </c>
      <c r="J1369" t="s">
        <v>52</v>
      </c>
      <c r="K1369" s="15">
        <v>10000</v>
      </c>
      <c r="L1369" s="15">
        <v>0</v>
      </c>
      <c r="M1369" s="13">
        <v>45228</v>
      </c>
      <c r="O1369">
        <v>0</v>
      </c>
      <c r="P1369">
        <v>0</v>
      </c>
      <c r="Q1369">
        <v>0</v>
      </c>
      <c r="R1369">
        <v>0</v>
      </c>
      <c r="S1369">
        <v>1663.3630584036571</v>
      </c>
      <c r="T1369">
        <v>0</v>
      </c>
      <c r="U1369">
        <v>0</v>
      </c>
      <c r="V1369">
        <v>14207.201340885074</v>
      </c>
      <c r="W1369">
        <v>0</v>
      </c>
      <c r="X1369">
        <v>0</v>
      </c>
      <c r="Y1369">
        <v>15870.564399288731</v>
      </c>
      <c r="Z1369">
        <v>994.50409386195531</v>
      </c>
      <c r="AA1369">
        <v>16865.068493150688</v>
      </c>
      <c r="AB1369" t="s">
        <v>242</v>
      </c>
      <c r="AC1369">
        <v>2</v>
      </c>
      <c r="AD1369">
        <v>20000</v>
      </c>
      <c r="AE1369">
        <v>0</v>
      </c>
      <c r="AF1369">
        <v>0</v>
      </c>
      <c r="AG1369">
        <v>1164.3744108109422</v>
      </c>
      <c r="AH1369" t="s">
        <v>58</v>
      </c>
    </row>
    <row r="1370" spans="1:34" x14ac:dyDescent="0.3">
      <c r="A1370" t="s">
        <v>798</v>
      </c>
      <c r="B1370">
        <v>12200176</v>
      </c>
      <c r="C1370">
        <v>28068851</v>
      </c>
      <c r="D1370" t="s">
        <v>119</v>
      </c>
      <c r="E1370" t="s">
        <v>438</v>
      </c>
      <c r="F1370" t="s">
        <v>427</v>
      </c>
      <c r="G1370" t="s">
        <v>82</v>
      </c>
      <c r="H1370" t="s">
        <v>82</v>
      </c>
      <c r="J1370" t="s">
        <v>52</v>
      </c>
      <c r="K1370" s="15">
        <v>3000</v>
      </c>
      <c r="L1370" s="15">
        <v>0</v>
      </c>
      <c r="M1370" s="13">
        <v>45229</v>
      </c>
      <c r="O1370">
        <v>0</v>
      </c>
      <c r="P1370">
        <v>0</v>
      </c>
      <c r="Q1370">
        <v>0</v>
      </c>
      <c r="R1370">
        <v>0</v>
      </c>
      <c r="S1370">
        <v>3583.2107127017407</v>
      </c>
      <c r="T1370">
        <v>0</v>
      </c>
      <c r="U1370">
        <v>0</v>
      </c>
      <c r="V1370">
        <v>144142.15908220914</v>
      </c>
      <c r="W1370">
        <v>0</v>
      </c>
      <c r="X1370">
        <v>0</v>
      </c>
      <c r="Y1370">
        <v>147725.36979491089</v>
      </c>
      <c r="Z1370">
        <v>0</v>
      </c>
      <c r="AA1370">
        <v>147725.36979491089</v>
      </c>
      <c r="AB1370" t="s">
        <v>242</v>
      </c>
      <c r="AC1370">
        <v>4</v>
      </c>
      <c r="AD1370">
        <v>18000</v>
      </c>
      <c r="AE1370">
        <v>0</v>
      </c>
      <c r="AF1370">
        <v>0</v>
      </c>
      <c r="AG1370">
        <v>0</v>
      </c>
      <c r="AH1370" t="s">
        <v>58</v>
      </c>
    </row>
    <row r="1371" spans="1:34" x14ac:dyDescent="0.3">
      <c r="A1371" t="s">
        <v>798</v>
      </c>
      <c r="B1371">
        <v>52200121</v>
      </c>
      <c r="C1371">
        <v>24646629</v>
      </c>
      <c r="D1371" t="s">
        <v>836</v>
      </c>
      <c r="E1371" t="s">
        <v>436</v>
      </c>
      <c r="F1371" t="s">
        <v>431</v>
      </c>
      <c r="G1371" t="s">
        <v>82</v>
      </c>
      <c r="H1371" t="s">
        <v>83</v>
      </c>
      <c r="J1371" t="s">
        <v>52</v>
      </c>
      <c r="K1371" s="15">
        <v>3000</v>
      </c>
      <c r="L1371" s="15">
        <v>0</v>
      </c>
      <c r="M1371" s="13">
        <v>45229</v>
      </c>
      <c r="O1371">
        <v>0</v>
      </c>
      <c r="P1371">
        <v>0</v>
      </c>
      <c r="Q1371">
        <v>0</v>
      </c>
      <c r="R1371">
        <v>825.36883106241396</v>
      </c>
      <c r="S1371">
        <v>25524.681342268515</v>
      </c>
      <c r="T1371">
        <v>0</v>
      </c>
      <c r="U1371">
        <v>0</v>
      </c>
      <c r="V1371">
        <v>49392.732212420298</v>
      </c>
      <c r="W1371">
        <v>0</v>
      </c>
      <c r="X1371">
        <v>0</v>
      </c>
      <c r="Y1371">
        <v>75742.782385751227</v>
      </c>
      <c r="Z1371">
        <v>5244.2189488282174</v>
      </c>
      <c r="AA1371">
        <v>80987.001334579443</v>
      </c>
      <c r="AB1371" t="s">
        <v>242</v>
      </c>
      <c r="AC1371">
        <v>2</v>
      </c>
      <c r="AD1371">
        <v>6000</v>
      </c>
      <c r="AE1371">
        <v>0</v>
      </c>
      <c r="AF1371">
        <v>0</v>
      </c>
      <c r="AG1371">
        <v>388.22973661155993</v>
      </c>
      <c r="AH1371" t="s">
        <v>58</v>
      </c>
    </row>
    <row r="1372" spans="1:34" x14ac:dyDescent="0.3">
      <c r="A1372" t="s">
        <v>798</v>
      </c>
      <c r="B1372">
        <v>52200290</v>
      </c>
      <c r="C1372">
        <v>24349639</v>
      </c>
      <c r="D1372" t="s">
        <v>846</v>
      </c>
      <c r="E1372" t="s">
        <v>436</v>
      </c>
      <c r="F1372" t="s">
        <v>431</v>
      </c>
      <c r="G1372" t="s">
        <v>82</v>
      </c>
      <c r="H1372" t="s">
        <v>83</v>
      </c>
      <c r="J1372" t="s">
        <v>52</v>
      </c>
      <c r="K1372" s="15">
        <v>1000</v>
      </c>
      <c r="L1372" s="15">
        <v>0</v>
      </c>
      <c r="M1372" s="13">
        <v>45229</v>
      </c>
      <c r="O1372">
        <v>0</v>
      </c>
      <c r="P1372">
        <v>0</v>
      </c>
      <c r="Q1372">
        <v>0</v>
      </c>
      <c r="R1372">
        <v>1061.5172449389054</v>
      </c>
      <c r="S1372">
        <v>28163.400279426478</v>
      </c>
      <c r="T1372">
        <v>0</v>
      </c>
      <c r="U1372">
        <v>0</v>
      </c>
      <c r="V1372">
        <v>48121.162657874054</v>
      </c>
      <c r="W1372">
        <v>0</v>
      </c>
      <c r="X1372">
        <v>0</v>
      </c>
      <c r="Y1372">
        <v>77346.080182239442</v>
      </c>
      <c r="Z1372">
        <v>5339.9194056110382</v>
      </c>
      <c r="AA1372">
        <v>82685.999587850485</v>
      </c>
      <c r="AB1372" t="s">
        <v>242</v>
      </c>
      <c r="AC1372">
        <v>2</v>
      </c>
      <c r="AD1372">
        <v>2000</v>
      </c>
      <c r="AE1372">
        <v>0</v>
      </c>
      <c r="AF1372">
        <v>0</v>
      </c>
      <c r="AG1372">
        <v>129.04318424833957</v>
      </c>
      <c r="AH1372" t="s">
        <v>58</v>
      </c>
    </row>
    <row r="1373" spans="1:34" x14ac:dyDescent="0.3">
      <c r="A1373" t="s">
        <v>798</v>
      </c>
      <c r="B1373">
        <v>52201340</v>
      </c>
      <c r="C1373">
        <v>28518241</v>
      </c>
      <c r="D1373" t="s">
        <v>154</v>
      </c>
      <c r="E1373" t="s">
        <v>438</v>
      </c>
      <c r="F1373" t="s">
        <v>431</v>
      </c>
      <c r="G1373" t="s">
        <v>82</v>
      </c>
      <c r="H1373" t="s">
        <v>83</v>
      </c>
      <c r="J1373" t="s">
        <v>52</v>
      </c>
      <c r="K1373" s="15">
        <v>1000</v>
      </c>
      <c r="L1373" s="15">
        <v>0</v>
      </c>
      <c r="M1373" s="13">
        <v>45229</v>
      </c>
      <c r="O1373">
        <v>0</v>
      </c>
      <c r="P1373">
        <v>0</v>
      </c>
      <c r="Q1373">
        <v>0</v>
      </c>
      <c r="R1373">
        <v>914.52082470507844</v>
      </c>
      <c r="S1373">
        <v>15800.708233096319</v>
      </c>
      <c r="T1373">
        <v>0</v>
      </c>
      <c r="U1373">
        <v>0</v>
      </c>
      <c r="V1373">
        <v>46100.673645528383</v>
      </c>
      <c r="W1373">
        <v>0</v>
      </c>
      <c r="X1373">
        <v>0</v>
      </c>
      <c r="Y1373">
        <v>62815.902703329775</v>
      </c>
      <c r="Z1373">
        <v>4333.0967315037296</v>
      </c>
      <c r="AA1373">
        <v>67148.999434833502</v>
      </c>
      <c r="AB1373" t="s">
        <v>242</v>
      </c>
      <c r="AC1373">
        <v>5</v>
      </c>
      <c r="AD1373">
        <v>8500</v>
      </c>
      <c r="AE1373">
        <v>0</v>
      </c>
      <c r="AF1373">
        <v>0</v>
      </c>
      <c r="AG1373">
        <v>547.93126890593976</v>
      </c>
      <c r="AH1373" t="s">
        <v>58</v>
      </c>
    </row>
    <row r="1374" spans="1:34" x14ac:dyDescent="0.3">
      <c r="A1374" t="s">
        <v>798</v>
      </c>
      <c r="B1374">
        <v>52201479</v>
      </c>
      <c r="C1374">
        <v>26373941</v>
      </c>
      <c r="D1374" t="s">
        <v>159</v>
      </c>
      <c r="E1374" t="s">
        <v>438</v>
      </c>
      <c r="F1374" t="s">
        <v>431</v>
      </c>
      <c r="G1374" t="s">
        <v>82</v>
      </c>
      <c r="H1374" t="s">
        <v>83</v>
      </c>
      <c r="J1374" t="s">
        <v>52</v>
      </c>
      <c r="K1374" s="15">
        <v>4700</v>
      </c>
      <c r="L1374" s="15">
        <v>0</v>
      </c>
      <c r="M1374" s="13">
        <v>45229</v>
      </c>
      <c r="O1374">
        <v>0</v>
      </c>
      <c r="P1374">
        <v>0</v>
      </c>
      <c r="Q1374">
        <v>0</v>
      </c>
      <c r="R1374">
        <v>446.00612362489159</v>
      </c>
      <c r="S1374">
        <v>0</v>
      </c>
      <c r="T1374">
        <v>0</v>
      </c>
      <c r="U1374">
        <v>0</v>
      </c>
      <c r="V1374">
        <v>35688.779403197979</v>
      </c>
      <c r="W1374">
        <v>0</v>
      </c>
      <c r="X1374">
        <v>0</v>
      </c>
      <c r="Y1374">
        <v>36134.785526822874</v>
      </c>
      <c r="Z1374">
        <v>2498.2145582238586</v>
      </c>
      <c r="AA1374">
        <v>38633.000085046733</v>
      </c>
      <c r="AB1374" t="s">
        <v>242</v>
      </c>
      <c r="AC1374">
        <v>8</v>
      </c>
      <c r="AD1374">
        <v>35000</v>
      </c>
      <c r="AE1374">
        <v>0</v>
      </c>
      <c r="AF1374">
        <v>0</v>
      </c>
      <c r="AG1374">
        <v>2260.6078772464884</v>
      </c>
      <c r="AH1374" t="s">
        <v>58</v>
      </c>
    </row>
    <row r="1375" spans="1:34" x14ac:dyDescent="0.3">
      <c r="A1375" t="s">
        <v>798</v>
      </c>
      <c r="B1375">
        <v>52201928</v>
      </c>
      <c r="C1375">
        <v>28868846</v>
      </c>
      <c r="D1375" t="s">
        <v>169</v>
      </c>
      <c r="E1375" t="s">
        <v>438</v>
      </c>
      <c r="F1375" t="s">
        <v>431</v>
      </c>
      <c r="G1375" t="s">
        <v>82</v>
      </c>
      <c r="H1375" t="s">
        <v>83</v>
      </c>
      <c r="J1375" t="s">
        <v>52</v>
      </c>
      <c r="K1375" s="15">
        <v>3000</v>
      </c>
      <c r="L1375" s="15">
        <v>0</v>
      </c>
      <c r="M1375" s="13">
        <v>45229</v>
      </c>
      <c r="O1375">
        <v>0</v>
      </c>
      <c r="P1375">
        <v>0</v>
      </c>
      <c r="Q1375">
        <v>0</v>
      </c>
      <c r="R1375">
        <v>990.18333778455599</v>
      </c>
      <c r="S1375">
        <v>9462.7459819723917</v>
      </c>
      <c r="T1375">
        <v>0</v>
      </c>
      <c r="U1375">
        <v>0</v>
      </c>
      <c r="V1375">
        <v>50591.288306236653</v>
      </c>
      <c r="W1375">
        <v>0</v>
      </c>
      <c r="X1375">
        <v>0</v>
      </c>
      <c r="Y1375">
        <v>61044.217625993602</v>
      </c>
      <c r="Z1375">
        <v>4203.7824001746339</v>
      </c>
      <c r="AA1375">
        <v>65248.000026168236</v>
      </c>
      <c r="AB1375" t="s">
        <v>242</v>
      </c>
      <c r="AC1375">
        <v>1</v>
      </c>
      <c r="AD1375">
        <v>3000</v>
      </c>
      <c r="AE1375">
        <v>0</v>
      </c>
      <c r="AF1375">
        <v>0</v>
      </c>
      <c r="AG1375">
        <v>193.06806882702722</v>
      </c>
      <c r="AH1375" t="s">
        <v>72</v>
      </c>
    </row>
    <row r="1376" spans="1:34" x14ac:dyDescent="0.3">
      <c r="A1376" t="s">
        <v>798</v>
      </c>
      <c r="B1376">
        <v>52201988</v>
      </c>
      <c r="C1376">
        <v>30274319</v>
      </c>
      <c r="D1376" t="s">
        <v>891</v>
      </c>
      <c r="E1376" t="s">
        <v>438</v>
      </c>
      <c r="F1376" t="s">
        <v>431</v>
      </c>
      <c r="G1376" t="s">
        <v>82</v>
      </c>
      <c r="H1376" t="s">
        <v>83</v>
      </c>
      <c r="J1376" t="s">
        <v>52</v>
      </c>
      <c r="K1376" s="15">
        <v>1000</v>
      </c>
      <c r="L1376" s="15">
        <v>0</v>
      </c>
      <c r="M1376" s="13">
        <v>45229</v>
      </c>
      <c r="O1376">
        <v>0</v>
      </c>
      <c r="P1376">
        <v>0</v>
      </c>
      <c r="Q1376">
        <v>0</v>
      </c>
      <c r="R1376">
        <v>1032.5778142316349</v>
      </c>
      <c r="S1376">
        <v>66357.403911933041</v>
      </c>
      <c r="T1376">
        <v>0</v>
      </c>
      <c r="U1376">
        <v>0</v>
      </c>
      <c r="V1376">
        <v>93457.943925233645</v>
      </c>
      <c r="W1376">
        <v>0</v>
      </c>
      <c r="X1376">
        <v>0</v>
      </c>
      <c r="Y1376">
        <v>160847.92565139831</v>
      </c>
      <c r="Z1376">
        <v>11187.074348601669</v>
      </c>
      <c r="AA1376">
        <v>172034.99999999997</v>
      </c>
      <c r="AB1376" t="s">
        <v>242</v>
      </c>
      <c r="AC1376">
        <v>1</v>
      </c>
      <c r="AD1376">
        <v>1000</v>
      </c>
      <c r="AE1376">
        <v>0</v>
      </c>
      <c r="AF1376">
        <v>0</v>
      </c>
      <c r="AG1376">
        <v>65.000417753471424</v>
      </c>
      <c r="AH1376" t="s">
        <v>72</v>
      </c>
    </row>
    <row r="1377" spans="1:34" x14ac:dyDescent="0.3">
      <c r="A1377" t="s">
        <v>798</v>
      </c>
      <c r="B1377">
        <v>4132300425</v>
      </c>
      <c r="C1377">
        <v>1011500206</v>
      </c>
      <c r="D1377" t="s">
        <v>176</v>
      </c>
      <c r="E1377" t="s">
        <v>441</v>
      </c>
      <c r="F1377" t="s">
        <v>430</v>
      </c>
      <c r="G1377" t="s">
        <v>233</v>
      </c>
      <c r="H1377" t="s">
        <v>231</v>
      </c>
      <c r="J1377" t="s">
        <v>52</v>
      </c>
      <c r="K1377" s="15">
        <v>3000</v>
      </c>
      <c r="L1377" s="15">
        <v>0</v>
      </c>
      <c r="M1377" s="13">
        <v>45229</v>
      </c>
      <c r="O1377">
        <v>0</v>
      </c>
      <c r="P1377">
        <v>5940.6885911115787</v>
      </c>
      <c r="Q1377">
        <v>0</v>
      </c>
      <c r="R1377">
        <v>0</v>
      </c>
      <c r="S1377">
        <v>58047.945205479453</v>
      </c>
      <c r="T1377">
        <v>164847.02000830695</v>
      </c>
      <c r="U1377">
        <v>0</v>
      </c>
      <c r="V1377">
        <v>0</v>
      </c>
      <c r="W1377">
        <v>0</v>
      </c>
      <c r="X1377">
        <v>0</v>
      </c>
      <c r="Y1377">
        <v>228835.65380489797</v>
      </c>
      <c r="Z1377">
        <v>11539.291400581487</v>
      </c>
      <c r="AA1377">
        <v>240374.94520547945</v>
      </c>
      <c r="AB1377" t="s">
        <v>242</v>
      </c>
      <c r="AC1377">
        <v>2</v>
      </c>
      <c r="AD1377">
        <v>6000</v>
      </c>
      <c r="AE1377">
        <v>0</v>
      </c>
      <c r="AF1377">
        <v>0</v>
      </c>
      <c r="AG1377">
        <v>282.6618704465518</v>
      </c>
      <c r="AH1377" t="s">
        <v>58</v>
      </c>
    </row>
    <row r="1378" spans="1:34" x14ac:dyDescent="0.3">
      <c r="A1378" t="s">
        <v>798</v>
      </c>
      <c r="B1378">
        <v>4142300794</v>
      </c>
      <c r="C1378">
        <v>10379208</v>
      </c>
      <c r="D1378" t="s">
        <v>209</v>
      </c>
      <c r="E1378" t="s">
        <v>445</v>
      </c>
      <c r="F1378" t="s">
        <v>430</v>
      </c>
      <c r="G1378" t="s">
        <v>230</v>
      </c>
      <c r="H1378" t="s">
        <v>234</v>
      </c>
      <c r="J1378" t="s">
        <v>52</v>
      </c>
      <c r="K1378" s="15">
        <v>5000</v>
      </c>
      <c r="L1378" s="15">
        <v>0</v>
      </c>
      <c r="M1378" s="13">
        <v>45229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498224.55140186916</v>
      </c>
      <c r="Y1378">
        <v>498224.55140186916</v>
      </c>
      <c r="Z1378">
        <v>34875.718598130843</v>
      </c>
      <c r="AA1378">
        <v>533100.27</v>
      </c>
      <c r="AB1378" t="s">
        <v>242</v>
      </c>
      <c r="AC1378">
        <v>3</v>
      </c>
      <c r="AD1378">
        <v>15000</v>
      </c>
      <c r="AE1378">
        <v>0</v>
      </c>
      <c r="AF1378">
        <v>0</v>
      </c>
      <c r="AG1378">
        <v>981.30841121495268</v>
      </c>
      <c r="AH1378" t="s">
        <v>58</v>
      </c>
    </row>
    <row r="1379" spans="1:34" x14ac:dyDescent="0.3">
      <c r="A1379" t="s">
        <v>798</v>
      </c>
      <c r="B1379">
        <v>4132300528</v>
      </c>
      <c r="C1379" t="s">
        <v>348</v>
      </c>
      <c r="D1379" t="s">
        <v>387</v>
      </c>
      <c r="E1379" t="s">
        <v>441</v>
      </c>
      <c r="F1379" t="s">
        <v>430</v>
      </c>
      <c r="G1379" t="s">
        <v>233</v>
      </c>
      <c r="H1379" t="s">
        <v>231</v>
      </c>
      <c r="J1379" t="s">
        <v>52</v>
      </c>
      <c r="K1379" s="15">
        <v>12000</v>
      </c>
      <c r="L1379" s="15">
        <v>0</v>
      </c>
      <c r="M1379" s="13">
        <v>45229</v>
      </c>
      <c r="O1379">
        <v>0</v>
      </c>
      <c r="P1379">
        <v>0</v>
      </c>
      <c r="Q1379">
        <v>0</v>
      </c>
      <c r="R1379">
        <v>0</v>
      </c>
      <c r="S1379">
        <v>2666.9850867903265</v>
      </c>
      <c r="T1379">
        <v>6853.2849656165126</v>
      </c>
      <c r="U1379">
        <v>0</v>
      </c>
      <c r="V1379">
        <v>0</v>
      </c>
      <c r="W1379">
        <v>0</v>
      </c>
      <c r="X1379">
        <v>0</v>
      </c>
      <c r="Y1379">
        <v>9520.2700524068387</v>
      </c>
      <c r="Z1379">
        <v>479.72994759315594</v>
      </c>
      <c r="AA1379">
        <v>9999.9999999999945</v>
      </c>
      <c r="AB1379" t="s">
        <v>242</v>
      </c>
      <c r="AC1379">
        <v>3</v>
      </c>
      <c r="AD1379">
        <v>26000</v>
      </c>
      <c r="AE1379">
        <v>0</v>
      </c>
      <c r="AF1379">
        <v>0</v>
      </c>
      <c r="AG1379">
        <v>1187.7761217367911</v>
      </c>
      <c r="AH1379" t="s">
        <v>58</v>
      </c>
    </row>
    <row r="1380" spans="1:34" x14ac:dyDescent="0.3">
      <c r="A1380" t="s">
        <v>798</v>
      </c>
      <c r="B1380">
        <v>2200009</v>
      </c>
      <c r="C1380">
        <v>19887094</v>
      </c>
      <c r="D1380" t="s">
        <v>77</v>
      </c>
      <c r="E1380" t="s">
        <v>435</v>
      </c>
      <c r="F1380" t="s">
        <v>426</v>
      </c>
      <c r="G1380" t="s">
        <v>82</v>
      </c>
      <c r="H1380" t="s">
        <v>82</v>
      </c>
      <c r="J1380" t="s">
        <v>52</v>
      </c>
      <c r="K1380" s="15">
        <v>900</v>
      </c>
      <c r="L1380" s="15">
        <v>0</v>
      </c>
      <c r="M1380" s="13">
        <v>45230</v>
      </c>
      <c r="O1380">
        <v>0</v>
      </c>
      <c r="P1380">
        <v>0</v>
      </c>
      <c r="Q1380">
        <v>0</v>
      </c>
      <c r="R1380">
        <v>0</v>
      </c>
      <c r="S1380">
        <v>13401.616180538298</v>
      </c>
      <c r="T1380">
        <v>0</v>
      </c>
      <c r="U1380">
        <v>0</v>
      </c>
      <c r="V1380">
        <v>107102.9400910782</v>
      </c>
      <c r="W1380">
        <v>0</v>
      </c>
      <c r="X1380">
        <v>0</v>
      </c>
      <c r="Y1380">
        <v>120504.5562716165</v>
      </c>
      <c r="Z1380">
        <v>0</v>
      </c>
      <c r="AA1380">
        <v>120504.5562716165</v>
      </c>
      <c r="AB1380" t="s">
        <v>242</v>
      </c>
      <c r="AC1380">
        <v>15</v>
      </c>
      <c r="AD1380">
        <v>13500</v>
      </c>
      <c r="AE1380">
        <v>0</v>
      </c>
      <c r="AF1380">
        <v>0</v>
      </c>
      <c r="AG1380">
        <v>0</v>
      </c>
      <c r="AH1380" t="s">
        <v>58</v>
      </c>
    </row>
    <row r="1381" spans="1:34" x14ac:dyDescent="0.3">
      <c r="A1381" t="s">
        <v>798</v>
      </c>
      <c r="B1381">
        <v>2200015</v>
      </c>
      <c r="C1381">
        <v>20972229</v>
      </c>
      <c r="D1381" t="s">
        <v>76</v>
      </c>
      <c r="E1381" t="s">
        <v>435</v>
      </c>
      <c r="F1381" t="s">
        <v>426</v>
      </c>
      <c r="G1381" t="s">
        <v>82</v>
      </c>
      <c r="H1381" t="s">
        <v>82</v>
      </c>
      <c r="J1381" t="s">
        <v>52</v>
      </c>
      <c r="K1381" s="15">
        <v>1000</v>
      </c>
      <c r="L1381" s="15">
        <v>0</v>
      </c>
      <c r="M1381" s="13">
        <v>45230</v>
      </c>
      <c r="O1381">
        <v>0</v>
      </c>
      <c r="P1381">
        <v>0</v>
      </c>
      <c r="Q1381">
        <v>0</v>
      </c>
      <c r="R1381">
        <v>0</v>
      </c>
      <c r="S1381">
        <v>4809.5975322232734</v>
      </c>
      <c r="T1381">
        <v>0</v>
      </c>
      <c r="U1381">
        <v>0</v>
      </c>
      <c r="V1381">
        <v>122323.98354815517</v>
      </c>
      <c r="W1381">
        <v>0</v>
      </c>
      <c r="X1381">
        <v>0</v>
      </c>
      <c r="Y1381">
        <v>127133.58108037844</v>
      </c>
      <c r="Z1381">
        <v>0</v>
      </c>
      <c r="AA1381">
        <v>127133.58108037844</v>
      </c>
      <c r="AB1381" t="s">
        <v>242</v>
      </c>
      <c r="AC1381">
        <v>15</v>
      </c>
      <c r="AD1381">
        <v>15000</v>
      </c>
      <c r="AE1381">
        <v>0</v>
      </c>
      <c r="AF1381">
        <v>0</v>
      </c>
      <c r="AG1381">
        <v>0</v>
      </c>
      <c r="AH1381" t="s">
        <v>58</v>
      </c>
    </row>
    <row r="1382" spans="1:34" x14ac:dyDescent="0.3">
      <c r="A1382" t="s">
        <v>798</v>
      </c>
      <c r="B1382">
        <v>12200153</v>
      </c>
      <c r="C1382">
        <v>19444639</v>
      </c>
      <c r="D1382" t="s">
        <v>114</v>
      </c>
      <c r="E1382" t="s">
        <v>438</v>
      </c>
      <c r="F1382" t="s">
        <v>427</v>
      </c>
      <c r="G1382" t="s">
        <v>82</v>
      </c>
      <c r="H1382" t="s">
        <v>82</v>
      </c>
      <c r="J1382" t="s">
        <v>52</v>
      </c>
      <c r="K1382" s="15">
        <v>1090</v>
      </c>
      <c r="L1382" s="15">
        <v>0</v>
      </c>
      <c r="M1382" s="13">
        <v>45230</v>
      </c>
      <c r="O1382">
        <v>0</v>
      </c>
      <c r="P1382">
        <v>0</v>
      </c>
      <c r="Q1382">
        <v>0</v>
      </c>
      <c r="R1382">
        <v>0</v>
      </c>
      <c r="S1382">
        <v>7716.3348539576109</v>
      </c>
      <c r="T1382">
        <v>0</v>
      </c>
      <c r="U1382">
        <v>0</v>
      </c>
      <c r="V1382">
        <v>128346.39254936486</v>
      </c>
      <c r="W1382">
        <v>0</v>
      </c>
      <c r="X1382">
        <v>0</v>
      </c>
      <c r="Y1382">
        <v>136062.72740332247</v>
      </c>
      <c r="Z1382">
        <v>0</v>
      </c>
      <c r="AA1382">
        <v>136062.72740332247</v>
      </c>
      <c r="AB1382" t="s">
        <v>242</v>
      </c>
      <c r="AC1382">
        <v>5</v>
      </c>
      <c r="AD1382">
        <v>38490</v>
      </c>
      <c r="AE1382">
        <v>0</v>
      </c>
      <c r="AF1382">
        <v>0</v>
      </c>
      <c r="AG1382">
        <v>0</v>
      </c>
      <c r="AH1382" t="s">
        <v>58</v>
      </c>
    </row>
    <row r="1383" spans="1:34" x14ac:dyDescent="0.3">
      <c r="A1383" t="s">
        <v>798</v>
      </c>
      <c r="B1383">
        <v>22200010</v>
      </c>
      <c r="C1383">
        <v>18928437</v>
      </c>
      <c r="D1383" t="s">
        <v>85</v>
      </c>
      <c r="E1383" t="s">
        <v>435</v>
      </c>
      <c r="F1383" t="s">
        <v>428</v>
      </c>
      <c r="G1383" t="s">
        <v>82</v>
      </c>
      <c r="H1383" t="s">
        <v>82</v>
      </c>
      <c r="J1383" t="s">
        <v>52</v>
      </c>
      <c r="K1383" s="15">
        <v>500</v>
      </c>
      <c r="L1383" s="15">
        <v>0</v>
      </c>
      <c r="M1383" s="13">
        <v>45230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17569.751865506852</v>
      </c>
      <c r="W1383">
        <v>0</v>
      </c>
      <c r="X1383">
        <v>0</v>
      </c>
      <c r="Y1383">
        <v>17569.751865506852</v>
      </c>
      <c r="Z1383">
        <v>0</v>
      </c>
      <c r="AA1383">
        <v>17569.751865506852</v>
      </c>
      <c r="AB1383" t="s">
        <v>242</v>
      </c>
      <c r="AC1383">
        <v>14</v>
      </c>
      <c r="AD1383">
        <v>10500</v>
      </c>
      <c r="AE1383">
        <v>0</v>
      </c>
      <c r="AF1383">
        <v>0</v>
      </c>
      <c r="AG1383">
        <v>0</v>
      </c>
      <c r="AH1383" t="s">
        <v>58</v>
      </c>
    </row>
    <row r="1384" spans="1:34" x14ac:dyDescent="0.3">
      <c r="A1384" t="s">
        <v>798</v>
      </c>
      <c r="B1384">
        <v>22200061</v>
      </c>
      <c r="C1384">
        <v>19290575</v>
      </c>
      <c r="D1384" t="s">
        <v>84</v>
      </c>
      <c r="E1384" t="s">
        <v>435</v>
      </c>
      <c r="F1384" t="s">
        <v>428</v>
      </c>
      <c r="G1384" t="s">
        <v>82</v>
      </c>
      <c r="H1384" t="s">
        <v>82</v>
      </c>
      <c r="J1384" t="s">
        <v>52</v>
      </c>
      <c r="K1384" s="15">
        <v>1000</v>
      </c>
      <c r="L1384" s="15">
        <v>0</v>
      </c>
      <c r="M1384" s="13">
        <v>45230</v>
      </c>
      <c r="O1384">
        <v>0</v>
      </c>
      <c r="P1384">
        <v>0</v>
      </c>
      <c r="Q1384">
        <v>0</v>
      </c>
      <c r="R1384">
        <v>0</v>
      </c>
      <c r="S1384">
        <v>4625.7709089598566</v>
      </c>
      <c r="T1384">
        <v>0</v>
      </c>
      <c r="U1384">
        <v>0</v>
      </c>
      <c r="V1384">
        <v>22341.817670062115</v>
      </c>
      <c r="W1384">
        <v>0</v>
      </c>
      <c r="X1384">
        <v>0</v>
      </c>
      <c r="Y1384">
        <v>26967.588579021973</v>
      </c>
      <c r="Z1384">
        <v>0</v>
      </c>
      <c r="AA1384">
        <v>26967.588579021973</v>
      </c>
      <c r="AB1384" t="s">
        <v>242</v>
      </c>
      <c r="AC1384">
        <v>4</v>
      </c>
      <c r="AD1384">
        <v>3500</v>
      </c>
      <c r="AE1384">
        <v>0</v>
      </c>
      <c r="AF1384">
        <v>0</v>
      </c>
      <c r="AG1384">
        <v>0</v>
      </c>
      <c r="AH1384" t="s">
        <v>58</v>
      </c>
    </row>
    <row r="1385" spans="1:34" x14ac:dyDescent="0.3">
      <c r="A1385" t="s">
        <v>798</v>
      </c>
      <c r="B1385">
        <v>22200068</v>
      </c>
      <c r="C1385">
        <v>20579132</v>
      </c>
      <c r="D1385" t="s">
        <v>80</v>
      </c>
      <c r="E1385" t="s">
        <v>435</v>
      </c>
      <c r="F1385" t="s">
        <v>428</v>
      </c>
      <c r="G1385" t="s">
        <v>82</v>
      </c>
      <c r="H1385" t="s">
        <v>82</v>
      </c>
      <c r="J1385" t="s">
        <v>52</v>
      </c>
      <c r="K1385" s="15">
        <v>500</v>
      </c>
      <c r="L1385" s="15">
        <v>0</v>
      </c>
      <c r="M1385" s="13">
        <v>45230</v>
      </c>
      <c r="O1385">
        <v>0</v>
      </c>
      <c r="P1385">
        <v>0</v>
      </c>
      <c r="Q1385">
        <v>0</v>
      </c>
      <c r="R1385">
        <v>0</v>
      </c>
      <c r="S1385">
        <v>1057.3615921232877</v>
      </c>
      <c r="T1385">
        <v>0</v>
      </c>
      <c r="U1385">
        <v>0</v>
      </c>
      <c r="V1385">
        <v>21133.91</v>
      </c>
      <c r="W1385">
        <v>0</v>
      </c>
      <c r="X1385">
        <v>0</v>
      </c>
      <c r="Y1385">
        <v>22191.271592123288</v>
      </c>
      <c r="Z1385">
        <v>0</v>
      </c>
      <c r="AA1385">
        <v>22191.271592123288</v>
      </c>
      <c r="AB1385" t="s">
        <v>242</v>
      </c>
      <c r="AC1385">
        <v>12</v>
      </c>
      <c r="AD1385">
        <v>7500</v>
      </c>
      <c r="AE1385">
        <v>0</v>
      </c>
      <c r="AF1385">
        <v>0</v>
      </c>
      <c r="AG1385">
        <v>0</v>
      </c>
      <c r="AH1385" t="s">
        <v>58</v>
      </c>
    </row>
    <row r="1386" spans="1:34" x14ac:dyDescent="0.3">
      <c r="A1386" t="s">
        <v>798</v>
      </c>
      <c r="B1386">
        <v>42200418</v>
      </c>
      <c r="C1386">
        <v>2759024985</v>
      </c>
      <c r="D1386" t="s">
        <v>124</v>
      </c>
      <c r="E1386" t="s">
        <v>439</v>
      </c>
      <c r="F1386" t="s">
        <v>430</v>
      </c>
      <c r="G1386" t="s">
        <v>232</v>
      </c>
      <c r="H1386" t="s">
        <v>71</v>
      </c>
      <c r="J1386" t="s">
        <v>52</v>
      </c>
      <c r="K1386" s="15">
        <v>500</v>
      </c>
      <c r="L1386" s="15">
        <v>0</v>
      </c>
      <c r="M1386" s="13">
        <v>45230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172474.23364485981</v>
      </c>
      <c r="Y1386">
        <v>172474.23364485981</v>
      </c>
      <c r="Z1386">
        <v>12073.196355140188</v>
      </c>
      <c r="AA1386">
        <v>184547.43</v>
      </c>
      <c r="AB1386" t="s">
        <v>242</v>
      </c>
      <c r="AC1386">
        <v>1</v>
      </c>
      <c r="AD1386">
        <v>500</v>
      </c>
      <c r="AE1386">
        <v>0</v>
      </c>
      <c r="AF1386">
        <v>0</v>
      </c>
      <c r="AG1386">
        <v>32.710280373831779</v>
      </c>
      <c r="AH1386" t="s">
        <v>72</v>
      </c>
    </row>
    <row r="1387" spans="1:34" x14ac:dyDescent="0.3">
      <c r="A1387" t="s">
        <v>798</v>
      </c>
      <c r="B1387">
        <v>42200856</v>
      </c>
      <c r="C1387">
        <v>2757002330</v>
      </c>
      <c r="D1387" t="s">
        <v>127</v>
      </c>
      <c r="E1387" t="s">
        <v>439</v>
      </c>
      <c r="F1387" t="s">
        <v>430</v>
      </c>
      <c r="G1387" t="s">
        <v>233</v>
      </c>
      <c r="H1387" t="s">
        <v>234</v>
      </c>
      <c r="J1387" t="s">
        <v>52</v>
      </c>
      <c r="K1387" s="15">
        <v>500</v>
      </c>
      <c r="L1387" s="15">
        <v>0</v>
      </c>
      <c r="M1387" s="13">
        <v>45230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34900.439252336444</v>
      </c>
      <c r="Y1387">
        <v>34900.439252336444</v>
      </c>
      <c r="Z1387">
        <v>2443.0307476635512</v>
      </c>
      <c r="AA1387">
        <v>37343.469999999994</v>
      </c>
      <c r="AB1387" t="s">
        <v>242</v>
      </c>
      <c r="AC1387">
        <v>6</v>
      </c>
      <c r="AD1387">
        <v>3000</v>
      </c>
      <c r="AE1387">
        <v>0</v>
      </c>
      <c r="AF1387">
        <v>0</v>
      </c>
      <c r="AG1387">
        <v>196.26168224299067</v>
      </c>
      <c r="AH1387" t="s">
        <v>58</v>
      </c>
    </row>
    <row r="1388" spans="1:34" x14ac:dyDescent="0.3">
      <c r="A1388" t="s">
        <v>798</v>
      </c>
      <c r="B1388">
        <v>42201112</v>
      </c>
      <c r="C1388">
        <v>2756020075</v>
      </c>
      <c r="D1388" t="s">
        <v>128</v>
      </c>
      <c r="E1388" t="s">
        <v>439</v>
      </c>
      <c r="F1388" t="s">
        <v>430</v>
      </c>
      <c r="G1388" t="s">
        <v>233</v>
      </c>
      <c r="H1388" t="s">
        <v>234</v>
      </c>
      <c r="J1388" t="s">
        <v>52</v>
      </c>
      <c r="K1388" s="15">
        <v>20000</v>
      </c>
      <c r="L1388" s="15">
        <v>0</v>
      </c>
      <c r="M1388" s="13">
        <v>45230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65458.327102803727</v>
      </c>
      <c r="Y1388">
        <v>65458.327102803727</v>
      </c>
      <c r="Z1388">
        <v>4582.082897196261</v>
      </c>
      <c r="AA1388">
        <v>70040.409999999989</v>
      </c>
      <c r="AB1388" t="s">
        <v>242</v>
      </c>
      <c r="AC1388">
        <v>5</v>
      </c>
      <c r="AD1388">
        <v>57000</v>
      </c>
      <c r="AE1388">
        <v>0</v>
      </c>
      <c r="AF1388">
        <v>0</v>
      </c>
      <c r="AG1388">
        <v>3728.9719626168212</v>
      </c>
      <c r="AH1388" t="s">
        <v>58</v>
      </c>
    </row>
    <row r="1389" spans="1:34" x14ac:dyDescent="0.3">
      <c r="A1389" t="s">
        <v>798</v>
      </c>
      <c r="B1389">
        <v>42201150</v>
      </c>
      <c r="C1389">
        <v>2758020463</v>
      </c>
      <c r="D1389" t="s">
        <v>129</v>
      </c>
      <c r="E1389" t="s">
        <v>439</v>
      </c>
      <c r="F1389" t="s">
        <v>430</v>
      </c>
      <c r="G1389" t="s">
        <v>230</v>
      </c>
      <c r="H1389" t="s">
        <v>234</v>
      </c>
      <c r="J1389" t="s">
        <v>52</v>
      </c>
      <c r="K1389" s="15">
        <v>10000</v>
      </c>
      <c r="L1389" s="15">
        <v>0</v>
      </c>
      <c r="M1389" s="13">
        <v>45230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331627.4485981309</v>
      </c>
      <c r="Y1389">
        <v>331627.4485981309</v>
      </c>
      <c r="Z1389">
        <v>23213.921401869164</v>
      </c>
      <c r="AA1389">
        <v>354841.37000000005</v>
      </c>
      <c r="AB1389" t="s">
        <v>242</v>
      </c>
      <c r="AC1389">
        <v>6</v>
      </c>
      <c r="AD1389">
        <v>60000</v>
      </c>
      <c r="AE1389">
        <v>0</v>
      </c>
      <c r="AF1389">
        <v>0</v>
      </c>
      <c r="AG1389">
        <v>3925.2336448598107</v>
      </c>
      <c r="AH1389" t="s">
        <v>58</v>
      </c>
    </row>
    <row r="1390" spans="1:34" x14ac:dyDescent="0.3">
      <c r="A1390" t="s">
        <v>798</v>
      </c>
      <c r="B1390">
        <v>52200179</v>
      </c>
      <c r="C1390">
        <v>24709077</v>
      </c>
      <c r="D1390" t="s">
        <v>842</v>
      </c>
      <c r="E1390" t="s">
        <v>436</v>
      </c>
      <c r="F1390" t="s">
        <v>431</v>
      </c>
      <c r="G1390" t="s">
        <v>82</v>
      </c>
      <c r="H1390" t="s">
        <v>83</v>
      </c>
      <c r="J1390" t="s">
        <v>52</v>
      </c>
      <c r="K1390" s="15">
        <v>950</v>
      </c>
      <c r="L1390" s="15">
        <v>0</v>
      </c>
      <c r="M1390" s="13">
        <v>45230</v>
      </c>
      <c r="O1390">
        <v>0</v>
      </c>
      <c r="P1390">
        <v>0</v>
      </c>
      <c r="Q1390">
        <v>0</v>
      </c>
      <c r="R1390">
        <v>978.66194665340879</v>
      </c>
      <c r="S1390">
        <v>27433.398132658614</v>
      </c>
      <c r="T1390">
        <v>0</v>
      </c>
      <c r="U1390">
        <v>0</v>
      </c>
      <c r="V1390">
        <v>53650.095185605729</v>
      </c>
      <c r="W1390">
        <v>0</v>
      </c>
      <c r="X1390">
        <v>0</v>
      </c>
      <c r="Y1390">
        <v>82062.155264917761</v>
      </c>
      <c r="Z1390">
        <v>5675.8445322785046</v>
      </c>
      <c r="AA1390">
        <v>87737.999797196273</v>
      </c>
      <c r="AB1390" t="s">
        <v>242</v>
      </c>
      <c r="AC1390">
        <v>1</v>
      </c>
      <c r="AD1390">
        <v>950</v>
      </c>
      <c r="AE1390">
        <v>0</v>
      </c>
      <c r="AF1390">
        <v>0</v>
      </c>
      <c r="AG1390">
        <v>61.407790902559441</v>
      </c>
      <c r="AH1390" t="s">
        <v>72</v>
      </c>
    </row>
    <row r="1391" spans="1:34" x14ac:dyDescent="0.3">
      <c r="A1391" t="s">
        <v>798</v>
      </c>
      <c r="B1391">
        <v>52200358</v>
      </c>
      <c r="C1391">
        <v>26358634</v>
      </c>
      <c r="D1391" t="s">
        <v>851</v>
      </c>
      <c r="E1391" t="s">
        <v>436</v>
      </c>
      <c r="F1391" t="s">
        <v>431</v>
      </c>
      <c r="G1391" t="s">
        <v>82</v>
      </c>
      <c r="H1391" t="s">
        <v>83</v>
      </c>
      <c r="J1391" t="s">
        <v>52</v>
      </c>
      <c r="K1391" s="15">
        <v>1000</v>
      </c>
      <c r="L1391" s="15">
        <v>0</v>
      </c>
      <c r="M1391" s="13">
        <v>45230</v>
      </c>
      <c r="O1391">
        <v>0</v>
      </c>
      <c r="P1391">
        <v>0</v>
      </c>
      <c r="Q1391">
        <v>0</v>
      </c>
      <c r="R1391">
        <v>806.26692113438401</v>
      </c>
      <c r="S1391">
        <v>14100.838162622247</v>
      </c>
      <c r="T1391">
        <v>0</v>
      </c>
      <c r="U1391">
        <v>0</v>
      </c>
      <c r="V1391">
        <v>42723.211920691763</v>
      </c>
      <c r="W1391">
        <v>0</v>
      </c>
      <c r="X1391">
        <v>0</v>
      </c>
      <c r="Y1391">
        <v>57630.317004448392</v>
      </c>
      <c r="Z1391">
        <v>3977.6835058319812</v>
      </c>
      <c r="AA1391">
        <v>61608.00051028037</v>
      </c>
      <c r="AB1391" t="s">
        <v>242</v>
      </c>
      <c r="AC1391">
        <v>7</v>
      </c>
      <c r="AD1391">
        <v>9500</v>
      </c>
      <c r="AE1391">
        <v>0</v>
      </c>
      <c r="AF1391">
        <v>0</v>
      </c>
      <c r="AG1391">
        <v>612.74643409290377</v>
      </c>
      <c r="AH1391" t="s">
        <v>58</v>
      </c>
    </row>
    <row r="1392" spans="1:34" x14ac:dyDescent="0.3">
      <c r="A1392" t="s">
        <v>798</v>
      </c>
      <c r="B1392">
        <v>52200376</v>
      </c>
      <c r="C1392">
        <v>27488411</v>
      </c>
      <c r="D1392" t="s">
        <v>852</v>
      </c>
      <c r="E1392" t="s">
        <v>436</v>
      </c>
      <c r="F1392" t="s">
        <v>431</v>
      </c>
      <c r="G1392" t="s">
        <v>82</v>
      </c>
      <c r="H1392" t="s">
        <v>83</v>
      </c>
      <c r="J1392" t="s">
        <v>52</v>
      </c>
      <c r="K1392" s="15">
        <v>1685</v>
      </c>
      <c r="L1392" s="15">
        <v>0</v>
      </c>
      <c r="M1392" s="13">
        <v>45230</v>
      </c>
      <c r="O1392">
        <v>0</v>
      </c>
      <c r="P1392">
        <v>0</v>
      </c>
      <c r="Q1392">
        <v>0</v>
      </c>
      <c r="R1392">
        <v>890.73831982358888</v>
      </c>
      <c r="S1392">
        <v>28500.734291893397</v>
      </c>
      <c r="T1392">
        <v>0</v>
      </c>
      <c r="U1392">
        <v>0</v>
      </c>
      <c r="V1392">
        <v>55487.360852476195</v>
      </c>
      <c r="W1392">
        <v>0</v>
      </c>
      <c r="X1392">
        <v>0</v>
      </c>
      <c r="Y1392">
        <v>84878.833464193187</v>
      </c>
      <c r="Z1392">
        <v>5879.1666601058723</v>
      </c>
      <c r="AA1392">
        <v>90758.000124299055</v>
      </c>
      <c r="AB1392" t="s">
        <v>242</v>
      </c>
      <c r="AC1392">
        <v>6</v>
      </c>
      <c r="AD1392">
        <v>9420</v>
      </c>
      <c r="AE1392">
        <v>0</v>
      </c>
      <c r="AF1392">
        <v>0</v>
      </c>
      <c r="AG1392">
        <v>609.76792746509477</v>
      </c>
      <c r="AH1392" t="s">
        <v>58</v>
      </c>
    </row>
    <row r="1393" spans="1:34" x14ac:dyDescent="0.3">
      <c r="A1393" t="s">
        <v>798</v>
      </c>
      <c r="B1393">
        <v>52200412</v>
      </c>
      <c r="C1393">
        <v>25145601</v>
      </c>
      <c r="D1393" t="s">
        <v>86</v>
      </c>
      <c r="E1393" t="s">
        <v>436</v>
      </c>
      <c r="F1393" t="s">
        <v>431</v>
      </c>
      <c r="G1393" t="s">
        <v>82</v>
      </c>
      <c r="H1393" t="s">
        <v>83</v>
      </c>
      <c r="J1393" t="s">
        <v>52</v>
      </c>
      <c r="K1393" s="15">
        <v>1700</v>
      </c>
      <c r="L1393" s="15">
        <v>0</v>
      </c>
      <c r="M1393" s="13">
        <v>45230</v>
      </c>
      <c r="O1393">
        <v>0</v>
      </c>
      <c r="P1393">
        <v>0</v>
      </c>
      <c r="Q1393">
        <v>0</v>
      </c>
      <c r="R1393">
        <v>756.1289827344682</v>
      </c>
      <c r="S1393">
        <v>21077.074148374635</v>
      </c>
      <c r="T1393">
        <v>0</v>
      </c>
      <c r="U1393">
        <v>0</v>
      </c>
      <c r="V1393">
        <v>52616.263104201244</v>
      </c>
      <c r="W1393">
        <v>0</v>
      </c>
      <c r="X1393">
        <v>0</v>
      </c>
      <c r="Y1393">
        <v>74449.466235310349</v>
      </c>
      <c r="Z1393">
        <v>5158.5336076803114</v>
      </c>
      <c r="AA1393">
        <v>79607.999842990655</v>
      </c>
      <c r="AB1393" t="s">
        <v>242</v>
      </c>
      <c r="AC1393">
        <v>12</v>
      </c>
      <c r="AD1393">
        <v>13200</v>
      </c>
      <c r="AE1393">
        <v>0</v>
      </c>
      <c r="AF1393">
        <v>0</v>
      </c>
      <c r="AG1393">
        <v>854.72806429104003</v>
      </c>
      <c r="AH1393" t="s">
        <v>58</v>
      </c>
    </row>
    <row r="1394" spans="1:34" x14ac:dyDescent="0.3">
      <c r="A1394" t="s">
        <v>798</v>
      </c>
      <c r="B1394">
        <v>52200431</v>
      </c>
      <c r="C1394">
        <v>27663860</v>
      </c>
      <c r="D1394" t="s">
        <v>854</v>
      </c>
      <c r="E1394" t="s">
        <v>436</v>
      </c>
      <c r="F1394" t="s">
        <v>431</v>
      </c>
      <c r="G1394" t="s">
        <v>82</v>
      </c>
      <c r="H1394" t="s">
        <v>83</v>
      </c>
      <c r="J1394" t="s">
        <v>52</v>
      </c>
      <c r="K1394" s="15">
        <v>1000</v>
      </c>
      <c r="L1394" s="15">
        <v>0</v>
      </c>
      <c r="M1394" s="13">
        <v>45230</v>
      </c>
      <c r="O1394">
        <v>0</v>
      </c>
      <c r="P1394">
        <v>0</v>
      </c>
      <c r="Q1394">
        <v>0</v>
      </c>
      <c r="R1394">
        <v>870.22610822600893</v>
      </c>
      <c r="S1394">
        <v>32616.143824087841</v>
      </c>
      <c r="T1394">
        <v>0</v>
      </c>
      <c r="U1394">
        <v>0</v>
      </c>
      <c r="V1394">
        <v>50391.121495327105</v>
      </c>
      <c r="W1394">
        <v>0</v>
      </c>
      <c r="X1394">
        <v>0</v>
      </c>
      <c r="Y1394">
        <v>83877.491427640954</v>
      </c>
      <c r="Z1394">
        <v>5810.5085723590464</v>
      </c>
      <c r="AA1394">
        <v>89688</v>
      </c>
      <c r="AB1394" t="s">
        <v>242</v>
      </c>
      <c r="AC1394">
        <v>2</v>
      </c>
      <c r="AD1394">
        <v>2000</v>
      </c>
      <c r="AE1394">
        <v>0</v>
      </c>
      <c r="AF1394">
        <v>0</v>
      </c>
      <c r="AG1394">
        <v>129.48208184656141</v>
      </c>
      <c r="AH1394" t="s">
        <v>58</v>
      </c>
    </row>
    <row r="1395" spans="1:34" x14ac:dyDescent="0.3">
      <c r="A1395" t="s">
        <v>798</v>
      </c>
      <c r="B1395">
        <v>52200671</v>
      </c>
      <c r="C1395">
        <v>27488939</v>
      </c>
      <c r="D1395" t="s">
        <v>857</v>
      </c>
      <c r="E1395" t="s">
        <v>438</v>
      </c>
      <c r="F1395" t="s">
        <v>431</v>
      </c>
      <c r="G1395" t="s">
        <v>82</v>
      </c>
      <c r="H1395" t="s">
        <v>83</v>
      </c>
      <c r="J1395" t="s">
        <v>52</v>
      </c>
      <c r="K1395" s="15">
        <v>1000</v>
      </c>
      <c r="L1395" s="15">
        <v>0</v>
      </c>
      <c r="M1395" s="13">
        <v>45230</v>
      </c>
      <c r="O1395">
        <v>0</v>
      </c>
      <c r="P1395">
        <v>0</v>
      </c>
      <c r="Q1395">
        <v>0</v>
      </c>
      <c r="R1395">
        <v>861.48760827430635</v>
      </c>
      <c r="S1395">
        <v>23154.856325886434</v>
      </c>
      <c r="T1395">
        <v>0</v>
      </c>
      <c r="U1395">
        <v>0</v>
      </c>
      <c r="V1395">
        <v>53483.939690487481</v>
      </c>
      <c r="W1395">
        <v>0</v>
      </c>
      <c r="X1395">
        <v>0</v>
      </c>
      <c r="Y1395">
        <v>77500.283624648218</v>
      </c>
      <c r="Z1395">
        <v>5364.7157211461745</v>
      </c>
      <c r="AA1395">
        <v>82864.999345794393</v>
      </c>
      <c r="AB1395" t="s">
        <v>242</v>
      </c>
      <c r="AC1395">
        <v>8</v>
      </c>
      <c r="AD1395">
        <v>11500</v>
      </c>
      <c r="AE1395">
        <v>0</v>
      </c>
      <c r="AF1395">
        <v>0</v>
      </c>
      <c r="AG1395">
        <v>743.92909586841301</v>
      </c>
      <c r="AH1395" t="s">
        <v>58</v>
      </c>
    </row>
    <row r="1396" spans="1:34" x14ac:dyDescent="0.3">
      <c r="A1396" t="s">
        <v>798</v>
      </c>
      <c r="B1396">
        <v>52201277</v>
      </c>
      <c r="C1396">
        <v>26285645</v>
      </c>
      <c r="D1396" t="s">
        <v>153</v>
      </c>
      <c r="E1396" t="s">
        <v>438</v>
      </c>
      <c r="F1396" t="s">
        <v>431</v>
      </c>
      <c r="G1396" t="s">
        <v>82</v>
      </c>
      <c r="H1396" t="s">
        <v>83</v>
      </c>
      <c r="J1396" t="s">
        <v>52</v>
      </c>
      <c r="K1396" s="15">
        <v>1500</v>
      </c>
      <c r="L1396" s="15">
        <v>0</v>
      </c>
      <c r="M1396" s="13">
        <v>45230</v>
      </c>
      <c r="O1396">
        <v>0</v>
      </c>
      <c r="P1396">
        <v>0</v>
      </c>
      <c r="Q1396">
        <v>0</v>
      </c>
      <c r="R1396">
        <v>791.81494912888911</v>
      </c>
      <c r="S1396">
        <v>31148.971481180841</v>
      </c>
      <c r="T1396">
        <v>0</v>
      </c>
      <c r="U1396">
        <v>0</v>
      </c>
      <c r="V1396">
        <v>56278.303900452571</v>
      </c>
      <c r="W1396">
        <v>0</v>
      </c>
      <c r="X1396">
        <v>0</v>
      </c>
      <c r="Y1396">
        <v>88219.090330762294</v>
      </c>
      <c r="Z1396">
        <v>6119.9092767143393</v>
      </c>
      <c r="AA1396">
        <v>94338.999607476639</v>
      </c>
      <c r="AB1396" t="s">
        <v>242</v>
      </c>
      <c r="AC1396">
        <v>6</v>
      </c>
      <c r="AD1396">
        <v>11000</v>
      </c>
      <c r="AE1396">
        <v>0</v>
      </c>
      <c r="AF1396">
        <v>0</v>
      </c>
      <c r="AG1396">
        <v>713.13742657852549</v>
      </c>
      <c r="AH1396" t="s">
        <v>58</v>
      </c>
    </row>
    <row r="1397" spans="1:34" x14ac:dyDescent="0.3">
      <c r="A1397" t="s">
        <v>798</v>
      </c>
      <c r="B1397">
        <v>52201352</v>
      </c>
      <c r="C1397">
        <v>26584588</v>
      </c>
      <c r="D1397" t="s">
        <v>156</v>
      </c>
      <c r="E1397" t="s">
        <v>438</v>
      </c>
      <c r="F1397" t="s">
        <v>431</v>
      </c>
      <c r="G1397" t="s">
        <v>82</v>
      </c>
      <c r="H1397" t="s">
        <v>83</v>
      </c>
      <c r="J1397" t="s">
        <v>52</v>
      </c>
      <c r="K1397" s="15">
        <v>1000</v>
      </c>
      <c r="L1397" s="15">
        <v>0</v>
      </c>
      <c r="M1397" s="13">
        <v>45230</v>
      </c>
      <c r="O1397">
        <v>0</v>
      </c>
      <c r="P1397">
        <v>0</v>
      </c>
      <c r="Q1397">
        <v>0</v>
      </c>
      <c r="R1397">
        <v>980.31986565933221</v>
      </c>
      <c r="S1397">
        <v>42120.678655229327</v>
      </c>
      <c r="T1397">
        <v>0</v>
      </c>
      <c r="U1397">
        <v>0</v>
      </c>
      <c r="V1397">
        <v>58235.096694359752</v>
      </c>
      <c r="W1397">
        <v>0</v>
      </c>
      <c r="X1397">
        <v>0</v>
      </c>
      <c r="Y1397">
        <v>101336.09521524841</v>
      </c>
      <c r="Z1397">
        <v>7024.904274471236</v>
      </c>
      <c r="AA1397">
        <v>108360.99948971964</v>
      </c>
      <c r="AB1397" t="s">
        <v>242</v>
      </c>
      <c r="AC1397">
        <v>1</v>
      </c>
      <c r="AD1397">
        <v>1000</v>
      </c>
      <c r="AE1397">
        <v>0</v>
      </c>
      <c r="AF1397">
        <v>0</v>
      </c>
      <c r="AG1397">
        <v>64.787280930984366</v>
      </c>
      <c r="AH1397" t="s">
        <v>72</v>
      </c>
    </row>
    <row r="1398" spans="1:34" x14ac:dyDescent="0.3">
      <c r="A1398" t="s">
        <v>798</v>
      </c>
      <c r="B1398">
        <v>52201571</v>
      </c>
      <c r="C1398">
        <v>25111736</v>
      </c>
      <c r="D1398" t="s">
        <v>161</v>
      </c>
      <c r="E1398" t="s">
        <v>438</v>
      </c>
      <c r="F1398" t="s">
        <v>431</v>
      </c>
      <c r="G1398" t="s">
        <v>82</v>
      </c>
      <c r="H1398" t="s">
        <v>83</v>
      </c>
      <c r="J1398" t="s">
        <v>52</v>
      </c>
      <c r="K1398" s="15">
        <v>1000</v>
      </c>
      <c r="L1398" s="15">
        <v>0</v>
      </c>
      <c r="M1398" s="13">
        <v>45230</v>
      </c>
      <c r="O1398">
        <v>0</v>
      </c>
      <c r="P1398">
        <v>0</v>
      </c>
      <c r="Q1398">
        <v>0</v>
      </c>
      <c r="R1398">
        <v>860.41212445295901</v>
      </c>
      <c r="S1398">
        <v>31644.9728190977</v>
      </c>
      <c r="T1398">
        <v>0</v>
      </c>
      <c r="U1398">
        <v>0</v>
      </c>
      <c r="V1398">
        <v>52010.71595270362</v>
      </c>
      <c r="W1398">
        <v>0</v>
      </c>
      <c r="X1398">
        <v>0</v>
      </c>
      <c r="Y1398">
        <v>84516.100896254284</v>
      </c>
      <c r="Z1398">
        <v>5855.8982140260923</v>
      </c>
      <c r="AA1398">
        <v>90371.999110280376</v>
      </c>
      <c r="AB1398" t="s">
        <v>242</v>
      </c>
      <c r="AC1398">
        <v>3</v>
      </c>
      <c r="AD1398">
        <v>3000</v>
      </c>
      <c r="AE1398">
        <v>0</v>
      </c>
      <c r="AF1398">
        <v>0</v>
      </c>
      <c r="AG1398">
        <v>194.26060627262348</v>
      </c>
      <c r="AH1398" t="s">
        <v>58</v>
      </c>
    </row>
    <row r="1399" spans="1:34" x14ac:dyDescent="0.3">
      <c r="A1399" t="s">
        <v>798</v>
      </c>
      <c r="B1399">
        <v>52201584</v>
      </c>
      <c r="C1399">
        <v>26111646</v>
      </c>
      <c r="D1399" t="s">
        <v>882</v>
      </c>
      <c r="E1399" t="s">
        <v>438</v>
      </c>
      <c r="F1399" t="s">
        <v>431</v>
      </c>
      <c r="G1399" t="s">
        <v>82</v>
      </c>
      <c r="H1399" t="s">
        <v>83</v>
      </c>
      <c r="J1399" t="s">
        <v>52</v>
      </c>
      <c r="K1399" s="15">
        <v>1000</v>
      </c>
      <c r="L1399" s="15">
        <v>0</v>
      </c>
      <c r="M1399" s="13">
        <v>45230</v>
      </c>
      <c r="O1399">
        <v>0</v>
      </c>
      <c r="P1399">
        <v>0</v>
      </c>
      <c r="Q1399">
        <v>0</v>
      </c>
      <c r="R1399">
        <v>877.60496190687547</v>
      </c>
      <c r="S1399">
        <v>17696.378665210432</v>
      </c>
      <c r="T1399">
        <v>0</v>
      </c>
      <c r="U1399">
        <v>0</v>
      </c>
      <c r="V1399">
        <v>47007.728681946217</v>
      </c>
      <c r="W1399">
        <v>0</v>
      </c>
      <c r="X1399">
        <v>0</v>
      </c>
      <c r="Y1399">
        <v>65581.712309063529</v>
      </c>
      <c r="Z1399">
        <v>4529.287514300966</v>
      </c>
      <c r="AA1399">
        <v>70110.999823364487</v>
      </c>
      <c r="AB1399" t="s">
        <v>242</v>
      </c>
      <c r="AC1399">
        <v>1</v>
      </c>
      <c r="AD1399">
        <v>1000</v>
      </c>
      <c r="AE1399">
        <v>0</v>
      </c>
      <c r="AF1399">
        <v>0</v>
      </c>
      <c r="AG1399">
        <v>64.544249844375031</v>
      </c>
      <c r="AH1399" t="s">
        <v>72</v>
      </c>
    </row>
    <row r="1400" spans="1:34" x14ac:dyDescent="0.3">
      <c r="A1400" t="s">
        <v>798</v>
      </c>
      <c r="B1400">
        <v>52201645</v>
      </c>
      <c r="C1400">
        <v>26580827</v>
      </c>
      <c r="D1400" t="s">
        <v>163</v>
      </c>
      <c r="E1400" t="s">
        <v>438</v>
      </c>
      <c r="F1400" t="s">
        <v>431</v>
      </c>
      <c r="G1400" t="s">
        <v>82</v>
      </c>
      <c r="H1400" t="s">
        <v>83</v>
      </c>
      <c r="J1400" t="s">
        <v>52</v>
      </c>
      <c r="K1400" s="15">
        <v>2000</v>
      </c>
      <c r="L1400" s="15">
        <v>0</v>
      </c>
      <c r="M1400" s="13">
        <v>45230</v>
      </c>
      <c r="O1400">
        <v>0</v>
      </c>
      <c r="P1400">
        <v>0</v>
      </c>
      <c r="Q1400">
        <v>0</v>
      </c>
      <c r="R1400">
        <v>740.23361890272884</v>
      </c>
      <c r="S1400">
        <v>41578.592023829777</v>
      </c>
      <c r="T1400">
        <v>0</v>
      </c>
      <c r="U1400">
        <v>0</v>
      </c>
      <c r="V1400">
        <v>88638.947347097012</v>
      </c>
      <c r="W1400">
        <v>0</v>
      </c>
      <c r="X1400">
        <v>0</v>
      </c>
      <c r="Y1400">
        <v>130957.77298982951</v>
      </c>
      <c r="Z1400">
        <v>9115.2277559648774</v>
      </c>
      <c r="AA1400">
        <v>140073.00074579439</v>
      </c>
      <c r="AB1400" t="s">
        <v>242</v>
      </c>
      <c r="AC1400">
        <v>6</v>
      </c>
      <c r="AD1400">
        <v>26405</v>
      </c>
      <c r="AE1400">
        <v>0</v>
      </c>
      <c r="AF1400">
        <v>0</v>
      </c>
      <c r="AG1400">
        <v>1717.5666853487778</v>
      </c>
      <c r="AH1400" t="s">
        <v>58</v>
      </c>
    </row>
    <row r="1401" spans="1:34" x14ac:dyDescent="0.3">
      <c r="A1401" t="s">
        <v>798</v>
      </c>
      <c r="B1401">
        <v>52201828</v>
      </c>
      <c r="C1401">
        <v>25536725</v>
      </c>
      <c r="D1401" t="s">
        <v>166</v>
      </c>
      <c r="E1401" t="s">
        <v>438</v>
      </c>
      <c r="F1401" t="s">
        <v>431</v>
      </c>
      <c r="G1401" t="s">
        <v>82</v>
      </c>
      <c r="H1401" t="s">
        <v>83</v>
      </c>
      <c r="J1401" t="s">
        <v>52</v>
      </c>
      <c r="K1401" s="15">
        <v>1500</v>
      </c>
      <c r="L1401" s="15">
        <v>0</v>
      </c>
      <c r="M1401" s="13">
        <v>45230</v>
      </c>
      <c r="O1401">
        <v>0</v>
      </c>
      <c r="P1401">
        <v>0</v>
      </c>
      <c r="Q1401">
        <v>0</v>
      </c>
      <c r="R1401">
        <v>841.92548277179139</v>
      </c>
      <c r="S1401">
        <v>15319.567026278628</v>
      </c>
      <c r="T1401">
        <v>0</v>
      </c>
      <c r="U1401">
        <v>0</v>
      </c>
      <c r="V1401">
        <v>46273.024665951423</v>
      </c>
      <c r="W1401">
        <v>0</v>
      </c>
      <c r="X1401">
        <v>0</v>
      </c>
      <c r="Y1401">
        <v>62434.517175001842</v>
      </c>
      <c r="Z1401">
        <v>4311.4814184561037</v>
      </c>
      <c r="AA1401">
        <v>66745.998593457945</v>
      </c>
      <c r="AB1401" t="s">
        <v>242</v>
      </c>
      <c r="AC1401">
        <v>9</v>
      </c>
      <c r="AD1401">
        <v>14500</v>
      </c>
      <c r="AE1401">
        <v>0</v>
      </c>
      <c r="AF1401">
        <v>0</v>
      </c>
      <c r="AG1401">
        <v>935.70540541497689</v>
      </c>
      <c r="AH1401" t="s">
        <v>58</v>
      </c>
    </row>
    <row r="1402" spans="1:34" x14ac:dyDescent="0.3">
      <c r="A1402" t="s">
        <v>798</v>
      </c>
      <c r="B1402">
        <v>62200005</v>
      </c>
      <c r="C1402">
        <v>19887124</v>
      </c>
      <c r="D1402" t="s">
        <v>77</v>
      </c>
      <c r="E1402" t="s">
        <v>435</v>
      </c>
      <c r="F1402" t="s">
        <v>432</v>
      </c>
      <c r="G1402" t="s">
        <v>82</v>
      </c>
      <c r="H1402" t="s">
        <v>82</v>
      </c>
      <c r="J1402" t="s">
        <v>52</v>
      </c>
      <c r="K1402" s="15">
        <v>1800</v>
      </c>
      <c r="L1402" s="15">
        <v>0</v>
      </c>
      <c r="M1402" s="13">
        <v>45230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59023.626182929671</v>
      </c>
      <c r="W1402">
        <v>0</v>
      </c>
      <c r="X1402">
        <v>0</v>
      </c>
      <c r="Y1402">
        <v>59023.626182929671</v>
      </c>
      <c r="Z1402">
        <v>0</v>
      </c>
      <c r="AA1402">
        <v>59023.626182929671</v>
      </c>
      <c r="AB1402" t="s">
        <v>242</v>
      </c>
      <c r="AC1402">
        <v>15</v>
      </c>
      <c r="AD1402">
        <v>27000</v>
      </c>
      <c r="AE1402">
        <v>0</v>
      </c>
      <c r="AF1402">
        <v>0</v>
      </c>
      <c r="AG1402">
        <v>0</v>
      </c>
      <c r="AH1402" t="s">
        <v>58</v>
      </c>
    </row>
    <row r="1403" spans="1:34" x14ac:dyDescent="0.3">
      <c r="A1403" t="s">
        <v>798</v>
      </c>
      <c r="B1403">
        <v>62200006</v>
      </c>
      <c r="C1403">
        <v>19887213</v>
      </c>
      <c r="D1403" t="s">
        <v>77</v>
      </c>
      <c r="E1403" t="s">
        <v>435</v>
      </c>
      <c r="F1403" t="s">
        <v>432</v>
      </c>
      <c r="G1403" t="s">
        <v>82</v>
      </c>
      <c r="H1403" t="s">
        <v>82</v>
      </c>
      <c r="J1403" t="s">
        <v>52</v>
      </c>
      <c r="K1403" s="15">
        <v>1800</v>
      </c>
      <c r="L1403" s="15">
        <v>0</v>
      </c>
      <c r="M1403" s="13">
        <v>45230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19095.406380183904</v>
      </c>
      <c r="W1403">
        <v>0</v>
      </c>
      <c r="X1403">
        <v>0</v>
      </c>
      <c r="Y1403">
        <v>19095.406380183904</v>
      </c>
      <c r="Z1403">
        <v>0</v>
      </c>
      <c r="AA1403">
        <v>19095.406380183904</v>
      </c>
      <c r="AB1403" t="s">
        <v>242</v>
      </c>
      <c r="AC1403">
        <v>15</v>
      </c>
      <c r="AD1403">
        <v>27000</v>
      </c>
      <c r="AE1403">
        <v>0</v>
      </c>
      <c r="AF1403">
        <v>0</v>
      </c>
      <c r="AG1403">
        <v>0</v>
      </c>
      <c r="AH1403" t="s">
        <v>58</v>
      </c>
    </row>
    <row r="1404" spans="1:34" x14ac:dyDescent="0.3">
      <c r="A1404" t="s">
        <v>798</v>
      </c>
      <c r="B1404">
        <v>62200013</v>
      </c>
      <c r="C1404">
        <v>20972385</v>
      </c>
      <c r="D1404" t="s">
        <v>76</v>
      </c>
      <c r="E1404" t="s">
        <v>435</v>
      </c>
      <c r="F1404" t="s">
        <v>432</v>
      </c>
      <c r="G1404" t="s">
        <v>82</v>
      </c>
      <c r="H1404" t="s">
        <v>82</v>
      </c>
      <c r="J1404" t="s">
        <v>52</v>
      </c>
      <c r="K1404" s="15">
        <v>4000</v>
      </c>
      <c r="L1404" s="15">
        <v>0</v>
      </c>
      <c r="M1404" s="13">
        <v>45230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27665.191359418066</v>
      </c>
      <c r="W1404">
        <v>0</v>
      </c>
      <c r="X1404">
        <v>0</v>
      </c>
      <c r="Y1404">
        <v>27665.191359418066</v>
      </c>
      <c r="Z1404">
        <v>0</v>
      </c>
      <c r="AA1404">
        <v>27665.191359418066</v>
      </c>
      <c r="AB1404" t="s">
        <v>242</v>
      </c>
      <c r="AC1404">
        <v>15</v>
      </c>
      <c r="AD1404">
        <v>60000</v>
      </c>
      <c r="AE1404">
        <v>0</v>
      </c>
      <c r="AF1404">
        <v>0</v>
      </c>
      <c r="AG1404">
        <v>0</v>
      </c>
      <c r="AH1404" t="s">
        <v>58</v>
      </c>
    </row>
    <row r="1405" spans="1:34" x14ac:dyDescent="0.3">
      <c r="A1405" t="s">
        <v>798</v>
      </c>
      <c r="B1405">
        <v>62200080</v>
      </c>
      <c r="C1405">
        <v>22425262</v>
      </c>
      <c r="D1405" t="s">
        <v>80</v>
      </c>
      <c r="E1405" t="s">
        <v>435</v>
      </c>
      <c r="F1405" t="s">
        <v>432</v>
      </c>
      <c r="G1405" t="s">
        <v>82</v>
      </c>
      <c r="H1405" t="s">
        <v>82</v>
      </c>
      <c r="J1405" t="s">
        <v>52</v>
      </c>
      <c r="K1405" s="15">
        <v>500</v>
      </c>
      <c r="L1405" s="15">
        <v>0</v>
      </c>
      <c r="M1405" s="13">
        <v>45230</v>
      </c>
      <c r="O1405">
        <v>0</v>
      </c>
      <c r="P1405">
        <v>0</v>
      </c>
      <c r="Q1405">
        <v>0</v>
      </c>
      <c r="R1405">
        <v>0</v>
      </c>
      <c r="S1405">
        <v>8739.2191780821922</v>
      </c>
      <c r="T1405">
        <v>0</v>
      </c>
      <c r="U1405">
        <v>0</v>
      </c>
      <c r="V1405">
        <v>30000</v>
      </c>
      <c r="W1405">
        <v>0</v>
      </c>
      <c r="X1405">
        <v>0</v>
      </c>
      <c r="Y1405">
        <v>38739.219178082189</v>
      </c>
      <c r="Z1405">
        <v>0</v>
      </c>
      <c r="AA1405">
        <v>38739.219178082189</v>
      </c>
      <c r="AB1405" t="s">
        <v>242</v>
      </c>
      <c r="AC1405">
        <v>10</v>
      </c>
      <c r="AD1405">
        <v>5000</v>
      </c>
      <c r="AE1405">
        <v>0</v>
      </c>
      <c r="AF1405">
        <v>0</v>
      </c>
      <c r="AG1405">
        <v>0</v>
      </c>
      <c r="AH1405" t="s">
        <v>58</v>
      </c>
    </row>
    <row r="1406" spans="1:34" x14ac:dyDescent="0.3">
      <c r="A1406" t="s">
        <v>798</v>
      </c>
      <c r="B1406">
        <v>4132301072</v>
      </c>
      <c r="C1406">
        <v>1120077615</v>
      </c>
      <c r="D1406" t="s">
        <v>910</v>
      </c>
      <c r="E1406" t="s">
        <v>441</v>
      </c>
      <c r="F1406" t="s">
        <v>430</v>
      </c>
      <c r="G1406" t="s">
        <v>233</v>
      </c>
      <c r="H1406" t="s">
        <v>231</v>
      </c>
      <c r="J1406" t="s">
        <v>52</v>
      </c>
      <c r="K1406" s="15">
        <v>3000</v>
      </c>
      <c r="L1406" s="15">
        <v>0</v>
      </c>
      <c r="M1406" s="13">
        <v>45230</v>
      </c>
      <c r="O1406">
        <v>0</v>
      </c>
      <c r="P1406">
        <v>0</v>
      </c>
      <c r="Q1406">
        <v>0</v>
      </c>
      <c r="R1406">
        <v>0</v>
      </c>
      <c r="S1406">
        <v>1058.7493687412173</v>
      </c>
      <c r="T1406">
        <v>1830.0089115592255</v>
      </c>
      <c r="U1406">
        <v>0</v>
      </c>
      <c r="V1406">
        <v>0</v>
      </c>
      <c r="W1406">
        <v>0</v>
      </c>
      <c r="X1406">
        <v>0</v>
      </c>
      <c r="Y1406">
        <v>2888.7582803004425</v>
      </c>
      <c r="Z1406">
        <v>128.10062380914579</v>
      </c>
      <c r="AA1406">
        <v>3016.8589041095884</v>
      </c>
      <c r="AB1406" t="s">
        <v>242</v>
      </c>
      <c r="AC1406">
        <v>5</v>
      </c>
      <c r="AD1406">
        <v>12000</v>
      </c>
      <c r="AE1406">
        <v>0</v>
      </c>
      <c r="AF1406">
        <v>0</v>
      </c>
      <c r="AG1406">
        <v>477.693768714219</v>
      </c>
      <c r="AH1406" t="s">
        <v>58</v>
      </c>
    </row>
    <row r="1407" spans="1:34" x14ac:dyDescent="0.3">
      <c r="A1407" t="s">
        <v>798</v>
      </c>
      <c r="B1407">
        <v>4142300008</v>
      </c>
      <c r="C1407">
        <v>132635</v>
      </c>
      <c r="D1407" t="s">
        <v>185</v>
      </c>
      <c r="E1407" t="s">
        <v>444</v>
      </c>
      <c r="F1407" t="s">
        <v>430</v>
      </c>
      <c r="G1407" t="s">
        <v>237</v>
      </c>
      <c r="H1407" t="s">
        <v>231</v>
      </c>
      <c r="J1407" t="s">
        <v>52</v>
      </c>
      <c r="K1407" s="15">
        <v>8000</v>
      </c>
      <c r="L1407" s="15">
        <v>0</v>
      </c>
      <c r="M1407" s="13">
        <v>45230</v>
      </c>
      <c r="O1407">
        <v>0</v>
      </c>
      <c r="P1407">
        <v>47302.587825617768</v>
      </c>
      <c r="Q1407">
        <v>0</v>
      </c>
      <c r="R1407">
        <v>0</v>
      </c>
      <c r="S1407">
        <v>0</v>
      </c>
      <c r="T1407">
        <v>24722.815116245078</v>
      </c>
      <c r="U1407">
        <v>39953.271028037387</v>
      </c>
      <c r="V1407">
        <v>0</v>
      </c>
      <c r="W1407">
        <v>0</v>
      </c>
      <c r="X1407">
        <v>0</v>
      </c>
      <c r="Y1407">
        <v>111978.67396990024</v>
      </c>
      <c r="Z1407">
        <v>4527.3260300997736</v>
      </c>
      <c r="AA1407">
        <v>116506.00000000001</v>
      </c>
      <c r="AB1407" t="s">
        <v>242</v>
      </c>
      <c r="AC1407">
        <v>4</v>
      </c>
      <c r="AD1407">
        <v>32000</v>
      </c>
      <c r="AE1407">
        <v>0</v>
      </c>
      <c r="AF1407">
        <v>0</v>
      </c>
      <c r="AG1407">
        <v>1203.5150913955549</v>
      </c>
      <c r="AH1407" t="s">
        <v>58</v>
      </c>
    </row>
    <row r="1408" spans="1:34" x14ac:dyDescent="0.3">
      <c r="A1408" t="s">
        <v>798</v>
      </c>
      <c r="B1408">
        <v>4142300160</v>
      </c>
      <c r="C1408">
        <v>10044677</v>
      </c>
      <c r="D1408" t="s">
        <v>190</v>
      </c>
      <c r="E1408" t="s">
        <v>445</v>
      </c>
      <c r="F1408" t="s">
        <v>430</v>
      </c>
      <c r="G1408" t="s">
        <v>230</v>
      </c>
      <c r="H1408" t="s">
        <v>234</v>
      </c>
      <c r="J1408" t="s">
        <v>52</v>
      </c>
      <c r="K1408" s="15">
        <v>4000</v>
      </c>
      <c r="L1408" s="15">
        <v>0</v>
      </c>
      <c r="M1408" s="13">
        <v>45230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62491.224299065441</v>
      </c>
      <c r="Y1408">
        <v>62491.224299065441</v>
      </c>
      <c r="Z1408">
        <v>4374.3857009345811</v>
      </c>
      <c r="AA1408">
        <v>66865.610000000015</v>
      </c>
      <c r="AB1408" t="s">
        <v>242</v>
      </c>
      <c r="AC1408">
        <v>5</v>
      </c>
      <c r="AD1408">
        <v>20000</v>
      </c>
      <c r="AE1408">
        <v>0</v>
      </c>
      <c r="AF1408">
        <v>0</v>
      </c>
      <c r="AG1408">
        <v>1308.4112149532712</v>
      </c>
      <c r="AH1408" t="s">
        <v>58</v>
      </c>
    </row>
    <row r="1409" spans="1:34" x14ac:dyDescent="0.3">
      <c r="A1409" t="s">
        <v>798</v>
      </c>
      <c r="B1409">
        <v>4142300254</v>
      </c>
      <c r="C1409">
        <v>10153969</v>
      </c>
      <c r="D1409" t="s">
        <v>195</v>
      </c>
      <c r="E1409" t="s">
        <v>445</v>
      </c>
      <c r="F1409" t="s">
        <v>430</v>
      </c>
      <c r="G1409" t="s">
        <v>237</v>
      </c>
      <c r="H1409" t="s">
        <v>234</v>
      </c>
      <c r="J1409" t="s">
        <v>52</v>
      </c>
      <c r="K1409" s="15">
        <v>5000</v>
      </c>
      <c r="L1409" s="15">
        <v>0</v>
      </c>
      <c r="M1409" s="13">
        <v>45230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71598.336448598144</v>
      </c>
      <c r="Y1409">
        <v>71598.336448598144</v>
      </c>
      <c r="Z1409">
        <v>5011.8835514018701</v>
      </c>
      <c r="AA1409">
        <v>76610.220000000016</v>
      </c>
      <c r="AB1409" t="s">
        <v>242</v>
      </c>
      <c r="AC1409">
        <v>3</v>
      </c>
      <c r="AD1409">
        <v>15000</v>
      </c>
      <c r="AE1409">
        <v>0</v>
      </c>
      <c r="AF1409">
        <v>0</v>
      </c>
      <c r="AG1409">
        <v>981.30841121495268</v>
      </c>
      <c r="AH1409" t="s">
        <v>58</v>
      </c>
    </row>
    <row r="1410" spans="1:34" x14ac:dyDescent="0.3">
      <c r="A1410" t="s">
        <v>798</v>
      </c>
      <c r="B1410">
        <v>4142300257</v>
      </c>
      <c r="C1410">
        <v>10108938</v>
      </c>
      <c r="D1410" t="s">
        <v>915</v>
      </c>
      <c r="E1410" t="s">
        <v>445</v>
      </c>
      <c r="F1410" t="s">
        <v>430</v>
      </c>
      <c r="G1410" t="s">
        <v>230</v>
      </c>
      <c r="H1410" t="s">
        <v>234</v>
      </c>
      <c r="J1410" t="s">
        <v>52</v>
      </c>
      <c r="K1410" s="15">
        <v>20000</v>
      </c>
      <c r="L1410" s="15">
        <v>0</v>
      </c>
      <c r="M1410" s="13">
        <v>45230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501355.14018691593</v>
      </c>
      <c r="Y1410">
        <v>501355.14018691593</v>
      </c>
      <c r="Z1410">
        <v>35094.85981308412</v>
      </c>
      <c r="AA1410">
        <v>536450</v>
      </c>
      <c r="AB1410" t="s">
        <v>242</v>
      </c>
      <c r="AC1410">
        <v>1</v>
      </c>
      <c r="AD1410">
        <v>20000</v>
      </c>
      <c r="AE1410">
        <v>0</v>
      </c>
      <c r="AF1410">
        <v>0</v>
      </c>
      <c r="AG1410">
        <v>1308.4112149532702</v>
      </c>
      <c r="AH1410" t="s">
        <v>72</v>
      </c>
    </row>
    <row r="1411" spans="1:34" x14ac:dyDescent="0.3">
      <c r="A1411" t="s">
        <v>798</v>
      </c>
      <c r="B1411">
        <v>4142300416</v>
      </c>
      <c r="C1411">
        <v>10179898</v>
      </c>
      <c r="D1411" t="s">
        <v>198</v>
      </c>
      <c r="E1411" t="s">
        <v>445</v>
      </c>
      <c r="F1411" t="s">
        <v>430</v>
      </c>
      <c r="G1411" t="s">
        <v>230</v>
      </c>
      <c r="H1411" t="s">
        <v>234</v>
      </c>
      <c r="J1411" t="s">
        <v>52</v>
      </c>
      <c r="K1411" s="15">
        <v>3200</v>
      </c>
      <c r="L1411" s="15">
        <v>0</v>
      </c>
      <c r="M1411" s="13">
        <v>45230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323324.28971962619</v>
      </c>
      <c r="Y1411">
        <v>323324.28971962619</v>
      </c>
      <c r="Z1411">
        <v>22632.700280373836</v>
      </c>
      <c r="AA1411">
        <v>345956.99000000005</v>
      </c>
      <c r="AB1411" t="s">
        <v>242</v>
      </c>
      <c r="AC1411">
        <v>7</v>
      </c>
      <c r="AD1411">
        <v>30800</v>
      </c>
      <c r="AE1411">
        <v>0</v>
      </c>
      <c r="AF1411">
        <v>0</v>
      </c>
      <c r="AG1411">
        <v>2014.9532710280375</v>
      </c>
      <c r="AH1411" t="s">
        <v>58</v>
      </c>
    </row>
    <row r="1412" spans="1:34" x14ac:dyDescent="0.3">
      <c r="A1412" t="s">
        <v>798</v>
      </c>
      <c r="B1412">
        <v>4142300513</v>
      </c>
      <c r="C1412">
        <v>10222706</v>
      </c>
      <c r="D1412" t="s">
        <v>200</v>
      </c>
      <c r="E1412" t="s">
        <v>445</v>
      </c>
      <c r="F1412" t="s">
        <v>430</v>
      </c>
      <c r="G1412" t="s">
        <v>230</v>
      </c>
      <c r="H1412" t="s">
        <v>234</v>
      </c>
      <c r="J1412" t="s">
        <v>52</v>
      </c>
      <c r="K1412" s="15">
        <v>35000</v>
      </c>
      <c r="L1412" s="15">
        <v>0</v>
      </c>
      <c r="M1412" s="13">
        <v>45230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393519.03738317755</v>
      </c>
      <c r="Y1412">
        <v>393519.03738317755</v>
      </c>
      <c r="Z1412">
        <v>27546.33261682243</v>
      </c>
      <c r="AA1412">
        <v>421065.37</v>
      </c>
      <c r="AB1412" t="s">
        <v>242</v>
      </c>
      <c r="AC1412">
        <v>1</v>
      </c>
      <c r="AD1412">
        <v>35000</v>
      </c>
      <c r="AE1412">
        <v>0</v>
      </c>
      <c r="AF1412">
        <v>0</v>
      </c>
      <c r="AG1412">
        <v>2289.7196261682257</v>
      </c>
      <c r="AH1412" t="s">
        <v>72</v>
      </c>
    </row>
    <row r="1413" spans="1:34" x14ac:dyDescent="0.3">
      <c r="A1413" t="s">
        <v>798</v>
      </c>
      <c r="B1413">
        <v>4142300720</v>
      </c>
      <c r="C1413">
        <v>10326408</v>
      </c>
      <c r="D1413" t="s">
        <v>205</v>
      </c>
      <c r="E1413" t="s">
        <v>445</v>
      </c>
      <c r="F1413" t="s">
        <v>430</v>
      </c>
      <c r="G1413" t="s">
        <v>230</v>
      </c>
      <c r="H1413" t="s">
        <v>234</v>
      </c>
      <c r="J1413" t="s">
        <v>52</v>
      </c>
      <c r="K1413" s="15">
        <v>5000</v>
      </c>
      <c r="L1413" s="15">
        <v>0</v>
      </c>
      <c r="M1413" s="13">
        <v>45230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515712.71028037381</v>
      </c>
      <c r="Y1413">
        <v>515712.71028037381</v>
      </c>
      <c r="Z1413">
        <v>36099.889719626168</v>
      </c>
      <c r="AA1413">
        <v>551812.6</v>
      </c>
      <c r="AB1413" t="s">
        <v>242</v>
      </c>
      <c r="AC1413">
        <v>3</v>
      </c>
      <c r="AD1413">
        <v>15000</v>
      </c>
      <c r="AE1413">
        <v>0</v>
      </c>
      <c r="AF1413">
        <v>0</v>
      </c>
      <c r="AG1413">
        <v>981.30841121495268</v>
      </c>
      <c r="AH1413" t="s">
        <v>58</v>
      </c>
    </row>
    <row r="1414" spans="1:34" x14ac:dyDescent="0.3">
      <c r="A1414" t="s">
        <v>798</v>
      </c>
      <c r="B1414">
        <v>4302300029</v>
      </c>
      <c r="C1414">
        <v>901014004279</v>
      </c>
      <c r="D1414" t="s">
        <v>226</v>
      </c>
      <c r="E1414" t="s">
        <v>447</v>
      </c>
      <c r="F1414" t="s">
        <v>433</v>
      </c>
      <c r="G1414" t="s">
        <v>82</v>
      </c>
      <c r="H1414" t="s">
        <v>83</v>
      </c>
      <c r="J1414" t="s">
        <v>52</v>
      </c>
      <c r="K1414" s="15">
        <v>4000</v>
      </c>
      <c r="L1414" s="15">
        <v>0</v>
      </c>
      <c r="M1414" s="13">
        <v>45230</v>
      </c>
      <c r="O1414">
        <v>0</v>
      </c>
      <c r="P1414">
        <v>0</v>
      </c>
      <c r="Q1414">
        <v>25144.365421140734</v>
      </c>
      <c r="R1414">
        <v>17136.900000000001</v>
      </c>
      <c r="S1414">
        <v>67982.257363419892</v>
      </c>
      <c r="T1414">
        <v>0</v>
      </c>
      <c r="U1414">
        <v>0</v>
      </c>
      <c r="V1414">
        <v>332423.83</v>
      </c>
      <c r="W1414">
        <v>0</v>
      </c>
      <c r="X1414">
        <v>0</v>
      </c>
      <c r="Y1414">
        <v>442687.35278456064</v>
      </c>
      <c r="Z1414">
        <v>28028.426115439397</v>
      </c>
      <c r="AA1414">
        <v>470715.77890000003</v>
      </c>
      <c r="AB1414" t="s">
        <v>242</v>
      </c>
      <c r="AC1414">
        <v>4</v>
      </c>
      <c r="AD1414">
        <v>16000</v>
      </c>
      <c r="AE1414">
        <v>0</v>
      </c>
      <c r="AF1414">
        <v>0</v>
      </c>
      <c r="AG1414">
        <v>946.62278456060858</v>
      </c>
      <c r="AH1414" t="s">
        <v>58</v>
      </c>
    </row>
    <row r="1415" spans="1:34" x14ac:dyDescent="0.3">
      <c r="A1415" t="s">
        <v>798</v>
      </c>
      <c r="B1415">
        <v>4302300031</v>
      </c>
      <c r="C1415">
        <v>901014009726</v>
      </c>
      <c r="D1415" t="s">
        <v>226</v>
      </c>
      <c r="E1415" t="s">
        <v>447</v>
      </c>
      <c r="F1415" t="s">
        <v>433</v>
      </c>
      <c r="G1415" t="s">
        <v>82</v>
      </c>
      <c r="H1415" t="s">
        <v>83</v>
      </c>
      <c r="J1415" t="s">
        <v>52</v>
      </c>
      <c r="K1415" s="15">
        <v>4500</v>
      </c>
      <c r="L1415" s="15">
        <v>0</v>
      </c>
      <c r="M1415" s="13">
        <v>45230</v>
      </c>
      <c r="O1415">
        <v>0</v>
      </c>
      <c r="P1415">
        <v>0</v>
      </c>
      <c r="Q1415">
        <v>25139.699611234268</v>
      </c>
      <c r="R1415">
        <v>17745.22</v>
      </c>
      <c r="S1415">
        <v>70290.135410061426</v>
      </c>
      <c r="T1415">
        <v>0</v>
      </c>
      <c r="U1415">
        <v>0</v>
      </c>
      <c r="V1415">
        <v>367732.35</v>
      </c>
      <c r="W1415">
        <v>0</v>
      </c>
      <c r="X1415">
        <v>0</v>
      </c>
      <c r="Y1415">
        <v>480907.40502129565</v>
      </c>
      <c r="Z1415">
        <v>30661.573978704302</v>
      </c>
      <c r="AA1415">
        <v>511568.97899999993</v>
      </c>
      <c r="AB1415" t="s">
        <v>242</v>
      </c>
      <c r="AC1415">
        <v>4</v>
      </c>
      <c r="AD1415">
        <v>18000</v>
      </c>
      <c r="AE1415">
        <v>0</v>
      </c>
      <c r="AF1415">
        <v>0</v>
      </c>
      <c r="AG1415">
        <v>1072.4150212957002</v>
      </c>
      <c r="AH1415" t="s">
        <v>58</v>
      </c>
    </row>
    <row r="1416" spans="1:34" x14ac:dyDescent="0.3">
      <c r="A1416" t="s">
        <v>798</v>
      </c>
      <c r="B1416">
        <v>4302300032</v>
      </c>
      <c r="C1416">
        <v>901014009730</v>
      </c>
      <c r="D1416" t="s">
        <v>226</v>
      </c>
      <c r="E1416" t="s">
        <v>447</v>
      </c>
      <c r="F1416" t="s">
        <v>433</v>
      </c>
      <c r="G1416" t="s">
        <v>82</v>
      </c>
      <c r="H1416" t="s">
        <v>83</v>
      </c>
      <c r="J1416" t="s">
        <v>52</v>
      </c>
      <c r="K1416" s="15">
        <v>4500</v>
      </c>
      <c r="L1416" s="15">
        <v>0</v>
      </c>
      <c r="M1416" s="13">
        <v>45230</v>
      </c>
      <c r="O1416">
        <v>0</v>
      </c>
      <c r="P1416">
        <v>0</v>
      </c>
      <c r="Q1416">
        <v>25126.348270497398</v>
      </c>
      <c r="R1416">
        <v>16879.09</v>
      </c>
      <c r="S1416">
        <v>70321.657410750078</v>
      </c>
      <c r="T1416">
        <v>0</v>
      </c>
      <c r="U1416">
        <v>0</v>
      </c>
      <c r="V1416">
        <v>367159.58</v>
      </c>
      <c r="W1416">
        <v>0</v>
      </c>
      <c r="X1416">
        <v>0</v>
      </c>
      <c r="Y1416">
        <v>479486.67568124749</v>
      </c>
      <c r="Z1416">
        <v>30623.686618752512</v>
      </c>
      <c r="AA1416">
        <v>510110.36229999998</v>
      </c>
      <c r="AB1416" t="s">
        <v>242</v>
      </c>
      <c r="AC1416">
        <v>4</v>
      </c>
      <c r="AD1416">
        <v>18000</v>
      </c>
      <c r="AE1416">
        <v>0</v>
      </c>
      <c r="AF1416">
        <v>0</v>
      </c>
      <c r="AG1416">
        <v>1074.2656812474938</v>
      </c>
      <c r="AH1416" t="s">
        <v>58</v>
      </c>
    </row>
    <row r="1417" spans="1:34" x14ac:dyDescent="0.3">
      <c r="A1417" t="s">
        <v>798</v>
      </c>
      <c r="B1417">
        <v>4302300033</v>
      </c>
      <c r="C1417">
        <v>901015003340</v>
      </c>
      <c r="D1417" t="s">
        <v>226</v>
      </c>
      <c r="E1417" t="s">
        <v>447</v>
      </c>
      <c r="F1417" t="s">
        <v>433</v>
      </c>
      <c r="G1417" t="s">
        <v>82</v>
      </c>
      <c r="H1417" t="s">
        <v>83</v>
      </c>
      <c r="J1417" t="s">
        <v>52</v>
      </c>
      <c r="K1417" s="15">
        <v>15000</v>
      </c>
      <c r="L1417" s="15">
        <v>0</v>
      </c>
      <c r="M1417" s="13">
        <v>45230</v>
      </c>
      <c r="O1417">
        <v>0</v>
      </c>
      <c r="P1417">
        <v>0</v>
      </c>
      <c r="Q1417">
        <v>85129.176423719473</v>
      </c>
      <c r="R1417">
        <v>40974.17</v>
      </c>
      <c r="S1417">
        <v>209487.6547441874</v>
      </c>
      <c r="T1417">
        <v>0</v>
      </c>
      <c r="U1417">
        <v>0</v>
      </c>
      <c r="V1417">
        <v>1237914.08</v>
      </c>
      <c r="W1417">
        <v>0</v>
      </c>
      <c r="X1417">
        <v>0</v>
      </c>
      <c r="Y1417">
        <v>1573505.081167907</v>
      </c>
      <c r="Z1417">
        <v>101318.12143209313</v>
      </c>
      <c r="AA1417">
        <v>1674823.2026000002</v>
      </c>
      <c r="AB1417" t="s">
        <v>242</v>
      </c>
      <c r="AC1417">
        <v>4</v>
      </c>
      <c r="AD1417">
        <v>60000</v>
      </c>
      <c r="AE1417">
        <v>0</v>
      </c>
      <c r="AF1417">
        <v>0</v>
      </c>
      <c r="AG1417">
        <v>3610.2111679068821</v>
      </c>
      <c r="AH1417" t="s">
        <v>58</v>
      </c>
    </row>
    <row r="1418" spans="1:34" x14ac:dyDescent="0.3">
      <c r="A1418" t="s">
        <v>798</v>
      </c>
      <c r="B1418">
        <v>4302300034</v>
      </c>
      <c r="C1418">
        <v>901015004122</v>
      </c>
      <c r="D1418" t="s">
        <v>226</v>
      </c>
      <c r="E1418" t="s">
        <v>447</v>
      </c>
      <c r="F1418" t="s">
        <v>433</v>
      </c>
      <c r="G1418" t="s">
        <v>82</v>
      </c>
      <c r="H1418" t="s">
        <v>83</v>
      </c>
      <c r="J1418" t="s">
        <v>52</v>
      </c>
      <c r="K1418" s="15">
        <v>13000</v>
      </c>
      <c r="L1418" s="15">
        <v>0</v>
      </c>
      <c r="M1418" s="13">
        <v>45230</v>
      </c>
      <c r="O1418">
        <v>0</v>
      </c>
      <c r="P1418">
        <v>0</v>
      </c>
      <c r="Q1418">
        <v>76107.12024761767</v>
      </c>
      <c r="R1418">
        <v>28517.54</v>
      </c>
      <c r="S1418">
        <v>186435.74266577789</v>
      </c>
      <c r="T1418">
        <v>0</v>
      </c>
      <c r="U1418">
        <v>0</v>
      </c>
      <c r="V1418">
        <v>1103651.04</v>
      </c>
      <c r="W1418">
        <v>0</v>
      </c>
      <c r="X1418">
        <v>0</v>
      </c>
      <c r="Y1418">
        <v>1394711.4429133956</v>
      </c>
      <c r="Z1418">
        <v>90306.074786604469</v>
      </c>
      <c r="AA1418">
        <v>1485017.5177</v>
      </c>
      <c r="AB1418" t="s">
        <v>242</v>
      </c>
      <c r="AC1418">
        <v>3</v>
      </c>
      <c r="AD1418">
        <v>39000</v>
      </c>
      <c r="AE1418">
        <v>0</v>
      </c>
      <c r="AF1418">
        <v>0</v>
      </c>
      <c r="AG1418">
        <v>2359.7929133955495</v>
      </c>
      <c r="AH1418" t="s">
        <v>58</v>
      </c>
    </row>
    <row r="1419" spans="1:34" x14ac:dyDescent="0.3">
      <c r="A1419" t="s">
        <v>798</v>
      </c>
      <c r="B1419">
        <v>4302300035</v>
      </c>
      <c r="C1419">
        <v>901015004175</v>
      </c>
      <c r="D1419" t="s">
        <v>226</v>
      </c>
      <c r="E1419" t="s">
        <v>447</v>
      </c>
      <c r="F1419" t="s">
        <v>433</v>
      </c>
      <c r="G1419" t="s">
        <v>82</v>
      </c>
      <c r="H1419" t="s">
        <v>83</v>
      </c>
      <c r="J1419" t="s">
        <v>52</v>
      </c>
      <c r="K1419" s="15">
        <v>12000</v>
      </c>
      <c r="L1419" s="15">
        <v>0</v>
      </c>
      <c r="M1419" s="13">
        <v>45230</v>
      </c>
      <c r="O1419">
        <v>0</v>
      </c>
      <c r="P1419">
        <v>0</v>
      </c>
      <c r="Q1419">
        <v>68130.372037776586</v>
      </c>
      <c r="R1419">
        <v>21447.41</v>
      </c>
      <c r="S1419">
        <v>144373.56071235833</v>
      </c>
      <c r="T1419">
        <v>0</v>
      </c>
      <c r="U1419">
        <v>0</v>
      </c>
      <c r="V1419">
        <v>988232.46</v>
      </c>
      <c r="W1419">
        <v>0</v>
      </c>
      <c r="X1419">
        <v>0</v>
      </c>
      <c r="Y1419">
        <v>1222183.8027501348</v>
      </c>
      <c r="Z1419">
        <v>79282.421449865098</v>
      </c>
      <c r="AA1419">
        <v>1301466.2242000001</v>
      </c>
      <c r="AB1419" t="s">
        <v>242</v>
      </c>
      <c r="AC1419">
        <v>4</v>
      </c>
      <c r="AD1419">
        <v>48000</v>
      </c>
      <c r="AE1419">
        <v>0</v>
      </c>
      <c r="AF1419">
        <v>0</v>
      </c>
      <c r="AG1419">
        <v>2909.6927501349164</v>
      </c>
      <c r="AH1419" t="s">
        <v>58</v>
      </c>
    </row>
    <row r="1420" spans="1:34" x14ac:dyDescent="0.3">
      <c r="A1420" t="s">
        <v>798</v>
      </c>
      <c r="B1420">
        <v>4302300037</v>
      </c>
      <c r="C1420">
        <v>901016002166</v>
      </c>
      <c r="D1420" t="s">
        <v>226</v>
      </c>
      <c r="E1420" t="s">
        <v>447</v>
      </c>
      <c r="F1420" t="s">
        <v>433</v>
      </c>
      <c r="G1420" t="s">
        <v>82</v>
      </c>
      <c r="H1420" t="s">
        <v>83</v>
      </c>
      <c r="J1420" t="s">
        <v>52</v>
      </c>
      <c r="K1420" s="15">
        <v>25000</v>
      </c>
      <c r="L1420" s="15">
        <v>0</v>
      </c>
      <c r="M1420" s="13">
        <v>45230</v>
      </c>
      <c r="O1420">
        <v>0</v>
      </c>
      <c r="P1420">
        <v>0</v>
      </c>
      <c r="Q1420">
        <v>282616.26675531041</v>
      </c>
      <c r="R1420">
        <v>131054.42</v>
      </c>
      <c r="S1420">
        <v>565814.29798569111</v>
      </c>
      <c r="T1420">
        <v>0</v>
      </c>
      <c r="U1420">
        <v>0</v>
      </c>
      <c r="V1420">
        <v>4045543.13</v>
      </c>
      <c r="W1420">
        <v>0</v>
      </c>
      <c r="X1420">
        <v>0</v>
      </c>
      <c r="Y1420">
        <v>5025028.1147410013</v>
      </c>
      <c r="Z1420">
        <v>322795.01995899837</v>
      </c>
      <c r="AA1420">
        <v>5347823.1346999994</v>
      </c>
      <c r="AB1420" t="s">
        <v>242</v>
      </c>
      <c r="AC1420">
        <v>3</v>
      </c>
      <c r="AD1420">
        <v>75000</v>
      </c>
      <c r="AE1420">
        <v>0</v>
      </c>
      <c r="AF1420">
        <v>0</v>
      </c>
      <c r="AG1420">
        <v>4502.3847410016169</v>
      </c>
      <c r="AH1420" t="s">
        <v>58</v>
      </c>
    </row>
    <row r="1421" spans="1:34" x14ac:dyDescent="0.3">
      <c r="A1421" t="s">
        <v>798</v>
      </c>
      <c r="B1421">
        <v>4302300038</v>
      </c>
      <c r="C1421">
        <v>901016002316</v>
      </c>
      <c r="D1421" t="s">
        <v>226</v>
      </c>
      <c r="E1421" t="s">
        <v>447</v>
      </c>
      <c r="F1421" t="s">
        <v>433</v>
      </c>
      <c r="G1421" t="s">
        <v>82</v>
      </c>
      <c r="H1421" t="s">
        <v>83</v>
      </c>
      <c r="J1421" t="s">
        <v>52</v>
      </c>
      <c r="K1421" s="15">
        <v>3700</v>
      </c>
      <c r="L1421" s="15">
        <v>0</v>
      </c>
      <c r="M1421" s="13">
        <v>45230</v>
      </c>
      <c r="O1421">
        <v>0</v>
      </c>
      <c r="P1421">
        <v>0</v>
      </c>
      <c r="Q1421">
        <v>19584.945127403098</v>
      </c>
      <c r="R1421">
        <v>11130.72</v>
      </c>
      <c r="S1421">
        <v>33179.474834202709</v>
      </c>
      <c r="T1421">
        <v>0</v>
      </c>
      <c r="U1421">
        <v>0</v>
      </c>
      <c r="V1421">
        <v>290550.83</v>
      </c>
      <c r="W1421">
        <v>0</v>
      </c>
      <c r="X1421">
        <v>0</v>
      </c>
      <c r="Y1421">
        <v>354445.96996160585</v>
      </c>
      <c r="Z1421">
        <v>22661.121338394194</v>
      </c>
      <c r="AA1421">
        <v>377107.09130000003</v>
      </c>
      <c r="AB1421" t="s">
        <v>242</v>
      </c>
      <c r="AC1421">
        <v>4</v>
      </c>
      <c r="AD1421">
        <v>14800</v>
      </c>
      <c r="AE1421">
        <v>0</v>
      </c>
      <c r="AF1421">
        <v>0</v>
      </c>
      <c r="AG1421">
        <v>884.18996160580991</v>
      </c>
      <c r="AH1421" t="s">
        <v>58</v>
      </c>
    </row>
    <row r="1422" spans="1:34" x14ac:dyDescent="0.3">
      <c r="A1422" t="s">
        <v>798</v>
      </c>
      <c r="B1422">
        <v>4302300041</v>
      </c>
      <c r="C1422">
        <v>901016004670</v>
      </c>
      <c r="D1422" t="s">
        <v>226</v>
      </c>
      <c r="E1422" t="s">
        <v>447</v>
      </c>
      <c r="F1422" t="s">
        <v>433</v>
      </c>
      <c r="G1422" t="s">
        <v>82</v>
      </c>
      <c r="H1422" t="s">
        <v>83</v>
      </c>
      <c r="J1422" t="s">
        <v>52</v>
      </c>
      <c r="K1422" s="15">
        <v>12000</v>
      </c>
      <c r="L1422" s="15">
        <v>0</v>
      </c>
      <c r="M1422" s="13">
        <v>45230</v>
      </c>
      <c r="O1422">
        <v>0</v>
      </c>
      <c r="P1422">
        <v>0</v>
      </c>
      <c r="Q1422">
        <v>67614.697870717791</v>
      </c>
      <c r="R1422">
        <v>26910.12</v>
      </c>
      <c r="S1422">
        <v>117751.86301802078</v>
      </c>
      <c r="T1422">
        <v>0</v>
      </c>
      <c r="U1422">
        <v>0</v>
      </c>
      <c r="V1422">
        <v>981107.15</v>
      </c>
      <c r="W1422">
        <v>0</v>
      </c>
      <c r="X1422">
        <v>0</v>
      </c>
      <c r="Y1422">
        <v>1193383.8308887386</v>
      </c>
      <c r="Z1422">
        <v>76920.130911261469</v>
      </c>
      <c r="AA1422">
        <v>1270303.9618000002</v>
      </c>
      <c r="AB1422" t="s">
        <v>242</v>
      </c>
      <c r="AC1422">
        <v>3</v>
      </c>
      <c r="AD1422">
        <v>36000</v>
      </c>
      <c r="AE1422">
        <v>0</v>
      </c>
      <c r="AF1422">
        <v>0</v>
      </c>
      <c r="AG1422">
        <v>2168.3708887385474</v>
      </c>
      <c r="AH1422" t="s">
        <v>58</v>
      </c>
    </row>
    <row r="1423" spans="1:34" x14ac:dyDescent="0.3">
      <c r="A1423" t="s">
        <v>798</v>
      </c>
      <c r="B1423">
        <v>42200850</v>
      </c>
      <c r="C1423" t="s">
        <v>345</v>
      </c>
      <c r="D1423" t="s">
        <v>384</v>
      </c>
      <c r="E1423" t="s">
        <v>439</v>
      </c>
      <c r="F1423" t="s">
        <v>430</v>
      </c>
      <c r="G1423" t="s">
        <v>233</v>
      </c>
      <c r="H1423" t="s">
        <v>234</v>
      </c>
      <c r="J1423" t="s">
        <v>52</v>
      </c>
      <c r="K1423" s="15">
        <v>5000</v>
      </c>
      <c r="L1423" s="15">
        <v>0</v>
      </c>
      <c r="M1423" s="13">
        <v>45230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32710.280373831778</v>
      </c>
      <c r="Y1423">
        <v>32710.280373831778</v>
      </c>
      <c r="Z1423">
        <v>2289.7196261682247</v>
      </c>
      <c r="AA1423">
        <v>35000</v>
      </c>
      <c r="AB1423" t="s">
        <v>242</v>
      </c>
      <c r="AC1423">
        <v>3</v>
      </c>
      <c r="AD1423">
        <v>9500</v>
      </c>
      <c r="AE1423">
        <v>0</v>
      </c>
      <c r="AF1423">
        <v>0</v>
      </c>
      <c r="AG1423">
        <v>621.49532710280369</v>
      </c>
      <c r="AH1423" t="s">
        <v>58</v>
      </c>
    </row>
    <row r="1424" spans="1:34" x14ac:dyDescent="0.3">
      <c r="A1424" t="s">
        <v>798</v>
      </c>
      <c r="B1424">
        <v>4132300350</v>
      </c>
      <c r="C1424" t="s">
        <v>466</v>
      </c>
      <c r="D1424" t="s">
        <v>539</v>
      </c>
      <c r="E1424" t="s">
        <v>441</v>
      </c>
      <c r="F1424" t="s">
        <v>430</v>
      </c>
      <c r="G1424" t="s">
        <v>230</v>
      </c>
      <c r="H1424" t="s">
        <v>231</v>
      </c>
      <c r="J1424" t="s">
        <v>52</v>
      </c>
      <c r="K1424" s="15">
        <v>3000</v>
      </c>
      <c r="L1424" s="15">
        <v>0</v>
      </c>
      <c r="M1424" s="13">
        <v>45230</v>
      </c>
      <c r="O1424">
        <v>0</v>
      </c>
      <c r="P1424">
        <v>0</v>
      </c>
      <c r="Q1424">
        <v>0</v>
      </c>
      <c r="R1424">
        <v>0</v>
      </c>
      <c r="S1424">
        <v>2111.1574273485676</v>
      </c>
      <c r="T1424">
        <v>0</v>
      </c>
      <c r="U1424">
        <v>0</v>
      </c>
      <c r="V1424">
        <v>0</v>
      </c>
      <c r="W1424">
        <v>5151.8564563251139</v>
      </c>
      <c r="X1424">
        <v>0</v>
      </c>
      <c r="Y1424">
        <v>7263.0138836736814</v>
      </c>
      <c r="Z1424">
        <v>360.629951942758</v>
      </c>
      <c r="AA1424">
        <v>7623.6438356164399</v>
      </c>
      <c r="AB1424" t="s">
        <v>242</v>
      </c>
      <c r="AC1424">
        <v>5</v>
      </c>
      <c r="AD1424">
        <v>18000</v>
      </c>
      <c r="AE1424">
        <v>0</v>
      </c>
      <c r="AF1424">
        <v>0</v>
      </c>
      <c r="AG1424">
        <v>818.7064966553728</v>
      </c>
      <c r="AH1424" t="s">
        <v>58</v>
      </c>
    </row>
    <row r="1425" spans="1:34" x14ac:dyDescent="0.3">
      <c r="A1425" t="s">
        <v>798</v>
      </c>
      <c r="B1425">
        <v>4142300737</v>
      </c>
      <c r="C1425" t="s">
        <v>358</v>
      </c>
      <c r="D1425" t="s">
        <v>397</v>
      </c>
      <c r="E1425" t="s">
        <v>445</v>
      </c>
      <c r="F1425" t="s">
        <v>430</v>
      </c>
      <c r="G1425" t="s">
        <v>237</v>
      </c>
      <c r="H1425" t="s">
        <v>234</v>
      </c>
      <c r="J1425" t="s">
        <v>52</v>
      </c>
      <c r="K1425" s="15">
        <v>12000</v>
      </c>
      <c r="L1425" s="15">
        <v>0</v>
      </c>
      <c r="M1425" s="13">
        <v>45230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28037.383177570107</v>
      </c>
      <c r="Y1425">
        <v>28037.383177570107</v>
      </c>
      <c r="Z1425">
        <v>1962.6168224299076</v>
      </c>
      <c r="AA1425">
        <v>30000.000000000015</v>
      </c>
      <c r="AB1425" t="s">
        <v>242</v>
      </c>
      <c r="AC1425">
        <v>4</v>
      </c>
      <c r="AD1425">
        <v>42000</v>
      </c>
      <c r="AE1425">
        <v>0</v>
      </c>
      <c r="AF1425">
        <v>0</v>
      </c>
      <c r="AG1425">
        <v>2747.6635514018726</v>
      </c>
      <c r="AH1425" t="s">
        <v>58</v>
      </c>
    </row>
    <row r="1426" spans="1:34" x14ac:dyDescent="0.3">
      <c r="A1426" t="s">
        <v>798</v>
      </c>
      <c r="B1426">
        <v>4142301088</v>
      </c>
      <c r="C1426" t="s">
        <v>509</v>
      </c>
      <c r="D1426" t="s">
        <v>581</v>
      </c>
      <c r="E1426" t="s">
        <v>445</v>
      </c>
      <c r="F1426" t="s">
        <v>430</v>
      </c>
      <c r="G1426" t="s">
        <v>230</v>
      </c>
      <c r="H1426" t="s">
        <v>234</v>
      </c>
      <c r="J1426" t="s">
        <v>52</v>
      </c>
      <c r="K1426" s="15">
        <v>40000</v>
      </c>
      <c r="L1426" s="15">
        <v>0</v>
      </c>
      <c r="M1426" s="13">
        <v>45230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74766.355140186934</v>
      </c>
      <c r="Y1426">
        <v>74766.355140186934</v>
      </c>
      <c r="Z1426">
        <v>5233.6448598130855</v>
      </c>
      <c r="AA1426">
        <v>80000.000000000015</v>
      </c>
      <c r="AB1426" t="s">
        <v>242</v>
      </c>
      <c r="AC1426">
        <v>4</v>
      </c>
      <c r="AD1426">
        <v>170000</v>
      </c>
      <c r="AE1426">
        <v>0</v>
      </c>
      <c r="AF1426">
        <v>0</v>
      </c>
      <c r="AG1426">
        <v>11121.495327102799</v>
      </c>
      <c r="AH1426" t="s">
        <v>58</v>
      </c>
    </row>
    <row r="1427" spans="1:34" x14ac:dyDescent="0.3">
      <c r="A1427" t="s">
        <v>798</v>
      </c>
      <c r="B1427">
        <v>4242300018</v>
      </c>
      <c r="C1427" t="s">
        <v>515</v>
      </c>
      <c r="D1427" t="s">
        <v>587</v>
      </c>
      <c r="E1427" t="s">
        <v>444</v>
      </c>
      <c r="F1427" t="s">
        <v>431</v>
      </c>
      <c r="G1427" t="s">
        <v>230</v>
      </c>
      <c r="H1427" t="s">
        <v>231</v>
      </c>
      <c r="J1427" t="s">
        <v>52</v>
      </c>
      <c r="K1427" s="15">
        <v>50000</v>
      </c>
      <c r="L1427" s="15">
        <v>0</v>
      </c>
      <c r="M1427" s="13">
        <v>45230</v>
      </c>
      <c r="O1427">
        <v>0</v>
      </c>
      <c r="P1427">
        <v>5439.8424793299191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103904.08491028356</v>
      </c>
      <c r="X1427">
        <v>0</v>
      </c>
      <c r="Y1427">
        <v>109343.92738961348</v>
      </c>
      <c r="Z1427">
        <v>7273.2859437198504</v>
      </c>
      <c r="AA1427">
        <v>116617.21333333333</v>
      </c>
      <c r="AB1427" t="s">
        <v>242</v>
      </c>
      <c r="AC1427">
        <v>1</v>
      </c>
      <c r="AD1427">
        <v>50000</v>
      </c>
      <c r="AE1427">
        <v>0</v>
      </c>
      <c r="AF1427">
        <v>0</v>
      </c>
      <c r="AG1427">
        <v>3103.5410967785938</v>
      </c>
      <c r="AH1427" t="s">
        <v>72</v>
      </c>
    </row>
    <row r="1428" spans="1:34" x14ac:dyDescent="0.3">
      <c r="A1428" t="s">
        <v>798</v>
      </c>
      <c r="B1428">
        <v>62200092</v>
      </c>
      <c r="C1428" t="s">
        <v>659</v>
      </c>
      <c r="D1428" t="s">
        <v>658</v>
      </c>
      <c r="E1428" t="s">
        <v>435</v>
      </c>
      <c r="F1428" t="s">
        <v>432</v>
      </c>
      <c r="G1428" t="s">
        <v>235</v>
      </c>
      <c r="H1428" t="s">
        <v>235</v>
      </c>
      <c r="J1428" t="s">
        <v>52</v>
      </c>
      <c r="K1428" s="15">
        <v>3000</v>
      </c>
      <c r="M1428" s="13">
        <v>45230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48618.739999999991</v>
      </c>
      <c r="W1428">
        <v>0</v>
      </c>
      <c r="X1428">
        <v>0</v>
      </c>
      <c r="Y1428">
        <v>48618.739999999991</v>
      </c>
      <c r="Z1428">
        <v>0</v>
      </c>
      <c r="AA1428">
        <v>48618.739999999991</v>
      </c>
      <c r="AB1428" t="s">
        <v>242</v>
      </c>
      <c r="AC1428">
        <v>5</v>
      </c>
      <c r="AD1428">
        <v>15000</v>
      </c>
      <c r="AE1428">
        <v>0</v>
      </c>
      <c r="AF1428">
        <v>0</v>
      </c>
      <c r="AG1428">
        <v>0</v>
      </c>
      <c r="AH1428" t="s">
        <v>58</v>
      </c>
    </row>
    <row r="1429" spans="1:34" x14ac:dyDescent="0.3">
      <c r="A1429" t="s">
        <v>798</v>
      </c>
      <c r="B1429">
        <v>52200258</v>
      </c>
      <c r="C1429" t="s">
        <v>661</v>
      </c>
      <c r="D1429" t="s">
        <v>660</v>
      </c>
      <c r="E1429" t="s">
        <v>436</v>
      </c>
      <c r="F1429" t="s">
        <v>431</v>
      </c>
      <c r="G1429" t="s">
        <v>82</v>
      </c>
      <c r="H1429" t="s">
        <v>83</v>
      </c>
      <c r="J1429" t="s">
        <v>52</v>
      </c>
      <c r="K1429" s="15">
        <v>1000</v>
      </c>
      <c r="M1429" s="13">
        <v>45230</v>
      </c>
      <c r="O1429">
        <v>0</v>
      </c>
      <c r="P1429">
        <v>0</v>
      </c>
      <c r="Q1429">
        <v>0</v>
      </c>
      <c r="R1429">
        <v>961.31377478601723</v>
      </c>
      <c r="S1429">
        <v>43200.568356169941</v>
      </c>
      <c r="T1429">
        <v>0</v>
      </c>
      <c r="U1429">
        <v>0</v>
      </c>
      <c r="V1429">
        <v>90093.531323259682</v>
      </c>
      <c r="W1429">
        <v>0</v>
      </c>
      <c r="X1429">
        <v>0</v>
      </c>
      <c r="Y1429">
        <v>134255.41345421562</v>
      </c>
      <c r="Z1429">
        <v>9330.5869775600731</v>
      </c>
      <c r="AA1429">
        <v>143586.0004317757</v>
      </c>
      <c r="AB1429" t="s">
        <v>242</v>
      </c>
      <c r="AC1429">
        <v>2</v>
      </c>
      <c r="AD1429">
        <v>4000</v>
      </c>
      <c r="AE1429">
        <v>0</v>
      </c>
      <c r="AF1429">
        <v>0</v>
      </c>
      <c r="AG1429">
        <v>259.80557405142167</v>
      </c>
      <c r="AH1429" t="s">
        <v>58</v>
      </c>
    </row>
    <row r="1430" spans="1:34" x14ac:dyDescent="0.3">
      <c r="A1430" t="s">
        <v>798</v>
      </c>
      <c r="B1430">
        <v>52200258</v>
      </c>
      <c r="C1430" t="s">
        <v>661</v>
      </c>
      <c r="D1430" t="s">
        <v>660</v>
      </c>
      <c r="E1430" t="s">
        <v>436</v>
      </c>
      <c r="F1430" t="s">
        <v>431</v>
      </c>
      <c r="G1430" t="s">
        <v>82</v>
      </c>
      <c r="H1430" t="s">
        <v>83</v>
      </c>
      <c r="J1430" t="s">
        <v>52</v>
      </c>
      <c r="K1430" s="15">
        <v>1000</v>
      </c>
      <c r="M1430" s="13">
        <v>45230</v>
      </c>
      <c r="O1430">
        <v>0</v>
      </c>
      <c r="P1430">
        <v>0</v>
      </c>
      <c r="Q1430">
        <v>0</v>
      </c>
      <c r="R1430">
        <v>954.15343949634303</v>
      </c>
      <c r="S1430">
        <v>42272.680819057488</v>
      </c>
      <c r="T1430">
        <v>0</v>
      </c>
      <c r="U1430">
        <v>0</v>
      </c>
      <c r="V1430">
        <v>90093.531323259682</v>
      </c>
      <c r="W1430">
        <v>0</v>
      </c>
      <c r="X1430">
        <v>0</v>
      </c>
      <c r="Y1430">
        <v>133320.3655818135</v>
      </c>
      <c r="Z1430">
        <v>9265.6348499622036</v>
      </c>
      <c r="AA1430">
        <v>142586.0004317757</v>
      </c>
      <c r="AB1430" t="s">
        <v>242</v>
      </c>
      <c r="AC1430">
        <v>3</v>
      </c>
      <c r="AD1430">
        <v>5000</v>
      </c>
      <c r="AE1430">
        <v>0</v>
      </c>
      <c r="AF1430">
        <v>0</v>
      </c>
      <c r="AG1430">
        <v>324.75770164929349</v>
      </c>
      <c r="AH1430" t="s">
        <v>58</v>
      </c>
    </row>
    <row r="1431" spans="1:34" x14ac:dyDescent="0.3">
      <c r="A1431" t="s">
        <v>798</v>
      </c>
      <c r="B1431">
        <v>52201226</v>
      </c>
      <c r="C1431" t="s">
        <v>668</v>
      </c>
      <c r="D1431" t="s">
        <v>667</v>
      </c>
      <c r="E1431" t="s">
        <v>438</v>
      </c>
      <c r="F1431" t="s">
        <v>431</v>
      </c>
      <c r="G1431" t="s">
        <v>82</v>
      </c>
      <c r="H1431" t="s">
        <v>83</v>
      </c>
      <c r="J1431" t="s">
        <v>52</v>
      </c>
      <c r="K1431" s="15">
        <v>1000</v>
      </c>
      <c r="M1431" s="13">
        <v>45230</v>
      </c>
      <c r="O1431">
        <v>0</v>
      </c>
      <c r="P1431">
        <v>0</v>
      </c>
      <c r="Q1431">
        <v>0</v>
      </c>
      <c r="R1431">
        <v>1571.9863593857458</v>
      </c>
      <c r="S1431">
        <v>32240.235925807712</v>
      </c>
      <c r="T1431">
        <v>0</v>
      </c>
      <c r="U1431">
        <v>0</v>
      </c>
      <c r="V1431">
        <v>87047.626728971969</v>
      </c>
      <c r="W1431">
        <v>0</v>
      </c>
      <c r="X1431">
        <v>0</v>
      </c>
      <c r="Y1431">
        <v>120859.84901416543</v>
      </c>
      <c r="Z1431">
        <v>8350.1503858345786</v>
      </c>
      <c r="AA1431">
        <v>129209.99940000002</v>
      </c>
      <c r="AB1431" t="s">
        <v>242</v>
      </c>
      <c r="AC1431">
        <v>1</v>
      </c>
      <c r="AD1431">
        <v>1000</v>
      </c>
      <c r="AE1431">
        <v>0</v>
      </c>
      <c r="AF1431">
        <v>0</v>
      </c>
      <c r="AG1431">
        <v>64.569201081310439</v>
      </c>
      <c r="AH1431" t="s">
        <v>72</v>
      </c>
    </row>
    <row r="1432" spans="1:34" x14ac:dyDescent="0.3">
      <c r="A1432" t="s">
        <v>798</v>
      </c>
      <c r="B1432">
        <v>42200061</v>
      </c>
      <c r="C1432" t="s">
        <v>91</v>
      </c>
      <c r="D1432" t="s">
        <v>122</v>
      </c>
      <c r="E1432" t="s">
        <v>437</v>
      </c>
      <c r="F1432" t="s">
        <v>430</v>
      </c>
      <c r="G1432" t="s">
        <v>230</v>
      </c>
      <c r="H1432" t="s">
        <v>231</v>
      </c>
      <c r="J1432" t="s">
        <v>52</v>
      </c>
      <c r="K1432" s="15">
        <v>10000</v>
      </c>
      <c r="L1432" s="15">
        <v>0</v>
      </c>
      <c r="M1432" s="13">
        <v>45231</v>
      </c>
      <c r="O1432">
        <v>0</v>
      </c>
      <c r="P1432">
        <v>1899.1828794142691</v>
      </c>
      <c r="Q1432">
        <v>0</v>
      </c>
      <c r="R1432">
        <v>0</v>
      </c>
      <c r="S1432">
        <v>2433.4931506849316</v>
      </c>
      <c r="T1432">
        <v>3832.5393650333917</v>
      </c>
      <c r="U1432">
        <v>2803.7383177570096</v>
      </c>
      <c r="V1432">
        <v>0</v>
      </c>
      <c r="W1432">
        <v>28971.962616822431</v>
      </c>
      <c r="X1432">
        <v>0</v>
      </c>
      <c r="Y1432">
        <v>39940.916329712032</v>
      </c>
      <c r="Z1432">
        <v>2492.576820972899</v>
      </c>
      <c r="AA1432">
        <v>42433.493150684932</v>
      </c>
      <c r="AB1432" t="s">
        <v>242</v>
      </c>
      <c r="AC1432">
        <v>1</v>
      </c>
      <c r="AD1432">
        <v>10000</v>
      </c>
      <c r="AE1432">
        <v>0</v>
      </c>
      <c r="AF1432">
        <v>0</v>
      </c>
      <c r="AG1432">
        <v>582.189534167288</v>
      </c>
      <c r="AH1432" t="s">
        <v>72</v>
      </c>
    </row>
    <row r="1433" spans="1:34" x14ac:dyDescent="0.3">
      <c r="A1433" t="s">
        <v>798</v>
      </c>
      <c r="B1433">
        <v>52201958</v>
      </c>
      <c r="C1433">
        <v>31404770</v>
      </c>
      <c r="D1433" t="s">
        <v>889</v>
      </c>
      <c r="E1433" t="s">
        <v>438</v>
      </c>
      <c r="F1433" t="s">
        <v>431</v>
      </c>
      <c r="G1433" t="s">
        <v>82</v>
      </c>
      <c r="H1433" t="s">
        <v>83</v>
      </c>
      <c r="J1433" t="s">
        <v>52</v>
      </c>
      <c r="K1433" s="15">
        <v>500</v>
      </c>
      <c r="L1433" s="15">
        <v>0</v>
      </c>
      <c r="M1433" s="13">
        <v>45231</v>
      </c>
      <c r="O1433">
        <v>0</v>
      </c>
      <c r="P1433">
        <v>0</v>
      </c>
      <c r="Q1433">
        <v>0</v>
      </c>
      <c r="R1433">
        <v>798.06324563558462</v>
      </c>
      <c r="S1433">
        <v>33843.866125574219</v>
      </c>
      <c r="T1433">
        <v>0</v>
      </c>
      <c r="U1433">
        <v>0</v>
      </c>
      <c r="V1433">
        <v>56074.766355140193</v>
      </c>
      <c r="W1433">
        <v>0</v>
      </c>
      <c r="X1433">
        <v>0</v>
      </c>
      <c r="Y1433">
        <v>90716.695726349993</v>
      </c>
      <c r="Z1433">
        <v>6294.3042736500092</v>
      </c>
      <c r="AA1433">
        <v>97011</v>
      </c>
      <c r="AB1433" t="s">
        <v>242</v>
      </c>
      <c r="AC1433">
        <v>5</v>
      </c>
      <c r="AD1433">
        <v>4870</v>
      </c>
      <c r="AE1433">
        <v>0</v>
      </c>
      <c r="AF1433">
        <v>0</v>
      </c>
      <c r="AG1433">
        <v>315.78918429391678</v>
      </c>
      <c r="AH1433" t="s">
        <v>58</v>
      </c>
    </row>
    <row r="1434" spans="1:34" x14ac:dyDescent="0.3">
      <c r="A1434" t="s">
        <v>798</v>
      </c>
      <c r="B1434">
        <v>4142300552</v>
      </c>
      <c r="C1434">
        <v>10257786</v>
      </c>
      <c r="D1434" t="s">
        <v>920</v>
      </c>
      <c r="E1434" t="s">
        <v>445</v>
      </c>
      <c r="F1434" t="s">
        <v>430</v>
      </c>
      <c r="G1434" t="s">
        <v>230</v>
      </c>
      <c r="H1434" t="s">
        <v>234</v>
      </c>
      <c r="J1434" t="s">
        <v>52</v>
      </c>
      <c r="K1434" s="15">
        <v>20000</v>
      </c>
      <c r="L1434" s="15">
        <v>0</v>
      </c>
      <c r="M1434" s="13">
        <v>45231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442734.60747663555</v>
      </c>
      <c r="Y1434">
        <v>442734.60747663555</v>
      </c>
      <c r="Z1434">
        <v>30991.42252336449</v>
      </c>
      <c r="AA1434">
        <v>473726.03</v>
      </c>
      <c r="AB1434" t="s">
        <v>242</v>
      </c>
      <c r="AC1434">
        <v>1</v>
      </c>
      <c r="AD1434">
        <v>20000</v>
      </c>
      <c r="AE1434">
        <v>0</v>
      </c>
      <c r="AF1434">
        <v>0</v>
      </c>
      <c r="AG1434">
        <v>1308.4112149532702</v>
      </c>
      <c r="AH1434" t="s">
        <v>72</v>
      </c>
    </row>
    <row r="1435" spans="1:34" x14ac:dyDescent="0.3">
      <c r="A1435" t="s">
        <v>798</v>
      </c>
      <c r="B1435">
        <v>4142300766</v>
      </c>
      <c r="C1435">
        <v>10354207</v>
      </c>
      <c r="D1435" t="s">
        <v>207</v>
      </c>
      <c r="E1435" t="s">
        <v>445</v>
      </c>
      <c r="F1435" t="s">
        <v>430</v>
      </c>
      <c r="G1435" t="s">
        <v>230</v>
      </c>
      <c r="H1435" t="s">
        <v>234</v>
      </c>
      <c r="J1435" t="s">
        <v>52</v>
      </c>
      <c r="K1435" s="15">
        <v>5000</v>
      </c>
      <c r="L1435" s="15">
        <v>0</v>
      </c>
      <c r="M1435" s="13">
        <v>45231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310544.48598130845</v>
      </c>
      <c r="Y1435">
        <v>310544.48598130845</v>
      </c>
      <c r="Z1435">
        <v>21738.114018691595</v>
      </c>
      <c r="AA1435">
        <v>332282.60000000003</v>
      </c>
      <c r="AB1435" t="s">
        <v>242</v>
      </c>
      <c r="AC1435">
        <v>5</v>
      </c>
      <c r="AD1435">
        <v>41000</v>
      </c>
      <c r="AE1435">
        <v>0</v>
      </c>
      <c r="AF1435">
        <v>0</v>
      </c>
      <c r="AG1435">
        <v>2682.2429906542056</v>
      </c>
      <c r="AH1435" t="s">
        <v>58</v>
      </c>
    </row>
    <row r="1436" spans="1:34" x14ac:dyDescent="0.3">
      <c r="A1436" t="s">
        <v>798</v>
      </c>
      <c r="B1436">
        <v>4302300030</v>
      </c>
      <c r="C1436">
        <v>901014009060</v>
      </c>
      <c r="D1436" t="s">
        <v>226</v>
      </c>
      <c r="E1436" t="s">
        <v>447</v>
      </c>
      <c r="F1436" t="s">
        <v>433</v>
      </c>
      <c r="G1436" t="s">
        <v>82</v>
      </c>
      <c r="H1436" t="s">
        <v>83</v>
      </c>
      <c r="J1436" t="s">
        <v>52</v>
      </c>
      <c r="K1436" s="15">
        <v>20000</v>
      </c>
      <c r="L1436" s="15">
        <v>0</v>
      </c>
      <c r="M1436" s="13">
        <v>45231</v>
      </c>
      <c r="O1436">
        <v>0</v>
      </c>
      <c r="P1436">
        <v>0</v>
      </c>
      <c r="Q1436">
        <v>33588.865752462109</v>
      </c>
      <c r="R1436">
        <v>24628.69</v>
      </c>
      <c r="S1436">
        <v>40675.032941624173</v>
      </c>
      <c r="T1436">
        <v>0</v>
      </c>
      <c r="U1436">
        <v>0</v>
      </c>
      <c r="V1436">
        <v>587264.66</v>
      </c>
      <c r="W1436">
        <v>0</v>
      </c>
      <c r="X1436">
        <v>0</v>
      </c>
      <c r="Y1436">
        <v>686157.24869408633</v>
      </c>
      <c r="Z1436">
        <v>43955.778505913695</v>
      </c>
      <c r="AA1436">
        <v>730113.02720000001</v>
      </c>
      <c r="AB1436" t="s">
        <v>242</v>
      </c>
      <c r="AC1436">
        <v>6</v>
      </c>
      <c r="AD1436">
        <v>107000</v>
      </c>
      <c r="AE1436">
        <v>0</v>
      </c>
      <c r="AF1436">
        <v>0</v>
      </c>
      <c r="AG1436">
        <v>6402.9186940863083</v>
      </c>
      <c r="AH1436" t="s">
        <v>58</v>
      </c>
    </row>
    <row r="1437" spans="1:34" x14ac:dyDescent="0.3">
      <c r="A1437" t="s">
        <v>798</v>
      </c>
      <c r="B1437">
        <v>4302300036</v>
      </c>
      <c r="C1437">
        <v>901015004180</v>
      </c>
      <c r="D1437" t="s">
        <v>226</v>
      </c>
      <c r="E1437" t="s">
        <v>447</v>
      </c>
      <c r="F1437" t="s">
        <v>433</v>
      </c>
      <c r="G1437" t="s">
        <v>82</v>
      </c>
      <c r="H1437" t="s">
        <v>83</v>
      </c>
      <c r="J1437" t="s">
        <v>52</v>
      </c>
      <c r="K1437" s="15">
        <v>20000</v>
      </c>
      <c r="L1437" s="15">
        <v>0</v>
      </c>
      <c r="M1437" s="13">
        <v>45231</v>
      </c>
      <c r="O1437">
        <v>0</v>
      </c>
      <c r="P1437">
        <v>0</v>
      </c>
      <c r="Q1437">
        <v>67542.393503711632</v>
      </c>
      <c r="R1437">
        <v>32364.02</v>
      </c>
      <c r="S1437">
        <v>115902.30513671807</v>
      </c>
      <c r="T1437">
        <v>0</v>
      </c>
      <c r="U1437">
        <v>0</v>
      </c>
      <c r="V1437">
        <v>1054424.3799999999</v>
      </c>
      <c r="W1437">
        <v>0</v>
      </c>
      <c r="X1437">
        <v>0</v>
      </c>
      <c r="Y1437">
        <v>1270233.0986404296</v>
      </c>
      <c r="Z1437">
        <v>81922.867959570271</v>
      </c>
      <c r="AA1437">
        <v>1352155.9665999999</v>
      </c>
      <c r="AB1437" t="s">
        <v>242</v>
      </c>
      <c r="AC1437">
        <v>6</v>
      </c>
      <c r="AD1437">
        <v>113000</v>
      </c>
      <c r="AE1437">
        <v>0</v>
      </c>
      <c r="AF1437">
        <v>0</v>
      </c>
      <c r="AG1437">
        <v>6809.2986404297335</v>
      </c>
      <c r="AH1437" t="s">
        <v>58</v>
      </c>
    </row>
    <row r="1438" spans="1:34" x14ac:dyDescent="0.3">
      <c r="A1438" t="s">
        <v>798</v>
      </c>
      <c r="B1438">
        <v>4142300106</v>
      </c>
      <c r="C1438" t="s">
        <v>474</v>
      </c>
      <c r="D1438" t="s">
        <v>547</v>
      </c>
      <c r="E1438" t="s">
        <v>444</v>
      </c>
      <c r="F1438" t="s">
        <v>430</v>
      </c>
      <c r="G1438" t="s">
        <v>230</v>
      </c>
      <c r="H1438" t="s">
        <v>231</v>
      </c>
      <c r="J1438" t="s">
        <v>416</v>
      </c>
      <c r="K1438" s="15">
        <v>0.31418774110587233</v>
      </c>
      <c r="L1438" s="15">
        <v>0</v>
      </c>
      <c r="M1438" s="13">
        <v>45231</v>
      </c>
      <c r="O1438">
        <v>0</v>
      </c>
      <c r="P1438">
        <v>3291.8988426918131</v>
      </c>
      <c r="Q1438">
        <v>0</v>
      </c>
      <c r="R1438">
        <v>0</v>
      </c>
      <c r="S1438">
        <v>0</v>
      </c>
      <c r="T1438">
        <v>20830.746181363691</v>
      </c>
      <c r="U1438">
        <v>23074.057308587471</v>
      </c>
      <c r="V1438">
        <v>0</v>
      </c>
      <c r="W1438">
        <v>102551.36581594433</v>
      </c>
      <c r="X1438">
        <v>0</v>
      </c>
      <c r="Y1438">
        <v>149748.06814858731</v>
      </c>
      <c r="Z1438">
        <v>10251.931851412684</v>
      </c>
      <c r="AA1438">
        <v>160000</v>
      </c>
      <c r="AB1438" t="s">
        <v>242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 t="s">
        <v>72</v>
      </c>
    </row>
    <row r="1439" spans="1:34" x14ac:dyDescent="0.3">
      <c r="A1439" t="s">
        <v>798</v>
      </c>
      <c r="B1439">
        <v>4242300018</v>
      </c>
      <c r="C1439" t="s">
        <v>515</v>
      </c>
      <c r="D1439" t="s">
        <v>587</v>
      </c>
      <c r="E1439" t="s">
        <v>444</v>
      </c>
      <c r="F1439" t="s">
        <v>431</v>
      </c>
      <c r="G1439" t="s">
        <v>230</v>
      </c>
      <c r="H1439" t="s">
        <v>231</v>
      </c>
      <c r="J1439" t="s">
        <v>52</v>
      </c>
      <c r="K1439" s="15">
        <v>40000</v>
      </c>
      <c r="L1439" s="15">
        <v>0</v>
      </c>
      <c r="M1439" s="13">
        <v>45231</v>
      </c>
      <c r="O1439">
        <v>0</v>
      </c>
      <c r="P1439">
        <v>3449.8490305134274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68380.714301700849</v>
      </c>
      <c r="X1439">
        <v>0</v>
      </c>
      <c r="Y1439">
        <v>71830.563332214282</v>
      </c>
      <c r="Z1439">
        <v>4786.6500011190601</v>
      </c>
      <c r="AA1439">
        <v>76617.213333333348</v>
      </c>
      <c r="AB1439" t="s">
        <v>242</v>
      </c>
      <c r="AC1439">
        <v>2</v>
      </c>
      <c r="AD1439">
        <v>90000</v>
      </c>
      <c r="AE1439">
        <v>0</v>
      </c>
      <c r="AF1439">
        <v>0</v>
      </c>
      <c r="AG1439">
        <v>5590.177039379385</v>
      </c>
      <c r="AH1439" t="s">
        <v>58</v>
      </c>
    </row>
    <row r="1440" spans="1:34" x14ac:dyDescent="0.3">
      <c r="A1440" t="s">
        <v>798</v>
      </c>
      <c r="B1440">
        <v>62200092</v>
      </c>
      <c r="C1440" t="s">
        <v>659</v>
      </c>
      <c r="D1440" t="s">
        <v>658</v>
      </c>
      <c r="E1440" t="s">
        <v>435</v>
      </c>
      <c r="F1440" t="s">
        <v>432</v>
      </c>
      <c r="G1440" t="s">
        <v>235</v>
      </c>
      <c r="H1440" t="s">
        <v>235</v>
      </c>
      <c r="J1440" t="s">
        <v>52</v>
      </c>
      <c r="K1440" s="15">
        <v>3000</v>
      </c>
      <c r="M1440" s="13">
        <v>45231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45618.739999999991</v>
      </c>
      <c r="W1440">
        <v>0</v>
      </c>
      <c r="X1440">
        <v>0</v>
      </c>
      <c r="Y1440">
        <v>45618.739999999991</v>
      </c>
      <c r="Z1440">
        <v>0</v>
      </c>
      <c r="AA1440">
        <v>45618.739999999991</v>
      </c>
      <c r="AB1440" t="s">
        <v>242</v>
      </c>
      <c r="AC1440">
        <v>6</v>
      </c>
      <c r="AD1440">
        <v>18000</v>
      </c>
      <c r="AE1440">
        <v>0</v>
      </c>
      <c r="AF1440">
        <v>0</v>
      </c>
      <c r="AG1440">
        <v>0</v>
      </c>
      <c r="AH1440" t="s">
        <v>58</v>
      </c>
    </row>
    <row r="1441" spans="1:34" x14ac:dyDescent="0.3">
      <c r="A1441" t="s">
        <v>798</v>
      </c>
      <c r="B1441">
        <v>4132300268</v>
      </c>
      <c r="C1441">
        <v>1110080464</v>
      </c>
      <c r="D1441" s="38" t="s">
        <v>283</v>
      </c>
      <c r="E1441" t="s">
        <v>441</v>
      </c>
      <c r="F1441" t="s">
        <v>430</v>
      </c>
      <c r="G1441" t="s">
        <v>326</v>
      </c>
      <c r="H1441" t="s">
        <v>236</v>
      </c>
      <c r="J1441" s="37" t="s">
        <v>425</v>
      </c>
      <c r="K1441">
        <v>600000</v>
      </c>
      <c r="L1441" s="15">
        <v>1069</v>
      </c>
      <c r="M1441" s="13">
        <v>45232</v>
      </c>
      <c r="O1441">
        <v>0</v>
      </c>
      <c r="P1441">
        <v>0</v>
      </c>
      <c r="Q1441">
        <v>0</v>
      </c>
      <c r="R1441">
        <v>0</v>
      </c>
      <c r="S1441">
        <v>302687.89785580058</v>
      </c>
      <c r="T1441">
        <v>0</v>
      </c>
      <c r="U1441">
        <v>0</v>
      </c>
      <c r="V1441">
        <v>781907.3160482212</v>
      </c>
      <c r="W1441">
        <v>0</v>
      </c>
      <c r="X1441">
        <v>0</v>
      </c>
      <c r="Y1441">
        <v>1084595.2139040218</v>
      </c>
      <c r="Z1441">
        <v>54733.512123375491</v>
      </c>
      <c r="AA1441">
        <v>1139328.7260273972</v>
      </c>
      <c r="AB1441" t="s">
        <v>242</v>
      </c>
      <c r="AC1441">
        <v>1</v>
      </c>
      <c r="AD1441">
        <v>598931</v>
      </c>
      <c r="AE1441">
        <v>0</v>
      </c>
      <c r="AF1441">
        <v>0</v>
      </c>
      <c r="AG1441">
        <v>27958.076661671221</v>
      </c>
      <c r="AH1441" t="s">
        <v>72</v>
      </c>
    </row>
    <row r="1442" spans="1:34" x14ac:dyDescent="0.3">
      <c r="A1442" t="s">
        <v>798</v>
      </c>
      <c r="B1442">
        <v>12200041</v>
      </c>
      <c r="C1442">
        <v>23113175</v>
      </c>
      <c r="D1442" t="s">
        <v>78</v>
      </c>
      <c r="E1442" t="s">
        <v>435</v>
      </c>
      <c r="F1442" t="s">
        <v>427</v>
      </c>
      <c r="G1442" t="s">
        <v>82</v>
      </c>
      <c r="H1442" t="s">
        <v>82</v>
      </c>
      <c r="J1442" t="s">
        <v>52</v>
      </c>
      <c r="K1442" s="15">
        <v>5000</v>
      </c>
      <c r="L1442" s="15">
        <v>0</v>
      </c>
      <c r="M1442" s="13">
        <v>45232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152565.03142572055</v>
      </c>
      <c r="W1442">
        <v>0</v>
      </c>
      <c r="X1442">
        <v>0</v>
      </c>
      <c r="Y1442">
        <v>152565.03142572055</v>
      </c>
      <c r="Z1442">
        <v>0</v>
      </c>
      <c r="AA1442">
        <v>152565.03142572055</v>
      </c>
      <c r="AB1442" t="s">
        <v>242</v>
      </c>
      <c r="AC1442">
        <v>18</v>
      </c>
      <c r="AD1442">
        <v>70000</v>
      </c>
      <c r="AE1442">
        <v>0</v>
      </c>
      <c r="AF1442">
        <v>0</v>
      </c>
      <c r="AG1442">
        <v>0</v>
      </c>
      <c r="AH1442" t="s">
        <v>58</v>
      </c>
    </row>
    <row r="1443" spans="1:34" x14ac:dyDescent="0.3">
      <c r="A1443" t="s">
        <v>798</v>
      </c>
      <c r="B1443">
        <v>52200820</v>
      </c>
      <c r="C1443">
        <v>29049077</v>
      </c>
      <c r="D1443" t="s">
        <v>864</v>
      </c>
      <c r="E1443" t="s">
        <v>438</v>
      </c>
      <c r="F1443" t="s">
        <v>431</v>
      </c>
      <c r="G1443" t="s">
        <v>82</v>
      </c>
      <c r="H1443" t="s">
        <v>83</v>
      </c>
      <c r="J1443" t="s">
        <v>52</v>
      </c>
      <c r="K1443" s="15">
        <v>500</v>
      </c>
      <c r="L1443" s="15">
        <v>0</v>
      </c>
      <c r="M1443" s="13">
        <v>45232</v>
      </c>
      <c r="O1443">
        <v>0</v>
      </c>
      <c r="P1443">
        <v>0</v>
      </c>
      <c r="Q1443">
        <v>0</v>
      </c>
      <c r="R1443">
        <v>886.37196188118617</v>
      </c>
      <c r="S1443">
        <v>36324.928851591649</v>
      </c>
      <c r="T1443">
        <v>0</v>
      </c>
      <c r="U1443">
        <v>0</v>
      </c>
      <c r="V1443">
        <v>58582.198020735428</v>
      </c>
      <c r="W1443">
        <v>0</v>
      </c>
      <c r="X1443">
        <v>0</v>
      </c>
      <c r="Y1443">
        <v>95793.498834208265</v>
      </c>
      <c r="Z1443">
        <v>6643.4988810628956</v>
      </c>
      <c r="AA1443">
        <v>102436.99771527117</v>
      </c>
      <c r="AB1443" t="s">
        <v>242</v>
      </c>
      <c r="AC1443">
        <v>1</v>
      </c>
      <c r="AD1443">
        <v>500</v>
      </c>
      <c r="AE1443">
        <v>0</v>
      </c>
      <c r="AF1443">
        <v>0</v>
      </c>
      <c r="AG1443">
        <v>32.407511524937433</v>
      </c>
      <c r="AH1443" t="s">
        <v>72</v>
      </c>
    </row>
    <row r="1444" spans="1:34" x14ac:dyDescent="0.3">
      <c r="A1444" t="s">
        <v>798</v>
      </c>
      <c r="B1444">
        <v>4302300048</v>
      </c>
      <c r="C1444">
        <v>901020006420</v>
      </c>
      <c r="D1444" t="s">
        <v>228</v>
      </c>
      <c r="E1444" t="s">
        <v>447</v>
      </c>
      <c r="F1444" t="s">
        <v>433</v>
      </c>
      <c r="G1444" t="s">
        <v>82</v>
      </c>
      <c r="H1444" t="s">
        <v>83</v>
      </c>
      <c r="J1444" t="s">
        <v>52</v>
      </c>
      <c r="K1444" s="15">
        <v>20000</v>
      </c>
      <c r="L1444" s="15">
        <v>0</v>
      </c>
      <c r="M1444" s="13">
        <v>45232</v>
      </c>
      <c r="O1444">
        <v>0</v>
      </c>
      <c r="P1444">
        <v>0</v>
      </c>
      <c r="Q1444">
        <v>22204.81892858963</v>
      </c>
      <c r="R1444">
        <v>2772.12</v>
      </c>
      <c r="S1444">
        <v>0</v>
      </c>
      <c r="T1444">
        <v>0</v>
      </c>
      <c r="U1444">
        <v>0</v>
      </c>
      <c r="V1444">
        <v>339008.51773028995</v>
      </c>
      <c r="W1444">
        <v>0</v>
      </c>
      <c r="X1444">
        <v>0</v>
      </c>
      <c r="Y1444">
        <v>363985.45665887959</v>
      </c>
      <c r="Z1444">
        <v>23730.5962411203</v>
      </c>
      <c r="AA1444">
        <v>387716.05289999989</v>
      </c>
      <c r="AB1444" t="s">
        <v>242</v>
      </c>
      <c r="AC1444">
        <v>7</v>
      </c>
      <c r="AD1444">
        <v>173505</v>
      </c>
      <c r="AE1444">
        <v>0</v>
      </c>
      <c r="AF1444">
        <v>0</v>
      </c>
      <c r="AG1444">
        <v>10560.126658879692</v>
      </c>
      <c r="AH1444" t="s">
        <v>58</v>
      </c>
    </row>
    <row r="1445" spans="1:34" x14ac:dyDescent="0.3">
      <c r="A1445" t="s">
        <v>798</v>
      </c>
      <c r="B1445">
        <v>82200018</v>
      </c>
      <c r="C1445" t="s">
        <v>109</v>
      </c>
      <c r="D1445" t="s">
        <v>534</v>
      </c>
      <c r="E1445" t="s">
        <v>440</v>
      </c>
      <c r="F1445" t="s">
        <v>433</v>
      </c>
      <c r="G1445" t="s">
        <v>417</v>
      </c>
      <c r="H1445" t="s">
        <v>83</v>
      </c>
      <c r="J1445" t="s">
        <v>425</v>
      </c>
      <c r="K1445" s="15">
        <v>280000</v>
      </c>
      <c r="L1445" s="15">
        <v>5000</v>
      </c>
      <c r="M1445" s="13">
        <v>45232</v>
      </c>
      <c r="O1445">
        <v>5000</v>
      </c>
      <c r="P1445">
        <v>0</v>
      </c>
      <c r="Q1445">
        <v>20480.830000000002</v>
      </c>
      <c r="R1445">
        <v>3557.96</v>
      </c>
      <c r="S1445">
        <v>3790.5081879705103</v>
      </c>
      <c r="T1445">
        <v>0</v>
      </c>
      <c r="U1445">
        <v>0</v>
      </c>
      <c r="V1445">
        <v>34811.811812029482</v>
      </c>
      <c r="W1445">
        <v>0</v>
      </c>
      <c r="X1445">
        <v>0</v>
      </c>
      <c r="Y1445">
        <v>67641.109999999986</v>
      </c>
      <c r="Z1445">
        <v>2702.1623999999997</v>
      </c>
      <c r="AA1445">
        <v>70343.272399999987</v>
      </c>
      <c r="AB1445" t="s">
        <v>242</v>
      </c>
      <c r="AC1445">
        <v>0</v>
      </c>
      <c r="AD1445">
        <v>0</v>
      </c>
      <c r="AE1445">
        <v>0</v>
      </c>
      <c r="AF1445">
        <v>299600</v>
      </c>
      <c r="AG1445">
        <v>19600</v>
      </c>
      <c r="AH1445" t="s">
        <v>72</v>
      </c>
    </row>
    <row r="1446" spans="1:34" x14ac:dyDescent="0.3">
      <c r="A1446" t="s">
        <v>798</v>
      </c>
      <c r="B1446">
        <v>4132300059</v>
      </c>
      <c r="C1446">
        <v>1011823587</v>
      </c>
      <c r="D1446" s="38" t="s">
        <v>284</v>
      </c>
      <c r="E1446" t="s">
        <v>441</v>
      </c>
      <c r="F1446" t="s">
        <v>430</v>
      </c>
      <c r="G1446" t="s">
        <v>237</v>
      </c>
      <c r="H1446" t="s">
        <v>231</v>
      </c>
      <c r="J1446" s="37" t="s">
        <v>425</v>
      </c>
      <c r="K1446">
        <v>315000</v>
      </c>
      <c r="L1446" s="15">
        <v>70</v>
      </c>
      <c r="M1446" s="13">
        <v>45233</v>
      </c>
      <c r="O1446">
        <v>70</v>
      </c>
      <c r="P1446">
        <v>23320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587803.73831775703</v>
      </c>
      <c r="X1446">
        <v>0</v>
      </c>
      <c r="Y1446">
        <v>611193.73831775703</v>
      </c>
      <c r="Z1446">
        <v>41146.261682242999</v>
      </c>
      <c r="AA1446">
        <v>652340</v>
      </c>
      <c r="AB1446" t="s">
        <v>331</v>
      </c>
      <c r="AC1446">
        <v>0</v>
      </c>
      <c r="AD1446">
        <v>0</v>
      </c>
      <c r="AE1446">
        <v>0</v>
      </c>
      <c r="AF1446">
        <v>337050</v>
      </c>
      <c r="AG1446">
        <v>22050</v>
      </c>
      <c r="AH1446" t="s">
        <v>72</v>
      </c>
    </row>
    <row r="1447" spans="1:34" x14ac:dyDescent="0.3">
      <c r="A1447" t="s">
        <v>798</v>
      </c>
      <c r="B1447">
        <v>4132301665</v>
      </c>
      <c r="C1447" t="s">
        <v>99</v>
      </c>
      <c r="D1447" t="s">
        <v>182</v>
      </c>
      <c r="E1447" t="s">
        <v>442</v>
      </c>
      <c r="F1447" t="s">
        <v>430</v>
      </c>
      <c r="G1447" t="s">
        <v>230</v>
      </c>
      <c r="H1447" t="s">
        <v>231</v>
      </c>
      <c r="J1447" t="s">
        <v>52</v>
      </c>
      <c r="K1447" s="15">
        <v>1000</v>
      </c>
      <c r="L1447" s="15">
        <v>0</v>
      </c>
      <c r="M1447" s="13">
        <v>45233</v>
      </c>
      <c r="O1447">
        <v>0</v>
      </c>
      <c r="P1447">
        <v>27880.948506634366</v>
      </c>
      <c r="Q1447">
        <v>0</v>
      </c>
      <c r="R1447">
        <v>0</v>
      </c>
      <c r="S1447">
        <v>492316.5</v>
      </c>
      <c r="T1447">
        <v>12600.04812464078</v>
      </c>
      <c r="U1447">
        <v>67289.719626168226</v>
      </c>
      <c r="V1447">
        <v>0</v>
      </c>
      <c r="W1447">
        <v>794392.52336448594</v>
      </c>
      <c r="X1447">
        <v>0</v>
      </c>
      <c r="Y1447">
        <v>1394479.7396219294</v>
      </c>
      <c r="Z1447">
        <v>61199.760378070649</v>
      </c>
      <c r="AA1447">
        <v>1455679.5</v>
      </c>
      <c r="AB1447" t="s">
        <v>242</v>
      </c>
      <c r="AC1447">
        <v>1</v>
      </c>
      <c r="AD1447">
        <v>1000</v>
      </c>
      <c r="AE1447">
        <v>0</v>
      </c>
      <c r="AF1447">
        <v>0</v>
      </c>
      <c r="AG1447">
        <v>41.015322863930578</v>
      </c>
      <c r="AH1447" t="s">
        <v>72</v>
      </c>
    </row>
    <row r="1448" spans="1:34" x14ac:dyDescent="0.3">
      <c r="A1448" t="s">
        <v>798</v>
      </c>
      <c r="B1448">
        <v>4132301700</v>
      </c>
      <c r="C1448" t="s">
        <v>100</v>
      </c>
      <c r="D1448" t="s">
        <v>183</v>
      </c>
      <c r="E1448" t="s">
        <v>442</v>
      </c>
      <c r="F1448" t="s">
        <v>430</v>
      </c>
      <c r="G1448" t="s">
        <v>230</v>
      </c>
      <c r="H1448" t="s">
        <v>231</v>
      </c>
      <c r="J1448" t="s">
        <v>52</v>
      </c>
      <c r="K1448" s="15">
        <v>500</v>
      </c>
      <c r="L1448" s="15">
        <v>0</v>
      </c>
      <c r="M1448" s="13">
        <v>45233</v>
      </c>
      <c r="O1448">
        <v>0</v>
      </c>
      <c r="P1448">
        <v>17329.113570338115</v>
      </c>
      <c r="Q1448">
        <v>0</v>
      </c>
      <c r="R1448">
        <v>0</v>
      </c>
      <c r="S1448">
        <v>0</v>
      </c>
      <c r="T1448">
        <v>0</v>
      </c>
      <c r="U1448">
        <v>121978.39853239429</v>
      </c>
      <c r="V1448">
        <v>0</v>
      </c>
      <c r="W1448">
        <v>373831.77570093458</v>
      </c>
      <c r="X1448">
        <v>0</v>
      </c>
      <c r="Y1448">
        <v>513139.28780366702</v>
      </c>
      <c r="Z1448">
        <v>34706.712196333028</v>
      </c>
      <c r="AA1448">
        <v>547846</v>
      </c>
      <c r="AB1448" t="s">
        <v>242</v>
      </c>
      <c r="AC1448">
        <v>1</v>
      </c>
      <c r="AD1448">
        <v>500</v>
      </c>
      <c r="AE1448">
        <v>0</v>
      </c>
      <c r="AF1448">
        <v>0</v>
      </c>
      <c r="AG1448">
        <v>31.605560676325297</v>
      </c>
      <c r="AH1448" t="s">
        <v>72</v>
      </c>
    </row>
    <row r="1449" spans="1:34" x14ac:dyDescent="0.3">
      <c r="A1449" t="s">
        <v>798</v>
      </c>
      <c r="B1449">
        <v>52200185</v>
      </c>
      <c r="C1449">
        <v>24837727</v>
      </c>
      <c r="D1449" t="s">
        <v>133</v>
      </c>
      <c r="E1449" t="s">
        <v>436</v>
      </c>
      <c r="F1449" t="s">
        <v>431</v>
      </c>
      <c r="G1449" t="s">
        <v>82</v>
      </c>
      <c r="H1449" t="s">
        <v>83</v>
      </c>
      <c r="J1449" t="s">
        <v>52</v>
      </c>
      <c r="K1449" s="15">
        <v>2000</v>
      </c>
      <c r="L1449" s="15">
        <v>0</v>
      </c>
      <c r="M1449" s="13">
        <v>45235</v>
      </c>
      <c r="O1449">
        <v>0</v>
      </c>
      <c r="P1449">
        <v>0</v>
      </c>
      <c r="Q1449">
        <v>0</v>
      </c>
      <c r="R1449">
        <v>883.62321021553942</v>
      </c>
      <c r="S1449">
        <v>13917.747101990892</v>
      </c>
      <c r="T1449">
        <v>0</v>
      </c>
      <c r="U1449">
        <v>0</v>
      </c>
      <c r="V1449">
        <v>51964.847111538125</v>
      </c>
      <c r="W1449">
        <v>0</v>
      </c>
      <c r="X1449">
        <v>0</v>
      </c>
      <c r="Y1449">
        <v>66766.217423744558</v>
      </c>
      <c r="Z1449">
        <v>4611.7815949470323</v>
      </c>
      <c r="AA1449">
        <v>71377.999018691597</v>
      </c>
      <c r="AB1449" t="s">
        <v>242</v>
      </c>
      <c r="AC1449">
        <v>4</v>
      </c>
      <c r="AD1449">
        <v>8000</v>
      </c>
      <c r="AE1449">
        <v>0</v>
      </c>
      <c r="AF1449">
        <v>0</v>
      </c>
      <c r="AG1449">
        <v>516.40525674307287</v>
      </c>
      <c r="AH1449" t="s">
        <v>58</v>
      </c>
    </row>
    <row r="1450" spans="1:34" x14ac:dyDescent="0.3">
      <c r="A1450" t="s">
        <v>798</v>
      </c>
      <c r="B1450">
        <v>52200925</v>
      </c>
      <c r="C1450">
        <v>26945932</v>
      </c>
      <c r="D1450" t="s">
        <v>866</v>
      </c>
      <c r="E1450" t="s">
        <v>438</v>
      </c>
      <c r="F1450" t="s">
        <v>431</v>
      </c>
      <c r="G1450" t="s">
        <v>82</v>
      </c>
      <c r="H1450" t="s">
        <v>83</v>
      </c>
      <c r="J1450" t="s">
        <v>52</v>
      </c>
      <c r="K1450" s="15">
        <v>4000</v>
      </c>
      <c r="L1450" s="15">
        <v>0</v>
      </c>
      <c r="M1450" s="13">
        <v>45235</v>
      </c>
      <c r="O1450">
        <v>0</v>
      </c>
      <c r="P1450">
        <v>0</v>
      </c>
      <c r="Q1450">
        <v>0</v>
      </c>
      <c r="R1450">
        <v>709.16040581510219</v>
      </c>
      <c r="S1450">
        <v>4726.2084796193831</v>
      </c>
      <c r="T1450">
        <v>0</v>
      </c>
      <c r="U1450">
        <v>0</v>
      </c>
      <c r="V1450">
        <v>45808.220686926034</v>
      </c>
      <c r="W1450">
        <v>0</v>
      </c>
      <c r="X1450">
        <v>0</v>
      </c>
      <c r="Y1450">
        <v>51243.589572360521</v>
      </c>
      <c r="Z1450">
        <v>3537.4100416581796</v>
      </c>
      <c r="AA1450">
        <v>54780.9996140187</v>
      </c>
      <c r="AB1450" t="s">
        <v>242</v>
      </c>
      <c r="AC1450">
        <v>3</v>
      </c>
      <c r="AD1450">
        <v>13000</v>
      </c>
      <c r="AE1450">
        <v>0</v>
      </c>
      <c r="AF1450">
        <v>0</v>
      </c>
      <c r="AG1450">
        <v>838.57124150192294</v>
      </c>
      <c r="AH1450" t="s">
        <v>58</v>
      </c>
    </row>
    <row r="1451" spans="1:34" x14ac:dyDescent="0.3">
      <c r="A1451" t="s">
        <v>798</v>
      </c>
      <c r="B1451">
        <v>4142300300</v>
      </c>
      <c r="C1451">
        <v>10131172</v>
      </c>
      <c r="D1451" t="s">
        <v>196</v>
      </c>
      <c r="E1451" t="s">
        <v>445</v>
      </c>
      <c r="F1451" t="s">
        <v>430</v>
      </c>
      <c r="G1451" t="s">
        <v>230</v>
      </c>
      <c r="H1451" t="s">
        <v>234</v>
      </c>
      <c r="J1451" t="s">
        <v>52</v>
      </c>
      <c r="K1451" s="15">
        <v>5000</v>
      </c>
      <c r="L1451" s="15">
        <v>0</v>
      </c>
      <c r="M1451" s="13">
        <v>45235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657606.68224299082</v>
      </c>
      <c r="Y1451">
        <v>657606.68224299082</v>
      </c>
      <c r="Z1451">
        <v>46032.467757009363</v>
      </c>
      <c r="AA1451">
        <v>703639.15000000014</v>
      </c>
      <c r="AB1451" t="s">
        <v>242</v>
      </c>
      <c r="AC1451">
        <v>7</v>
      </c>
      <c r="AD1451">
        <v>105000</v>
      </c>
      <c r="AE1451">
        <v>0</v>
      </c>
      <c r="AF1451">
        <v>0</v>
      </c>
      <c r="AG1451">
        <v>6869.1588785046724</v>
      </c>
      <c r="AH1451" t="s">
        <v>58</v>
      </c>
    </row>
    <row r="1452" spans="1:34" x14ac:dyDescent="0.3">
      <c r="A1452" t="s">
        <v>798</v>
      </c>
      <c r="B1452">
        <v>2200002</v>
      </c>
      <c r="C1452" t="s">
        <v>645</v>
      </c>
      <c r="D1452" t="s">
        <v>407</v>
      </c>
      <c r="E1452" t="s">
        <v>435</v>
      </c>
      <c r="F1452" t="s">
        <v>426</v>
      </c>
      <c r="G1452" t="s">
        <v>235</v>
      </c>
      <c r="H1452" t="s">
        <v>235</v>
      </c>
      <c r="J1452" t="s">
        <v>52</v>
      </c>
      <c r="K1452" s="15">
        <v>5000</v>
      </c>
      <c r="M1452" s="13">
        <v>45235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93625</v>
      </c>
      <c r="W1452">
        <v>0</v>
      </c>
      <c r="X1452">
        <v>0</v>
      </c>
      <c r="Y1452">
        <v>93625</v>
      </c>
      <c r="Z1452">
        <v>0</v>
      </c>
      <c r="AA1452">
        <v>93625</v>
      </c>
      <c r="AB1452" t="s">
        <v>242</v>
      </c>
      <c r="AC1452">
        <v>7</v>
      </c>
      <c r="AD1452">
        <v>35000</v>
      </c>
      <c r="AE1452">
        <v>0</v>
      </c>
      <c r="AF1452">
        <v>0</v>
      </c>
      <c r="AG1452">
        <v>0</v>
      </c>
      <c r="AH1452" t="s">
        <v>58</v>
      </c>
    </row>
    <row r="1453" spans="1:34" x14ac:dyDescent="0.3">
      <c r="A1453" t="s">
        <v>798</v>
      </c>
      <c r="B1453">
        <v>2200003</v>
      </c>
      <c r="C1453" t="s">
        <v>646</v>
      </c>
      <c r="D1453" t="s">
        <v>407</v>
      </c>
      <c r="E1453" t="s">
        <v>435</v>
      </c>
      <c r="F1453" t="s">
        <v>426</v>
      </c>
      <c r="G1453" t="s">
        <v>235</v>
      </c>
      <c r="H1453" t="s">
        <v>235</v>
      </c>
      <c r="J1453" t="s">
        <v>52</v>
      </c>
      <c r="K1453" s="15">
        <v>5000</v>
      </c>
      <c r="M1453" s="13">
        <v>45235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103250</v>
      </c>
      <c r="W1453">
        <v>0</v>
      </c>
      <c r="X1453">
        <v>0</v>
      </c>
      <c r="Y1453">
        <v>103250</v>
      </c>
      <c r="Z1453">
        <v>0</v>
      </c>
      <c r="AA1453">
        <v>103250</v>
      </c>
      <c r="AB1453" t="s">
        <v>242</v>
      </c>
      <c r="AC1453">
        <v>7</v>
      </c>
      <c r="AD1453">
        <v>35000</v>
      </c>
      <c r="AE1453">
        <v>0</v>
      </c>
      <c r="AF1453">
        <v>0</v>
      </c>
      <c r="AG1453">
        <v>0</v>
      </c>
      <c r="AH1453" t="s">
        <v>58</v>
      </c>
    </row>
    <row r="1454" spans="1:34" x14ac:dyDescent="0.3">
      <c r="A1454" t="s">
        <v>798</v>
      </c>
      <c r="B1454">
        <v>52200012</v>
      </c>
      <c r="C1454" t="s">
        <v>638</v>
      </c>
      <c r="D1454" t="s">
        <v>637</v>
      </c>
      <c r="E1454" t="s">
        <v>435</v>
      </c>
      <c r="F1454" t="s">
        <v>431</v>
      </c>
      <c r="G1454" t="s">
        <v>230</v>
      </c>
      <c r="H1454" t="s">
        <v>231</v>
      </c>
      <c r="J1454" t="s">
        <v>52</v>
      </c>
      <c r="K1454" s="15">
        <v>2500</v>
      </c>
      <c r="M1454" s="13">
        <v>45235</v>
      </c>
      <c r="O1454">
        <v>4374.3726684218345</v>
      </c>
      <c r="P1454">
        <v>0</v>
      </c>
      <c r="Q1454">
        <v>0</v>
      </c>
      <c r="R1454">
        <v>0</v>
      </c>
      <c r="S1454">
        <v>0</v>
      </c>
      <c r="T1454">
        <v>18659.464795867436</v>
      </c>
      <c r="U1454">
        <v>0</v>
      </c>
      <c r="V1454">
        <v>0</v>
      </c>
      <c r="W1454">
        <v>42990.654205607476</v>
      </c>
      <c r="X1454">
        <v>0</v>
      </c>
      <c r="Y1454">
        <v>66024.491669896743</v>
      </c>
      <c r="Z1454">
        <v>4315.5083301032446</v>
      </c>
      <c r="AA1454">
        <v>70339.999999999985</v>
      </c>
      <c r="AB1454" t="s">
        <v>242</v>
      </c>
      <c r="AC1454">
        <v>9</v>
      </c>
      <c r="AD1454">
        <v>21300</v>
      </c>
      <c r="AE1454">
        <v>0</v>
      </c>
      <c r="AF1454">
        <v>0</v>
      </c>
      <c r="AG1454">
        <v>1300.1926044761949</v>
      </c>
      <c r="AH1454" t="s">
        <v>58</v>
      </c>
    </row>
    <row r="1455" spans="1:34" x14ac:dyDescent="0.3">
      <c r="A1455" t="s">
        <v>798</v>
      </c>
      <c r="B1455">
        <v>4142300757</v>
      </c>
      <c r="C1455">
        <v>10345940</v>
      </c>
      <c r="D1455" t="s">
        <v>285</v>
      </c>
      <c r="E1455" t="s">
        <v>445</v>
      </c>
      <c r="F1455" t="s">
        <v>430</v>
      </c>
      <c r="G1455" t="s">
        <v>237</v>
      </c>
      <c r="H1455" t="s">
        <v>234</v>
      </c>
      <c r="J1455" t="s">
        <v>425</v>
      </c>
      <c r="K1455" s="15">
        <v>81000</v>
      </c>
      <c r="L1455" s="15">
        <v>1817</v>
      </c>
      <c r="M1455" s="13">
        <v>45236</v>
      </c>
      <c r="O1455">
        <v>1817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114352.59813084113</v>
      </c>
      <c r="Y1455">
        <v>116169.59813084113</v>
      </c>
      <c r="Z1455">
        <v>8004.6818691588796</v>
      </c>
      <c r="AA1455">
        <v>124174.28000000001</v>
      </c>
      <c r="AB1455" t="s">
        <v>242</v>
      </c>
      <c r="AC1455">
        <v>0</v>
      </c>
      <c r="AD1455">
        <v>0</v>
      </c>
      <c r="AE1455">
        <v>0</v>
      </c>
      <c r="AF1455">
        <v>86670</v>
      </c>
      <c r="AG1455">
        <v>5670</v>
      </c>
      <c r="AH1455" t="s">
        <v>72</v>
      </c>
    </row>
    <row r="1456" spans="1:34" x14ac:dyDescent="0.3">
      <c r="A1456" t="s">
        <v>798</v>
      </c>
      <c r="B1456">
        <v>52201351</v>
      </c>
      <c r="C1456">
        <v>22940816</v>
      </c>
      <c r="D1456" t="s">
        <v>155</v>
      </c>
      <c r="E1456" t="s">
        <v>438</v>
      </c>
      <c r="F1456" t="s">
        <v>431</v>
      </c>
      <c r="G1456" t="s">
        <v>82</v>
      </c>
      <c r="H1456" t="s">
        <v>83</v>
      </c>
      <c r="J1456" t="s">
        <v>52</v>
      </c>
      <c r="K1456" s="15">
        <v>500</v>
      </c>
      <c r="L1456" s="15">
        <v>0</v>
      </c>
      <c r="M1456" s="13">
        <v>45236</v>
      </c>
      <c r="O1456">
        <v>0</v>
      </c>
      <c r="P1456">
        <v>0</v>
      </c>
      <c r="Q1456">
        <v>0</v>
      </c>
      <c r="R1456">
        <v>835.37940785277499</v>
      </c>
      <c r="S1456">
        <v>24703.549008289432</v>
      </c>
      <c r="T1456">
        <v>0</v>
      </c>
      <c r="U1456">
        <v>0</v>
      </c>
      <c r="V1456">
        <v>73829.741339665459</v>
      </c>
      <c r="W1456">
        <v>0</v>
      </c>
      <c r="X1456">
        <v>0</v>
      </c>
      <c r="Y1456">
        <v>99368.66975580767</v>
      </c>
      <c r="Z1456">
        <v>6897.3303243568434</v>
      </c>
      <c r="AA1456">
        <v>106266.00008016451</v>
      </c>
      <c r="AB1456" t="s">
        <v>242</v>
      </c>
      <c r="AC1456">
        <v>8</v>
      </c>
      <c r="AD1456">
        <v>6600</v>
      </c>
      <c r="AE1456">
        <v>0</v>
      </c>
      <c r="AF1456">
        <v>0</v>
      </c>
      <c r="AG1456">
        <v>428.13697060719107</v>
      </c>
      <c r="AH1456" t="s">
        <v>58</v>
      </c>
    </row>
    <row r="1457" spans="1:34" x14ac:dyDescent="0.3">
      <c r="A1457" t="s">
        <v>798</v>
      </c>
      <c r="B1457">
        <v>52201823</v>
      </c>
      <c r="C1457">
        <v>26207055</v>
      </c>
      <c r="D1457" t="s">
        <v>165</v>
      </c>
      <c r="E1457" t="s">
        <v>438</v>
      </c>
      <c r="F1457" t="s">
        <v>431</v>
      </c>
      <c r="G1457" t="s">
        <v>82</v>
      </c>
      <c r="H1457" t="s">
        <v>83</v>
      </c>
      <c r="J1457" t="s">
        <v>52</v>
      </c>
      <c r="K1457" s="15">
        <v>1000</v>
      </c>
      <c r="L1457" s="15">
        <v>0</v>
      </c>
      <c r="M1457" s="13">
        <v>45236</v>
      </c>
      <c r="O1457">
        <v>0</v>
      </c>
      <c r="P1457">
        <v>0</v>
      </c>
      <c r="Q1457">
        <v>0</v>
      </c>
      <c r="R1457">
        <v>857.64017905898686</v>
      </c>
      <c r="S1457">
        <v>32402.468626069331</v>
      </c>
      <c r="T1457">
        <v>0</v>
      </c>
      <c r="U1457">
        <v>0</v>
      </c>
      <c r="V1457">
        <v>82604.409809083882</v>
      </c>
      <c r="W1457">
        <v>0</v>
      </c>
      <c r="X1457">
        <v>0</v>
      </c>
      <c r="Y1457">
        <v>115864.5186142122</v>
      </c>
      <c r="Z1457">
        <v>8050.4814904607256</v>
      </c>
      <c r="AA1457">
        <v>123915.00010467292</v>
      </c>
      <c r="AB1457" t="s">
        <v>242</v>
      </c>
      <c r="AC1457">
        <v>5</v>
      </c>
      <c r="AD1457">
        <v>4500</v>
      </c>
      <c r="AE1457">
        <v>0</v>
      </c>
      <c r="AF1457">
        <v>0</v>
      </c>
      <c r="AG1457">
        <v>292.21010517208316</v>
      </c>
      <c r="AH1457" t="s">
        <v>58</v>
      </c>
    </row>
    <row r="1458" spans="1:34" x14ac:dyDescent="0.3">
      <c r="A1458" t="s">
        <v>798</v>
      </c>
      <c r="B1458">
        <v>12200119</v>
      </c>
      <c r="C1458" t="s">
        <v>367</v>
      </c>
      <c r="D1458" t="s">
        <v>406</v>
      </c>
      <c r="E1458" t="s">
        <v>437</v>
      </c>
      <c r="F1458" t="s">
        <v>427</v>
      </c>
      <c r="G1458" t="s">
        <v>235</v>
      </c>
      <c r="H1458" t="s">
        <v>235</v>
      </c>
      <c r="J1458" t="s">
        <v>52</v>
      </c>
      <c r="K1458" s="15">
        <v>3000</v>
      </c>
      <c r="L1458" s="15">
        <v>0</v>
      </c>
      <c r="M1458" s="13">
        <v>45236</v>
      </c>
      <c r="O1458">
        <v>0</v>
      </c>
      <c r="P1458">
        <v>0</v>
      </c>
      <c r="Q1458">
        <v>0</v>
      </c>
      <c r="R1458">
        <v>0</v>
      </c>
      <c r="S1458">
        <v>66117.035616438356</v>
      </c>
      <c r="T1458">
        <v>0</v>
      </c>
      <c r="U1458">
        <v>0</v>
      </c>
      <c r="V1458">
        <v>106304.36</v>
      </c>
      <c r="W1458">
        <v>0</v>
      </c>
      <c r="X1458">
        <v>0</v>
      </c>
      <c r="Y1458">
        <v>172421.39561643836</v>
      </c>
      <c r="Z1458">
        <v>0</v>
      </c>
      <c r="AA1458">
        <v>172421.39561643836</v>
      </c>
      <c r="AB1458" t="s">
        <v>242</v>
      </c>
      <c r="AC1458">
        <v>2</v>
      </c>
      <c r="AD1458">
        <v>8000</v>
      </c>
      <c r="AE1458">
        <v>0</v>
      </c>
      <c r="AF1458">
        <v>0</v>
      </c>
      <c r="AG1458">
        <v>0</v>
      </c>
      <c r="AH1458" t="s">
        <v>58</v>
      </c>
    </row>
    <row r="1459" spans="1:34" x14ac:dyDescent="0.3">
      <c r="A1459" t="s">
        <v>798</v>
      </c>
      <c r="B1459">
        <v>62200095</v>
      </c>
      <c r="C1459" t="s">
        <v>640</v>
      </c>
      <c r="D1459" t="s">
        <v>639</v>
      </c>
      <c r="E1459" t="s">
        <v>435</v>
      </c>
      <c r="F1459" t="s">
        <v>432</v>
      </c>
      <c r="G1459" t="s">
        <v>235</v>
      </c>
      <c r="H1459" t="s">
        <v>235</v>
      </c>
      <c r="J1459" t="s">
        <v>52</v>
      </c>
      <c r="K1459" s="15">
        <v>2000</v>
      </c>
      <c r="M1459" s="13">
        <v>45236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40352.790000000008</v>
      </c>
      <c r="W1459">
        <v>0</v>
      </c>
      <c r="X1459">
        <v>0</v>
      </c>
      <c r="Y1459">
        <v>40352.790000000008</v>
      </c>
      <c r="Z1459">
        <v>0</v>
      </c>
      <c r="AA1459">
        <v>40352.790000000008</v>
      </c>
      <c r="AB1459" t="s">
        <v>242</v>
      </c>
      <c r="AC1459">
        <v>8</v>
      </c>
      <c r="AD1459">
        <v>16000</v>
      </c>
      <c r="AE1459">
        <v>0</v>
      </c>
      <c r="AF1459">
        <v>0</v>
      </c>
      <c r="AG1459">
        <v>0</v>
      </c>
      <c r="AH1459" t="s">
        <v>58</v>
      </c>
    </row>
    <row r="1460" spans="1:34" x14ac:dyDescent="0.3">
      <c r="A1460" t="s">
        <v>798</v>
      </c>
      <c r="B1460">
        <v>52200247</v>
      </c>
      <c r="C1460">
        <v>23477201</v>
      </c>
      <c r="D1460" t="s">
        <v>135</v>
      </c>
      <c r="E1460" t="s">
        <v>436</v>
      </c>
      <c r="F1460" t="s">
        <v>431</v>
      </c>
      <c r="G1460" t="s">
        <v>82</v>
      </c>
      <c r="H1460" t="s">
        <v>83</v>
      </c>
      <c r="J1460" t="s">
        <v>52</v>
      </c>
      <c r="K1460" s="15">
        <v>1000</v>
      </c>
      <c r="L1460" s="15">
        <v>0</v>
      </c>
      <c r="M1460" s="13">
        <v>45237</v>
      </c>
      <c r="O1460">
        <v>0</v>
      </c>
      <c r="P1460">
        <v>0</v>
      </c>
      <c r="Q1460">
        <v>0</v>
      </c>
      <c r="R1460">
        <v>585.82135772023867</v>
      </c>
      <c r="S1460">
        <v>4739.7308526852539</v>
      </c>
      <c r="T1460">
        <v>0</v>
      </c>
      <c r="U1460">
        <v>0</v>
      </c>
      <c r="V1460">
        <v>46605.297542143431</v>
      </c>
      <c r="W1460">
        <v>0</v>
      </c>
      <c r="X1460">
        <v>0</v>
      </c>
      <c r="Y1460">
        <v>51930.849752548922</v>
      </c>
      <c r="Z1460">
        <v>3594.151987638008</v>
      </c>
      <c r="AA1460">
        <v>55525.001740186926</v>
      </c>
      <c r="AB1460" t="s">
        <v>242</v>
      </c>
      <c r="AC1460">
        <v>7</v>
      </c>
      <c r="AD1460">
        <v>18000</v>
      </c>
      <c r="AE1460">
        <v>0</v>
      </c>
      <c r="AF1460">
        <v>0</v>
      </c>
      <c r="AG1460">
        <v>1164.0817710658107</v>
      </c>
      <c r="AH1460" t="s">
        <v>58</v>
      </c>
    </row>
    <row r="1461" spans="1:34" x14ac:dyDescent="0.3">
      <c r="A1461" t="s">
        <v>798</v>
      </c>
      <c r="B1461">
        <v>4142300513</v>
      </c>
      <c r="C1461">
        <v>10222706</v>
      </c>
      <c r="D1461" t="s">
        <v>200</v>
      </c>
      <c r="E1461" t="s">
        <v>445</v>
      </c>
      <c r="F1461" t="s">
        <v>430</v>
      </c>
      <c r="G1461" t="s">
        <v>230</v>
      </c>
      <c r="H1461" t="s">
        <v>234</v>
      </c>
      <c r="J1461" t="s">
        <v>52</v>
      </c>
      <c r="K1461" s="15">
        <v>5000</v>
      </c>
      <c r="L1461" s="15">
        <v>0</v>
      </c>
      <c r="M1461" s="13">
        <v>45238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388846.14018691587</v>
      </c>
      <c r="Y1461">
        <v>388846.14018691587</v>
      </c>
      <c r="Z1461">
        <v>27219.229813084115</v>
      </c>
      <c r="AA1461">
        <v>416065.37</v>
      </c>
      <c r="AB1461" t="s">
        <v>242</v>
      </c>
      <c r="AC1461">
        <v>2</v>
      </c>
      <c r="AD1461">
        <v>40000</v>
      </c>
      <c r="AE1461">
        <v>0</v>
      </c>
      <c r="AF1461">
        <v>0</v>
      </c>
      <c r="AG1461">
        <v>2616.8224299065432</v>
      </c>
      <c r="AH1461" t="s">
        <v>58</v>
      </c>
    </row>
    <row r="1462" spans="1:34" x14ac:dyDescent="0.3">
      <c r="A1462" t="s">
        <v>798</v>
      </c>
      <c r="B1462">
        <v>4302300023</v>
      </c>
      <c r="C1462">
        <v>901021032288</v>
      </c>
      <c r="D1462" t="s">
        <v>225</v>
      </c>
      <c r="E1462" t="s">
        <v>447</v>
      </c>
      <c r="F1462" t="s">
        <v>433</v>
      </c>
      <c r="G1462" t="s">
        <v>82</v>
      </c>
      <c r="H1462" t="s">
        <v>83</v>
      </c>
      <c r="J1462" t="s">
        <v>52</v>
      </c>
      <c r="K1462" s="15">
        <v>5000</v>
      </c>
      <c r="L1462" s="15">
        <v>0</v>
      </c>
      <c r="M1462" s="13">
        <v>45238</v>
      </c>
      <c r="O1462">
        <v>0</v>
      </c>
      <c r="P1462">
        <v>0</v>
      </c>
      <c r="Q1462">
        <v>90519.984310957385</v>
      </c>
      <c r="R1462">
        <v>3436.24</v>
      </c>
      <c r="S1462">
        <v>32407.371111254797</v>
      </c>
      <c r="T1462">
        <v>0</v>
      </c>
      <c r="U1462">
        <v>0</v>
      </c>
      <c r="V1462">
        <v>1172874.5</v>
      </c>
      <c r="W1462">
        <v>0</v>
      </c>
      <c r="X1462">
        <v>0</v>
      </c>
      <c r="Y1462">
        <v>1299238.0954222123</v>
      </c>
      <c r="Z1462">
        <v>84369.730977787854</v>
      </c>
      <c r="AA1462">
        <v>1383607.8264000001</v>
      </c>
      <c r="AB1462" t="s">
        <v>242</v>
      </c>
      <c r="AC1462">
        <v>4</v>
      </c>
      <c r="AD1462">
        <v>68000</v>
      </c>
      <c r="AE1462">
        <v>0</v>
      </c>
      <c r="AF1462">
        <v>0</v>
      </c>
      <c r="AG1462">
        <v>4126.1954222121658</v>
      </c>
      <c r="AH1462" t="s">
        <v>58</v>
      </c>
    </row>
    <row r="1463" spans="1:34" x14ac:dyDescent="0.3">
      <c r="A1463" t="s">
        <v>798</v>
      </c>
      <c r="B1463">
        <v>42200737</v>
      </c>
      <c r="C1463">
        <v>2754011893</v>
      </c>
      <c r="D1463" t="s">
        <v>126</v>
      </c>
      <c r="E1463" t="s">
        <v>439</v>
      </c>
      <c r="F1463" t="s">
        <v>430</v>
      </c>
      <c r="G1463" t="s">
        <v>233</v>
      </c>
      <c r="H1463" t="s">
        <v>234</v>
      </c>
      <c r="J1463" t="s">
        <v>52</v>
      </c>
      <c r="K1463" s="15">
        <v>1000</v>
      </c>
      <c r="L1463" s="15">
        <v>0</v>
      </c>
      <c r="M1463" s="13">
        <v>45240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572907.38317756983</v>
      </c>
      <c r="Y1463">
        <v>572907.38317756983</v>
      </c>
      <c r="Z1463">
        <v>40103.51682242989</v>
      </c>
      <c r="AA1463">
        <v>613010.89999999967</v>
      </c>
      <c r="AB1463" t="s">
        <v>242</v>
      </c>
      <c r="AC1463">
        <v>6</v>
      </c>
      <c r="AD1463">
        <v>6000</v>
      </c>
      <c r="AE1463">
        <v>0</v>
      </c>
      <c r="AF1463">
        <v>0</v>
      </c>
      <c r="AG1463">
        <v>392.52336448598135</v>
      </c>
      <c r="AH1463" t="s">
        <v>58</v>
      </c>
    </row>
    <row r="1464" spans="1:34" x14ac:dyDescent="0.3">
      <c r="A1464" t="s">
        <v>798</v>
      </c>
      <c r="B1464">
        <v>52200750</v>
      </c>
      <c r="C1464">
        <v>26151957</v>
      </c>
      <c r="D1464" t="s">
        <v>141</v>
      </c>
      <c r="E1464" t="s">
        <v>438</v>
      </c>
      <c r="F1464" t="s">
        <v>431</v>
      </c>
      <c r="G1464" t="s">
        <v>82</v>
      </c>
      <c r="H1464" t="s">
        <v>83</v>
      </c>
      <c r="J1464" t="s">
        <v>52</v>
      </c>
      <c r="K1464" s="15">
        <v>1000</v>
      </c>
      <c r="L1464" s="15">
        <v>0</v>
      </c>
      <c r="M1464" s="13">
        <v>45240</v>
      </c>
      <c r="O1464">
        <v>0</v>
      </c>
      <c r="P1464">
        <v>0</v>
      </c>
      <c r="Q1464">
        <v>0</v>
      </c>
      <c r="R1464">
        <v>845.48704177791944</v>
      </c>
      <c r="S1464">
        <v>22009.76066698636</v>
      </c>
      <c r="T1464">
        <v>0</v>
      </c>
      <c r="U1464">
        <v>0</v>
      </c>
      <c r="V1464">
        <v>47756.1392450563</v>
      </c>
      <c r="W1464">
        <v>0</v>
      </c>
      <c r="X1464">
        <v>0</v>
      </c>
      <c r="Y1464">
        <v>70611.386953820576</v>
      </c>
      <c r="Z1464">
        <v>4883.6129938429867</v>
      </c>
      <c r="AA1464">
        <v>75494.999947663557</v>
      </c>
      <c r="AB1464" t="s">
        <v>242</v>
      </c>
      <c r="AC1464">
        <v>11</v>
      </c>
      <c r="AD1464">
        <v>12000</v>
      </c>
      <c r="AE1464">
        <v>0</v>
      </c>
      <c r="AF1464">
        <v>0</v>
      </c>
      <c r="AG1464">
        <v>775.59261020977067</v>
      </c>
      <c r="AH1464" t="s">
        <v>58</v>
      </c>
    </row>
    <row r="1465" spans="1:34" x14ac:dyDescent="0.3">
      <c r="A1465" t="s">
        <v>798</v>
      </c>
      <c r="B1465">
        <v>52201188</v>
      </c>
      <c r="C1465" t="s">
        <v>463</v>
      </c>
      <c r="D1465" t="s">
        <v>531</v>
      </c>
      <c r="E1465" t="s">
        <v>438</v>
      </c>
      <c r="F1465" t="s">
        <v>431</v>
      </c>
      <c r="G1465" t="s">
        <v>82</v>
      </c>
      <c r="H1465" t="s">
        <v>83</v>
      </c>
      <c r="J1465" t="s">
        <v>52</v>
      </c>
      <c r="K1465" s="15">
        <v>1692</v>
      </c>
      <c r="L1465" s="15">
        <v>0</v>
      </c>
      <c r="M1465" s="13">
        <v>45240</v>
      </c>
      <c r="O1465">
        <v>0</v>
      </c>
      <c r="P1465">
        <v>0</v>
      </c>
      <c r="Q1465">
        <v>0</v>
      </c>
      <c r="R1465">
        <v>670.62425885049186</v>
      </c>
      <c r="S1465">
        <v>22771.720645969664</v>
      </c>
      <c r="T1465">
        <v>0</v>
      </c>
      <c r="U1465">
        <v>0</v>
      </c>
      <c r="V1465">
        <v>51829.564677665592</v>
      </c>
      <c r="W1465">
        <v>0</v>
      </c>
      <c r="X1465">
        <v>0</v>
      </c>
      <c r="Y1465">
        <v>75271.90958248575</v>
      </c>
      <c r="Z1465">
        <v>5222.0899726544685</v>
      </c>
      <c r="AA1465">
        <v>80493.999555140224</v>
      </c>
      <c r="AB1465" t="s">
        <v>242</v>
      </c>
      <c r="AC1465">
        <v>7</v>
      </c>
      <c r="AD1465">
        <v>13536</v>
      </c>
      <c r="AE1465">
        <v>0</v>
      </c>
      <c r="AF1465">
        <v>0</v>
      </c>
      <c r="AG1465">
        <v>877.59224123320996</v>
      </c>
      <c r="AH1465" t="s">
        <v>58</v>
      </c>
    </row>
    <row r="1466" spans="1:34" x14ac:dyDescent="0.3">
      <c r="A1466" t="s">
        <v>798</v>
      </c>
      <c r="B1466">
        <v>22200050</v>
      </c>
      <c r="C1466">
        <v>20757954</v>
      </c>
      <c r="D1466" t="s">
        <v>120</v>
      </c>
      <c r="E1466" t="s">
        <v>435</v>
      </c>
      <c r="F1466" t="s">
        <v>428</v>
      </c>
      <c r="G1466" t="s">
        <v>82</v>
      </c>
      <c r="H1466" t="s">
        <v>82</v>
      </c>
      <c r="J1466" t="s">
        <v>52</v>
      </c>
      <c r="K1466" s="15">
        <v>500</v>
      </c>
      <c r="L1466" s="15">
        <v>0</v>
      </c>
      <c r="M1466" s="13">
        <v>45241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14016.287969863013</v>
      </c>
      <c r="W1466">
        <v>0</v>
      </c>
      <c r="X1466">
        <v>0</v>
      </c>
      <c r="Y1466">
        <v>14016.287969863013</v>
      </c>
      <c r="Z1466">
        <v>0</v>
      </c>
      <c r="AA1466">
        <v>14016.287969863013</v>
      </c>
      <c r="AB1466" t="s">
        <v>242</v>
      </c>
      <c r="AC1466">
        <v>10</v>
      </c>
      <c r="AD1466">
        <v>6000</v>
      </c>
      <c r="AE1466">
        <v>0</v>
      </c>
      <c r="AF1466">
        <v>0</v>
      </c>
      <c r="AG1466">
        <v>0</v>
      </c>
      <c r="AH1466" t="s">
        <v>58</v>
      </c>
    </row>
    <row r="1467" spans="1:34" x14ac:dyDescent="0.3">
      <c r="A1467" t="s">
        <v>798</v>
      </c>
      <c r="B1467">
        <v>32200045</v>
      </c>
      <c r="C1467">
        <v>20758058</v>
      </c>
      <c r="D1467" t="s">
        <v>120</v>
      </c>
      <c r="E1467" t="s">
        <v>435</v>
      </c>
      <c r="F1467" t="s">
        <v>429</v>
      </c>
      <c r="G1467" t="s">
        <v>82</v>
      </c>
      <c r="H1467" t="s">
        <v>82</v>
      </c>
      <c r="J1467" t="s">
        <v>52</v>
      </c>
      <c r="K1467" s="15">
        <v>500</v>
      </c>
      <c r="L1467" s="15">
        <v>0</v>
      </c>
      <c r="M1467" s="13">
        <v>45241</v>
      </c>
      <c r="O1467">
        <v>0</v>
      </c>
      <c r="P1467">
        <v>0</v>
      </c>
      <c r="Q1467">
        <v>0</v>
      </c>
      <c r="R1467">
        <v>0</v>
      </c>
      <c r="S1467">
        <v>3424.0488810958905</v>
      </c>
      <c r="T1467">
        <v>0</v>
      </c>
      <c r="U1467">
        <v>0</v>
      </c>
      <c r="V1467">
        <v>18314.54</v>
      </c>
      <c r="W1467">
        <v>0</v>
      </c>
      <c r="X1467">
        <v>0</v>
      </c>
      <c r="Y1467">
        <v>21738.588881095893</v>
      </c>
      <c r="Z1467">
        <v>0</v>
      </c>
      <c r="AA1467">
        <v>21738.588881095893</v>
      </c>
      <c r="AB1467" t="s">
        <v>242</v>
      </c>
      <c r="AC1467">
        <v>8</v>
      </c>
      <c r="AD1467">
        <v>4000</v>
      </c>
      <c r="AE1467">
        <v>0</v>
      </c>
      <c r="AF1467">
        <v>0</v>
      </c>
      <c r="AG1467">
        <v>0</v>
      </c>
      <c r="AH1467" t="s">
        <v>58</v>
      </c>
    </row>
    <row r="1468" spans="1:34" x14ac:dyDescent="0.3">
      <c r="A1468" t="s">
        <v>798</v>
      </c>
      <c r="B1468">
        <v>42200889</v>
      </c>
      <c r="C1468">
        <v>2754011907</v>
      </c>
      <c r="D1468" t="s">
        <v>126</v>
      </c>
      <c r="E1468" t="s">
        <v>439</v>
      </c>
      <c r="F1468" t="s">
        <v>430</v>
      </c>
      <c r="G1468" t="s">
        <v>233</v>
      </c>
      <c r="H1468" t="s">
        <v>234</v>
      </c>
      <c r="J1468" t="s">
        <v>52</v>
      </c>
      <c r="K1468" s="15">
        <v>1000</v>
      </c>
      <c r="L1468" s="15">
        <v>0</v>
      </c>
      <c r="M1468" s="13">
        <v>45243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382935.51401869167</v>
      </c>
      <c r="Y1468">
        <v>382935.51401869167</v>
      </c>
      <c r="Z1468">
        <v>26805.485981308419</v>
      </c>
      <c r="AA1468">
        <v>409741.00000000012</v>
      </c>
      <c r="AB1468" t="s">
        <v>242</v>
      </c>
      <c r="AC1468">
        <v>4</v>
      </c>
      <c r="AD1468">
        <v>4000</v>
      </c>
      <c r="AE1468">
        <v>0</v>
      </c>
      <c r="AF1468">
        <v>0</v>
      </c>
      <c r="AG1468">
        <v>261.68224299065423</v>
      </c>
      <c r="AH1468" t="s">
        <v>58</v>
      </c>
    </row>
    <row r="1469" spans="1:34" x14ac:dyDescent="0.3">
      <c r="A1469" t="s">
        <v>798</v>
      </c>
      <c r="B1469">
        <v>4142300172</v>
      </c>
      <c r="C1469" t="s">
        <v>480</v>
      </c>
      <c r="D1469" t="s">
        <v>289</v>
      </c>
      <c r="E1469" t="s">
        <v>445</v>
      </c>
      <c r="F1469" t="s">
        <v>430</v>
      </c>
      <c r="G1469" t="s">
        <v>421</v>
      </c>
      <c r="H1469" t="s">
        <v>234</v>
      </c>
      <c r="J1469" t="s">
        <v>450</v>
      </c>
      <c r="K1469" s="15">
        <v>48500</v>
      </c>
      <c r="L1469" s="15">
        <v>0</v>
      </c>
      <c r="M1469" s="13">
        <v>45243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231680.476635514</v>
      </c>
      <c r="Y1469">
        <v>231680.476635514</v>
      </c>
      <c r="Z1469">
        <v>16217.633364485982</v>
      </c>
      <c r="AA1469">
        <v>247898.11</v>
      </c>
      <c r="AB1469" t="s">
        <v>242</v>
      </c>
      <c r="AC1469">
        <v>0</v>
      </c>
      <c r="AD1469">
        <v>0</v>
      </c>
      <c r="AE1469">
        <v>0</v>
      </c>
      <c r="AF1469">
        <v>53500</v>
      </c>
      <c r="AG1469">
        <v>3500.0000000000027</v>
      </c>
      <c r="AH1469" t="s">
        <v>58</v>
      </c>
    </row>
    <row r="1470" spans="1:34" x14ac:dyDescent="0.3">
      <c r="A1470" t="s">
        <v>798</v>
      </c>
      <c r="B1470">
        <v>4142301009</v>
      </c>
      <c r="C1470" t="s">
        <v>507</v>
      </c>
      <c r="D1470" t="s">
        <v>579</v>
      </c>
      <c r="E1470" t="s">
        <v>445</v>
      </c>
      <c r="F1470" t="s">
        <v>430</v>
      </c>
      <c r="G1470" t="s">
        <v>421</v>
      </c>
      <c r="H1470" t="s">
        <v>234</v>
      </c>
      <c r="J1470" t="s">
        <v>450</v>
      </c>
      <c r="K1470" s="15">
        <v>67900</v>
      </c>
      <c r="L1470" s="15">
        <v>0</v>
      </c>
      <c r="M1470" s="13">
        <v>45243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245094.73831775694</v>
      </c>
      <c r="Y1470">
        <v>245094.73831775694</v>
      </c>
      <c r="Z1470">
        <v>17156.631682242987</v>
      </c>
      <c r="AA1470">
        <v>262251.36999999994</v>
      </c>
      <c r="AB1470" t="s">
        <v>242</v>
      </c>
      <c r="AC1470">
        <v>1</v>
      </c>
      <c r="AD1470">
        <v>1500</v>
      </c>
      <c r="AE1470">
        <v>0</v>
      </c>
      <c r="AF1470">
        <v>74900</v>
      </c>
      <c r="AG1470">
        <v>4998.1308411214959</v>
      </c>
      <c r="AH1470" t="s">
        <v>58</v>
      </c>
    </row>
    <row r="1471" spans="1:34" x14ac:dyDescent="0.3">
      <c r="A1471" t="s">
        <v>798</v>
      </c>
      <c r="B1471">
        <v>4142300107</v>
      </c>
      <c r="C1471" t="s">
        <v>102</v>
      </c>
      <c r="D1471" t="s">
        <v>188</v>
      </c>
      <c r="E1471" t="s">
        <v>444</v>
      </c>
      <c r="F1471" t="s">
        <v>430</v>
      </c>
      <c r="G1471" t="s">
        <v>230</v>
      </c>
      <c r="H1471" t="s">
        <v>231</v>
      </c>
      <c r="J1471" t="s">
        <v>416</v>
      </c>
      <c r="K1471" s="15">
        <v>8.187201528175736E-2</v>
      </c>
      <c r="M1471" s="13">
        <v>45243</v>
      </c>
      <c r="O1471">
        <v>0</v>
      </c>
      <c r="P1471">
        <v>2514.4783809985474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96627.747471721203</v>
      </c>
      <c r="X1471">
        <v>0</v>
      </c>
      <c r="Y1471">
        <v>99142.225852719755</v>
      </c>
      <c r="Z1471">
        <v>6763.9423230204848</v>
      </c>
      <c r="AA1471">
        <v>105906.16817574024</v>
      </c>
      <c r="AB1471" t="s">
        <v>242</v>
      </c>
      <c r="AC1471">
        <v>2</v>
      </c>
      <c r="AD1471">
        <v>112320</v>
      </c>
      <c r="AE1471">
        <v>0</v>
      </c>
      <c r="AF1471">
        <v>0</v>
      </c>
      <c r="AG1471">
        <v>7152.1492832600343</v>
      </c>
      <c r="AH1471" t="s">
        <v>58</v>
      </c>
    </row>
    <row r="1472" spans="1:34" x14ac:dyDescent="0.3">
      <c r="A1472" t="s">
        <v>798</v>
      </c>
      <c r="B1472">
        <v>52201351</v>
      </c>
      <c r="C1472">
        <v>22940816</v>
      </c>
      <c r="D1472" t="s">
        <v>155</v>
      </c>
      <c r="E1472" t="s">
        <v>438</v>
      </c>
      <c r="F1472" t="s">
        <v>431</v>
      </c>
      <c r="G1472" t="s">
        <v>82</v>
      </c>
      <c r="H1472" t="s">
        <v>83</v>
      </c>
      <c r="J1472" t="s">
        <v>52</v>
      </c>
      <c r="K1472" s="15">
        <v>500</v>
      </c>
      <c r="L1472" s="15">
        <v>0</v>
      </c>
      <c r="M1472" s="13">
        <v>45244</v>
      </c>
      <c r="O1472">
        <v>0</v>
      </c>
      <c r="P1472">
        <v>0</v>
      </c>
      <c r="Q1472">
        <v>0</v>
      </c>
      <c r="R1472">
        <v>831.17597325962981</v>
      </c>
      <c r="S1472">
        <v>24240.187732208258</v>
      </c>
      <c r="T1472">
        <v>0</v>
      </c>
      <c r="U1472">
        <v>0</v>
      </c>
      <c r="V1472">
        <v>73829.741339665459</v>
      </c>
      <c r="W1472">
        <v>0</v>
      </c>
      <c r="X1472">
        <v>0</v>
      </c>
      <c r="Y1472">
        <v>98901.105045133343</v>
      </c>
      <c r="Z1472">
        <v>6864.8950350311607</v>
      </c>
      <c r="AA1472">
        <v>105766.00008016451</v>
      </c>
      <c r="AB1472" t="s">
        <v>242</v>
      </c>
      <c r="AC1472">
        <v>9</v>
      </c>
      <c r="AD1472">
        <v>7100</v>
      </c>
      <c r="AE1472">
        <v>0</v>
      </c>
      <c r="AF1472">
        <v>0</v>
      </c>
      <c r="AG1472">
        <v>460.57225993287318</v>
      </c>
      <c r="AH1472" t="s">
        <v>58</v>
      </c>
    </row>
    <row r="1473" spans="1:34" x14ac:dyDescent="0.3">
      <c r="A1473" t="s">
        <v>798</v>
      </c>
      <c r="B1473">
        <v>4142300116</v>
      </c>
      <c r="C1473">
        <v>10205921</v>
      </c>
      <c r="D1473" t="s">
        <v>189</v>
      </c>
      <c r="E1473" t="s">
        <v>445</v>
      </c>
      <c r="F1473" t="s">
        <v>430</v>
      </c>
      <c r="G1473" t="s">
        <v>233</v>
      </c>
      <c r="H1473" t="s">
        <v>234</v>
      </c>
      <c r="J1473" t="s">
        <v>52</v>
      </c>
      <c r="K1473" s="15">
        <v>50844.160000000003</v>
      </c>
      <c r="L1473" s="15">
        <v>0</v>
      </c>
      <c r="M1473" s="13">
        <v>45244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237589.54205607472</v>
      </c>
      <c r="Y1473">
        <v>237589.54205607472</v>
      </c>
      <c r="Z1473">
        <v>16631.267943925232</v>
      </c>
      <c r="AA1473">
        <v>254220.80999999994</v>
      </c>
      <c r="AB1473" t="s">
        <v>242</v>
      </c>
      <c r="AC1473">
        <v>5</v>
      </c>
      <c r="AD1473">
        <v>303376.64000000001</v>
      </c>
      <c r="AE1473">
        <v>0</v>
      </c>
      <c r="AF1473">
        <v>0</v>
      </c>
      <c r="AG1473">
        <v>19847.069906542049</v>
      </c>
      <c r="AH1473" t="s">
        <v>58</v>
      </c>
    </row>
    <row r="1474" spans="1:34" x14ac:dyDescent="0.3">
      <c r="A1474" t="s">
        <v>798</v>
      </c>
      <c r="B1474">
        <v>42200052</v>
      </c>
      <c r="C1474" t="s">
        <v>90</v>
      </c>
      <c r="D1474" t="s">
        <v>121</v>
      </c>
      <c r="E1474" t="s">
        <v>437</v>
      </c>
      <c r="F1474" t="s">
        <v>430</v>
      </c>
      <c r="G1474" t="s">
        <v>230</v>
      </c>
      <c r="H1474" t="s">
        <v>231</v>
      </c>
      <c r="J1474" t="s">
        <v>52</v>
      </c>
      <c r="K1474" s="15">
        <v>3000</v>
      </c>
      <c r="L1474" s="15">
        <v>0</v>
      </c>
      <c r="M1474" s="13">
        <v>45245</v>
      </c>
      <c r="O1474">
        <v>0</v>
      </c>
      <c r="P1474">
        <v>2394.5452181984615</v>
      </c>
      <c r="Q1474">
        <v>0</v>
      </c>
      <c r="R1474">
        <v>0</v>
      </c>
      <c r="S1474">
        <v>5574.6712328767117</v>
      </c>
      <c r="T1474">
        <v>14117.24745962761</v>
      </c>
      <c r="U1474">
        <v>14018.691588785046</v>
      </c>
      <c r="V1474">
        <v>0</v>
      </c>
      <c r="W1474">
        <v>135514.01869158878</v>
      </c>
      <c r="X1474">
        <v>0</v>
      </c>
      <c r="Y1474">
        <v>171619.1741910766</v>
      </c>
      <c r="Z1474">
        <v>11455.497041800101</v>
      </c>
      <c r="AA1474">
        <v>183074.67123287669</v>
      </c>
      <c r="AB1474" t="s">
        <v>242</v>
      </c>
      <c r="AC1474">
        <v>4</v>
      </c>
      <c r="AD1474">
        <v>13000</v>
      </c>
      <c r="AE1474">
        <v>0</v>
      </c>
      <c r="AF1474">
        <v>0</v>
      </c>
      <c r="AG1474">
        <v>810.85809838681553</v>
      </c>
      <c r="AH1474" t="s">
        <v>58</v>
      </c>
    </row>
    <row r="1475" spans="1:34" x14ac:dyDescent="0.3">
      <c r="A1475" t="s">
        <v>798</v>
      </c>
      <c r="B1475">
        <v>52201342</v>
      </c>
      <c r="C1475">
        <v>26280203</v>
      </c>
      <c r="D1475" t="s">
        <v>879</v>
      </c>
      <c r="E1475" t="s">
        <v>438</v>
      </c>
      <c r="F1475" t="s">
        <v>431</v>
      </c>
      <c r="G1475" t="s">
        <v>82</v>
      </c>
      <c r="H1475" t="s">
        <v>83</v>
      </c>
      <c r="J1475" t="s">
        <v>52</v>
      </c>
      <c r="K1475" s="15">
        <v>500</v>
      </c>
      <c r="L1475" s="15">
        <v>0</v>
      </c>
      <c r="M1475" s="13">
        <v>45245</v>
      </c>
      <c r="O1475">
        <v>0</v>
      </c>
      <c r="P1475">
        <v>0</v>
      </c>
      <c r="Q1475">
        <v>0</v>
      </c>
      <c r="R1475">
        <v>1104.3499238076304</v>
      </c>
      <c r="S1475">
        <v>17474.232580481119</v>
      </c>
      <c r="T1475">
        <v>0</v>
      </c>
      <c r="U1475">
        <v>0</v>
      </c>
      <c r="V1475">
        <v>47138.524897487107</v>
      </c>
      <c r="W1475">
        <v>0</v>
      </c>
      <c r="X1475">
        <v>0</v>
      </c>
      <c r="Y1475">
        <v>65717.107401775851</v>
      </c>
      <c r="Z1475">
        <v>4522.8930234577765</v>
      </c>
      <c r="AA1475">
        <v>70240.000425233622</v>
      </c>
      <c r="AB1475" t="s">
        <v>242</v>
      </c>
      <c r="AC1475">
        <v>4</v>
      </c>
      <c r="AD1475">
        <v>2000</v>
      </c>
      <c r="AE1475">
        <v>0</v>
      </c>
      <c r="AF1475">
        <v>0</v>
      </c>
      <c r="AG1475">
        <v>128.6397146416208</v>
      </c>
      <c r="AH1475" t="s">
        <v>58</v>
      </c>
    </row>
    <row r="1476" spans="1:34" x14ac:dyDescent="0.3">
      <c r="A1476" t="s">
        <v>798</v>
      </c>
      <c r="B1476">
        <v>52201830</v>
      </c>
      <c r="C1476">
        <v>25560817</v>
      </c>
      <c r="D1476" t="s">
        <v>167</v>
      </c>
      <c r="E1476" t="s">
        <v>438</v>
      </c>
      <c r="F1476" t="s">
        <v>431</v>
      </c>
      <c r="G1476" t="s">
        <v>82</v>
      </c>
      <c r="H1476" t="s">
        <v>83</v>
      </c>
      <c r="J1476" t="s">
        <v>52</v>
      </c>
      <c r="K1476" s="15">
        <v>2000</v>
      </c>
      <c r="L1476" s="15">
        <v>0</v>
      </c>
      <c r="M1476" s="13">
        <v>45245</v>
      </c>
      <c r="O1476">
        <v>0</v>
      </c>
      <c r="P1476">
        <v>0</v>
      </c>
      <c r="Q1476">
        <v>0</v>
      </c>
      <c r="R1476">
        <v>827.00634986099487</v>
      </c>
      <c r="S1476">
        <v>22327.796403168813</v>
      </c>
      <c r="T1476">
        <v>0</v>
      </c>
      <c r="U1476">
        <v>0</v>
      </c>
      <c r="V1476">
        <v>53474.06748157987</v>
      </c>
      <c r="W1476">
        <v>0</v>
      </c>
      <c r="X1476">
        <v>0</v>
      </c>
      <c r="Y1476">
        <v>76628.870234609683</v>
      </c>
      <c r="Z1476">
        <v>5306.1304719324089</v>
      </c>
      <c r="AA1476">
        <v>81935.000706542094</v>
      </c>
      <c r="AB1476" t="s">
        <v>242</v>
      </c>
      <c r="AC1476">
        <v>8</v>
      </c>
      <c r="AD1476">
        <v>15000</v>
      </c>
      <c r="AE1476">
        <v>0</v>
      </c>
      <c r="AF1476">
        <v>0</v>
      </c>
      <c r="AG1476">
        <v>970.64527522455091</v>
      </c>
      <c r="AH1476" t="s">
        <v>58</v>
      </c>
    </row>
    <row r="1477" spans="1:34" x14ac:dyDescent="0.3">
      <c r="A1477" t="s">
        <v>798</v>
      </c>
      <c r="B1477">
        <v>4142300600</v>
      </c>
      <c r="C1477">
        <v>10261717</v>
      </c>
      <c r="D1477" t="s">
        <v>202</v>
      </c>
      <c r="E1477" t="s">
        <v>445</v>
      </c>
      <c r="F1477" t="s">
        <v>430</v>
      </c>
      <c r="G1477" t="s">
        <v>230</v>
      </c>
      <c r="H1477" t="s">
        <v>234</v>
      </c>
      <c r="J1477" t="s">
        <v>52</v>
      </c>
      <c r="K1477" s="15">
        <v>10000</v>
      </c>
      <c r="L1477" s="15">
        <v>0</v>
      </c>
      <c r="M1477" s="13">
        <v>45245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208068.87850467293</v>
      </c>
      <c r="Y1477">
        <v>208068.87850467293</v>
      </c>
      <c r="Z1477">
        <v>14564.821495327107</v>
      </c>
      <c r="AA1477">
        <v>222633.70000000004</v>
      </c>
      <c r="AB1477" t="s">
        <v>242</v>
      </c>
      <c r="AC1477">
        <v>5</v>
      </c>
      <c r="AD1477">
        <v>140000</v>
      </c>
      <c r="AE1477">
        <v>0</v>
      </c>
      <c r="AF1477">
        <v>0</v>
      </c>
      <c r="AG1477">
        <v>9158.8785046728954</v>
      </c>
      <c r="AH1477" t="s">
        <v>58</v>
      </c>
    </row>
    <row r="1478" spans="1:34" x14ac:dyDescent="0.3">
      <c r="A1478" t="s">
        <v>798</v>
      </c>
      <c r="B1478">
        <v>4242300005</v>
      </c>
      <c r="C1478">
        <v>123246</v>
      </c>
      <c r="D1478" t="s">
        <v>219</v>
      </c>
      <c r="E1478" t="s">
        <v>444</v>
      </c>
      <c r="F1478" t="s">
        <v>431</v>
      </c>
      <c r="G1478" t="s">
        <v>237</v>
      </c>
      <c r="H1478" t="s">
        <v>231</v>
      </c>
      <c r="J1478" t="s">
        <v>52</v>
      </c>
      <c r="K1478" s="15">
        <v>5000</v>
      </c>
      <c r="L1478" s="15">
        <v>0</v>
      </c>
      <c r="M1478" s="13">
        <v>45245</v>
      </c>
      <c r="O1478">
        <v>0</v>
      </c>
      <c r="P1478">
        <v>8626.1492231624561</v>
      </c>
      <c r="Q1478">
        <v>0</v>
      </c>
      <c r="R1478">
        <v>0</v>
      </c>
      <c r="S1478">
        <v>0</v>
      </c>
      <c r="T1478">
        <v>6893.0100718107842</v>
      </c>
      <c r="U1478">
        <v>22429.906542056076</v>
      </c>
      <c r="V1478">
        <v>0</v>
      </c>
      <c r="W1478">
        <v>0</v>
      </c>
      <c r="X1478">
        <v>0</v>
      </c>
      <c r="Y1478">
        <v>37949.065837029317</v>
      </c>
      <c r="Z1478">
        <v>2052.6041629706801</v>
      </c>
      <c r="AA1478">
        <v>40001.67</v>
      </c>
      <c r="AB1478" t="s">
        <v>242</v>
      </c>
      <c r="AC1478">
        <v>4</v>
      </c>
      <c r="AD1478">
        <v>27200</v>
      </c>
      <c r="AE1478">
        <v>0</v>
      </c>
      <c r="AF1478">
        <v>0</v>
      </c>
      <c r="AG1478">
        <v>1366.7106968424027</v>
      </c>
      <c r="AH1478" t="s">
        <v>58</v>
      </c>
    </row>
    <row r="1479" spans="1:34" x14ac:dyDescent="0.3">
      <c r="A1479" t="s">
        <v>798</v>
      </c>
      <c r="B1479">
        <v>42200038</v>
      </c>
      <c r="C1479" t="s">
        <v>452</v>
      </c>
      <c r="D1479" t="s">
        <v>521</v>
      </c>
      <c r="E1479" t="s">
        <v>437</v>
      </c>
      <c r="F1479" t="s">
        <v>430</v>
      </c>
      <c r="G1479" t="s">
        <v>230</v>
      </c>
      <c r="H1479" t="s">
        <v>231</v>
      </c>
      <c r="J1479" t="s">
        <v>52</v>
      </c>
      <c r="K1479" s="15">
        <v>1000</v>
      </c>
      <c r="L1479" s="15">
        <v>0</v>
      </c>
      <c r="M1479" s="13">
        <v>45245</v>
      </c>
      <c r="O1479">
        <v>0</v>
      </c>
      <c r="P1479">
        <v>0</v>
      </c>
      <c r="Q1479">
        <v>0</v>
      </c>
      <c r="R1479">
        <v>0</v>
      </c>
      <c r="S1479">
        <v>22153.822810674319</v>
      </c>
      <c r="T1479">
        <v>11681.132567158817</v>
      </c>
      <c r="U1479">
        <v>22429.906542056076</v>
      </c>
      <c r="V1479">
        <v>0</v>
      </c>
      <c r="W1479">
        <v>310280.37383177568</v>
      </c>
      <c r="X1479">
        <v>0</v>
      </c>
      <c r="Y1479">
        <v>366545.23575166491</v>
      </c>
      <c r="Z1479">
        <v>24107.398905869344</v>
      </c>
      <c r="AA1479">
        <v>390652.63465753425</v>
      </c>
      <c r="AB1479" t="s">
        <v>242</v>
      </c>
      <c r="AC1479">
        <v>9</v>
      </c>
      <c r="AD1479">
        <v>16500</v>
      </c>
      <c r="AE1479">
        <v>0</v>
      </c>
      <c r="AF1479">
        <v>0</v>
      </c>
      <c r="AG1479">
        <v>1014.0964212334624</v>
      </c>
      <c r="AH1479" t="s">
        <v>58</v>
      </c>
    </row>
    <row r="1480" spans="1:34" x14ac:dyDescent="0.3">
      <c r="A1480" t="s">
        <v>798</v>
      </c>
      <c r="B1480">
        <v>52200733</v>
      </c>
      <c r="C1480">
        <v>29713647</v>
      </c>
      <c r="D1480" t="s">
        <v>140</v>
      </c>
      <c r="E1480" t="s">
        <v>438</v>
      </c>
      <c r="F1480" t="s">
        <v>431</v>
      </c>
      <c r="G1480" t="s">
        <v>82</v>
      </c>
      <c r="H1480" t="s">
        <v>83</v>
      </c>
      <c r="J1480" t="s">
        <v>52</v>
      </c>
      <c r="K1480" s="15">
        <v>2500</v>
      </c>
      <c r="L1480" s="15">
        <v>0</v>
      </c>
      <c r="M1480" s="13">
        <v>45246</v>
      </c>
      <c r="O1480">
        <v>0</v>
      </c>
      <c r="P1480">
        <v>0</v>
      </c>
      <c r="Q1480">
        <v>0</v>
      </c>
      <c r="R1480">
        <v>834.44944842966549</v>
      </c>
      <c r="S1480">
        <v>2522.0098612806919</v>
      </c>
      <c r="T1480">
        <v>0</v>
      </c>
      <c r="U1480">
        <v>0</v>
      </c>
      <c r="V1480">
        <v>58878.504672897187</v>
      </c>
      <c r="W1480">
        <v>0</v>
      </c>
      <c r="X1480">
        <v>0</v>
      </c>
      <c r="Y1480">
        <v>62234.963982607544</v>
      </c>
      <c r="Z1480">
        <v>4298.0360173924519</v>
      </c>
      <c r="AA1480">
        <v>66533</v>
      </c>
      <c r="AB1480" t="s">
        <v>242</v>
      </c>
      <c r="AC1480">
        <v>6</v>
      </c>
      <c r="AD1480">
        <v>22337</v>
      </c>
      <c r="AE1480">
        <v>0</v>
      </c>
      <c r="AF1480">
        <v>0</v>
      </c>
      <c r="AG1480">
        <v>1441.4406181215663</v>
      </c>
      <c r="AH1480" t="s">
        <v>58</v>
      </c>
    </row>
    <row r="1481" spans="1:34" x14ac:dyDescent="0.3">
      <c r="A1481" t="s">
        <v>798</v>
      </c>
      <c r="B1481">
        <v>52201039</v>
      </c>
      <c r="C1481">
        <v>29379502</v>
      </c>
      <c r="D1481" t="s">
        <v>146</v>
      </c>
      <c r="E1481" t="s">
        <v>438</v>
      </c>
      <c r="F1481" t="s">
        <v>431</v>
      </c>
      <c r="G1481" t="s">
        <v>82</v>
      </c>
      <c r="H1481" t="s">
        <v>83</v>
      </c>
      <c r="J1481" t="s">
        <v>52</v>
      </c>
      <c r="K1481" s="15">
        <v>2500</v>
      </c>
      <c r="L1481" s="15">
        <v>0</v>
      </c>
      <c r="M1481" s="13">
        <v>45246</v>
      </c>
      <c r="O1481">
        <v>0</v>
      </c>
      <c r="P1481">
        <v>0</v>
      </c>
      <c r="Q1481">
        <v>0</v>
      </c>
      <c r="R1481">
        <v>856.83996931762158</v>
      </c>
      <c r="S1481">
        <v>14699.35372457045</v>
      </c>
      <c r="T1481">
        <v>0</v>
      </c>
      <c r="U1481">
        <v>0</v>
      </c>
      <c r="V1481">
        <v>49170.889355899591</v>
      </c>
      <c r="W1481">
        <v>0</v>
      </c>
      <c r="X1481">
        <v>0</v>
      </c>
      <c r="Y1481">
        <v>64727.08304978766</v>
      </c>
      <c r="Z1481">
        <v>4470.9170156329037</v>
      </c>
      <c r="AA1481">
        <v>69198.000065420565</v>
      </c>
      <c r="AB1481" t="s">
        <v>242</v>
      </c>
      <c r="AC1481">
        <v>5</v>
      </c>
      <c r="AD1481">
        <v>10000</v>
      </c>
      <c r="AE1481">
        <v>0</v>
      </c>
      <c r="AF1481">
        <v>0</v>
      </c>
      <c r="AG1481">
        <v>645.4942036002185</v>
      </c>
      <c r="AH1481" t="s">
        <v>58</v>
      </c>
    </row>
    <row r="1482" spans="1:34" x14ac:dyDescent="0.3">
      <c r="A1482" t="s">
        <v>798</v>
      </c>
      <c r="B1482">
        <v>52201220</v>
      </c>
      <c r="C1482">
        <v>25378599</v>
      </c>
      <c r="D1482" t="s">
        <v>150</v>
      </c>
      <c r="E1482" t="s">
        <v>438</v>
      </c>
      <c r="F1482" t="s">
        <v>431</v>
      </c>
      <c r="G1482" t="s">
        <v>82</v>
      </c>
      <c r="H1482" t="s">
        <v>83</v>
      </c>
      <c r="J1482" t="s">
        <v>52</v>
      </c>
      <c r="K1482" s="15">
        <v>1000</v>
      </c>
      <c r="L1482" s="15">
        <v>0</v>
      </c>
      <c r="M1482" s="13">
        <v>45246</v>
      </c>
      <c r="O1482">
        <v>0</v>
      </c>
      <c r="P1482">
        <v>0</v>
      </c>
      <c r="Q1482">
        <v>0</v>
      </c>
      <c r="R1482">
        <v>681.63101697135585</v>
      </c>
      <c r="S1482">
        <v>12764.206671979346</v>
      </c>
      <c r="T1482">
        <v>0</v>
      </c>
      <c r="U1482">
        <v>0</v>
      </c>
      <c r="V1482">
        <v>79718.38097920474</v>
      </c>
      <c r="W1482">
        <v>0</v>
      </c>
      <c r="X1482">
        <v>0</v>
      </c>
      <c r="Y1482">
        <v>93164.218668155445</v>
      </c>
      <c r="Z1482">
        <v>6473.7811355828871</v>
      </c>
      <c r="AA1482">
        <v>99637.999803738334</v>
      </c>
      <c r="AB1482" t="s">
        <v>242</v>
      </c>
      <c r="AC1482">
        <v>9</v>
      </c>
      <c r="AD1482">
        <v>15000</v>
      </c>
      <c r="AE1482">
        <v>0</v>
      </c>
      <c r="AF1482">
        <v>0</v>
      </c>
      <c r="AG1482">
        <v>974.08801045607004</v>
      </c>
      <c r="AH1482" t="s">
        <v>58</v>
      </c>
    </row>
    <row r="1483" spans="1:34" x14ac:dyDescent="0.3">
      <c r="A1483" t="s">
        <v>798</v>
      </c>
      <c r="B1483">
        <v>4142300303</v>
      </c>
      <c r="C1483">
        <v>10141651</v>
      </c>
      <c r="D1483" t="s">
        <v>286</v>
      </c>
      <c r="E1483" t="s">
        <v>445</v>
      </c>
      <c r="F1483" t="s">
        <v>430</v>
      </c>
      <c r="G1483" t="s">
        <v>237</v>
      </c>
      <c r="H1483" t="s">
        <v>234</v>
      </c>
      <c r="J1483" t="s">
        <v>425</v>
      </c>
      <c r="K1483" s="15">
        <v>404000</v>
      </c>
      <c r="L1483" s="15">
        <v>75</v>
      </c>
      <c r="M1483" s="13">
        <v>45247</v>
      </c>
      <c r="O1483">
        <v>75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230631.61682242993</v>
      </c>
      <c r="Y1483">
        <v>230706.61682242993</v>
      </c>
      <c r="Z1483">
        <v>16144.213177570096</v>
      </c>
      <c r="AA1483">
        <v>246850.83000000002</v>
      </c>
      <c r="AB1483" t="s">
        <v>242</v>
      </c>
      <c r="AC1483">
        <v>0</v>
      </c>
      <c r="AD1483">
        <v>0</v>
      </c>
      <c r="AE1483">
        <v>0</v>
      </c>
      <c r="AF1483">
        <v>432280</v>
      </c>
      <c r="AG1483">
        <v>28280</v>
      </c>
      <c r="AH1483" t="s">
        <v>72</v>
      </c>
    </row>
    <row r="1484" spans="1:34" x14ac:dyDescent="0.3">
      <c r="A1484" t="s">
        <v>798</v>
      </c>
      <c r="B1484">
        <v>4142301080</v>
      </c>
      <c r="C1484">
        <v>10612802</v>
      </c>
      <c r="D1484" t="s">
        <v>287</v>
      </c>
      <c r="E1484" t="s">
        <v>445</v>
      </c>
      <c r="F1484" t="s">
        <v>430</v>
      </c>
      <c r="G1484" t="s">
        <v>237</v>
      </c>
      <c r="H1484" t="s">
        <v>234</v>
      </c>
      <c r="J1484" t="s">
        <v>425</v>
      </c>
      <c r="K1484" s="15">
        <v>410000</v>
      </c>
      <c r="L1484" s="15">
        <v>70</v>
      </c>
      <c r="M1484" s="13">
        <v>45247</v>
      </c>
      <c r="O1484">
        <v>70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461239.07476635522</v>
      </c>
      <c r="Y1484">
        <v>461309.07476635522</v>
      </c>
      <c r="Z1484">
        <v>32286.735233644868</v>
      </c>
      <c r="AA1484">
        <v>493595.81000000006</v>
      </c>
      <c r="AB1484" t="s">
        <v>242</v>
      </c>
      <c r="AC1484">
        <v>0</v>
      </c>
      <c r="AD1484">
        <v>0</v>
      </c>
      <c r="AE1484">
        <v>0</v>
      </c>
      <c r="AF1484">
        <v>438700</v>
      </c>
      <c r="AG1484">
        <v>28700</v>
      </c>
      <c r="AH1484" t="s">
        <v>72</v>
      </c>
    </row>
    <row r="1485" spans="1:34" x14ac:dyDescent="0.3">
      <c r="A1485" t="s">
        <v>798</v>
      </c>
      <c r="B1485">
        <v>4332300005</v>
      </c>
      <c r="C1485">
        <v>1050252961</v>
      </c>
      <c r="D1485" t="s">
        <v>288</v>
      </c>
      <c r="E1485" t="s">
        <v>441</v>
      </c>
      <c r="F1485" t="s">
        <v>433</v>
      </c>
      <c r="G1485" t="s">
        <v>326</v>
      </c>
      <c r="H1485" t="s">
        <v>236</v>
      </c>
      <c r="J1485" t="s">
        <v>425</v>
      </c>
      <c r="K1485" s="15">
        <v>100000</v>
      </c>
      <c r="L1485" s="15">
        <v>2593</v>
      </c>
      <c r="M1485" s="13">
        <v>45247</v>
      </c>
      <c r="O1485">
        <v>0</v>
      </c>
      <c r="P1485">
        <v>0</v>
      </c>
      <c r="Q1485">
        <v>0</v>
      </c>
      <c r="R1485">
        <v>0</v>
      </c>
      <c r="S1485">
        <v>252714.65857535758</v>
      </c>
      <c r="T1485">
        <v>0</v>
      </c>
      <c r="U1485">
        <v>0</v>
      </c>
      <c r="V1485">
        <v>510155.73175264255</v>
      </c>
      <c r="W1485">
        <v>0</v>
      </c>
      <c r="X1485">
        <v>0</v>
      </c>
      <c r="Y1485">
        <v>762870.39032800007</v>
      </c>
      <c r="Z1485">
        <v>35710.901222684981</v>
      </c>
      <c r="AA1485">
        <v>798581.29155068507</v>
      </c>
      <c r="AB1485" t="s">
        <v>242</v>
      </c>
      <c r="AC1485">
        <v>1</v>
      </c>
      <c r="AD1485">
        <v>97407</v>
      </c>
      <c r="AE1485">
        <v>0</v>
      </c>
      <c r="AF1485">
        <v>0</v>
      </c>
      <c r="AG1485">
        <v>4249.6154128290509</v>
      </c>
      <c r="AH1485" t="s">
        <v>72</v>
      </c>
    </row>
    <row r="1486" spans="1:34" x14ac:dyDescent="0.3">
      <c r="A1486" t="s">
        <v>798</v>
      </c>
      <c r="B1486">
        <v>42201075</v>
      </c>
      <c r="C1486">
        <v>2759026295</v>
      </c>
      <c r="D1486" t="s">
        <v>828</v>
      </c>
      <c r="E1486" t="s">
        <v>439</v>
      </c>
      <c r="F1486" t="s">
        <v>430</v>
      </c>
      <c r="G1486" t="s">
        <v>233</v>
      </c>
      <c r="H1486" t="s">
        <v>234</v>
      </c>
      <c r="J1486" t="s">
        <v>52</v>
      </c>
      <c r="K1486" s="15">
        <v>66773.95</v>
      </c>
      <c r="L1486" s="15">
        <v>0</v>
      </c>
      <c r="M1486" s="13">
        <v>45248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172260.93457943926</v>
      </c>
      <c r="Y1486">
        <v>172260.93457943926</v>
      </c>
      <c r="Z1486">
        <v>12058.265420560749</v>
      </c>
      <c r="AA1486">
        <v>184319.2</v>
      </c>
      <c r="AB1486" t="s">
        <v>242</v>
      </c>
      <c r="AC1486">
        <v>1</v>
      </c>
      <c r="AD1486">
        <v>66773.95</v>
      </c>
      <c r="AE1486">
        <v>0</v>
      </c>
      <c r="AF1486">
        <v>0</v>
      </c>
      <c r="AG1486">
        <v>4368.3892523364484</v>
      </c>
      <c r="AH1486" t="s">
        <v>72</v>
      </c>
    </row>
    <row r="1487" spans="1:34" x14ac:dyDescent="0.3">
      <c r="A1487" t="s">
        <v>798</v>
      </c>
      <c r="B1487">
        <v>52200619</v>
      </c>
      <c r="C1487">
        <v>6102060118</v>
      </c>
      <c r="D1487" t="s">
        <v>138</v>
      </c>
      <c r="E1487" t="s">
        <v>437</v>
      </c>
      <c r="F1487" t="s">
        <v>431</v>
      </c>
      <c r="G1487" t="s">
        <v>82</v>
      </c>
      <c r="H1487" t="s">
        <v>83</v>
      </c>
      <c r="J1487" t="s">
        <v>52</v>
      </c>
      <c r="K1487" s="15">
        <v>800</v>
      </c>
      <c r="L1487" s="15">
        <v>0</v>
      </c>
      <c r="M1487" s="13">
        <v>45248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9005.7757009345805</v>
      </c>
      <c r="W1487">
        <v>0</v>
      </c>
      <c r="X1487">
        <v>0</v>
      </c>
      <c r="Y1487">
        <v>9005.7757009345805</v>
      </c>
      <c r="Z1487">
        <v>630.40429906542067</v>
      </c>
      <c r="AA1487">
        <v>9636.18</v>
      </c>
      <c r="AB1487" t="s">
        <v>242</v>
      </c>
      <c r="AC1487">
        <v>13</v>
      </c>
      <c r="AD1487">
        <v>8300</v>
      </c>
      <c r="AE1487">
        <v>0</v>
      </c>
      <c r="AF1487">
        <v>0</v>
      </c>
      <c r="AG1487">
        <v>542.99065420560748</v>
      </c>
      <c r="AH1487" t="s">
        <v>58</v>
      </c>
    </row>
    <row r="1488" spans="1:34" x14ac:dyDescent="0.3">
      <c r="A1488" t="s">
        <v>798</v>
      </c>
      <c r="B1488">
        <v>12200035</v>
      </c>
      <c r="C1488" t="s">
        <v>632</v>
      </c>
      <c r="D1488" t="s">
        <v>631</v>
      </c>
      <c r="E1488" t="s">
        <v>435</v>
      </c>
      <c r="F1488" t="s">
        <v>427</v>
      </c>
      <c r="G1488" t="s">
        <v>230</v>
      </c>
      <c r="H1488" t="s">
        <v>230</v>
      </c>
      <c r="J1488" t="s">
        <v>52</v>
      </c>
      <c r="K1488" s="15">
        <v>1500</v>
      </c>
      <c r="M1488" s="13">
        <v>45248</v>
      </c>
      <c r="O1488">
        <v>0</v>
      </c>
      <c r="P1488">
        <v>0</v>
      </c>
      <c r="Q1488">
        <v>0</v>
      </c>
      <c r="R1488">
        <v>0</v>
      </c>
      <c r="S1488">
        <v>64599.029999999984</v>
      </c>
      <c r="T1488">
        <v>0</v>
      </c>
      <c r="U1488">
        <v>0</v>
      </c>
      <c r="V1488">
        <v>79907.710000000006</v>
      </c>
      <c r="W1488">
        <v>0</v>
      </c>
      <c r="X1488">
        <v>0</v>
      </c>
      <c r="Y1488">
        <v>144506.74</v>
      </c>
      <c r="Z1488">
        <v>0</v>
      </c>
      <c r="AA1488">
        <v>144506.74</v>
      </c>
      <c r="AB1488" t="s">
        <v>242</v>
      </c>
      <c r="AC1488">
        <v>9</v>
      </c>
      <c r="AD1488">
        <v>13500</v>
      </c>
      <c r="AE1488">
        <v>0</v>
      </c>
      <c r="AF1488">
        <v>0</v>
      </c>
      <c r="AG1488">
        <v>0</v>
      </c>
      <c r="AH1488" t="s">
        <v>58</v>
      </c>
    </row>
    <row r="1489" spans="1:34" x14ac:dyDescent="0.3">
      <c r="A1489" t="s">
        <v>798</v>
      </c>
      <c r="B1489">
        <v>52201065</v>
      </c>
      <c r="C1489">
        <v>26216751</v>
      </c>
      <c r="D1489" t="s">
        <v>148</v>
      </c>
      <c r="E1489" t="s">
        <v>438</v>
      </c>
      <c r="F1489" t="s">
        <v>431</v>
      </c>
      <c r="G1489" t="s">
        <v>82</v>
      </c>
      <c r="H1489" t="s">
        <v>83</v>
      </c>
      <c r="J1489" t="s">
        <v>52</v>
      </c>
      <c r="K1489" s="15">
        <v>3500</v>
      </c>
      <c r="L1489" s="15">
        <v>0</v>
      </c>
      <c r="M1489" s="13">
        <v>45250</v>
      </c>
      <c r="O1489">
        <v>0</v>
      </c>
      <c r="P1489">
        <v>0</v>
      </c>
      <c r="Q1489">
        <v>0</v>
      </c>
      <c r="R1489">
        <v>934.55557806722175</v>
      </c>
      <c r="S1489">
        <v>18411.774272125924</v>
      </c>
      <c r="T1489">
        <v>0</v>
      </c>
      <c r="U1489">
        <v>0</v>
      </c>
      <c r="V1489">
        <v>43621.351324133189</v>
      </c>
      <c r="W1489">
        <v>0</v>
      </c>
      <c r="X1489">
        <v>0</v>
      </c>
      <c r="Y1489">
        <v>62967.681174326339</v>
      </c>
      <c r="Z1489">
        <v>4342.3187917381383</v>
      </c>
      <c r="AA1489">
        <v>67309.999966064483</v>
      </c>
      <c r="AB1489" t="s">
        <v>242</v>
      </c>
      <c r="AC1489">
        <v>2</v>
      </c>
      <c r="AD1489">
        <v>7000</v>
      </c>
      <c r="AE1489">
        <v>0</v>
      </c>
      <c r="AF1489">
        <v>0</v>
      </c>
      <c r="AG1489">
        <v>451.11111258383698</v>
      </c>
      <c r="AH1489" t="s">
        <v>58</v>
      </c>
    </row>
    <row r="1490" spans="1:34" x14ac:dyDescent="0.3">
      <c r="A1490" t="s">
        <v>798</v>
      </c>
      <c r="B1490">
        <v>52201541</v>
      </c>
      <c r="C1490">
        <v>28683740</v>
      </c>
      <c r="D1490" t="s">
        <v>160</v>
      </c>
      <c r="E1490" t="s">
        <v>438</v>
      </c>
      <c r="F1490" t="s">
        <v>431</v>
      </c>
      <c r="G1490" t="s">
        <v>82</v>
      </c>
      <c r="H1490" t="s">
        <v>83</v>
      </c>
      <c r="J1490" t="s">
        <v>52</v>
      </c>
      <c r="K1490" s="15">
        <v>2000</v>
      </c>
      <c r="L1490" s="15">
        <v>0</v>
      </c>
      <c r="M1490" s="13">
        <v>45250</v>
      </c>
      <c r="O1490">
        <v>0</v>
      </c>
      <c r="P1490">
        <v>0</v>
      </c>
      <c r="Q1490">
        <v>0</v>
      </c>
      <c r="R1490">
        <v>1024.6187130390135</v>
      </c>
      <c r="S1490">
        <v>10131.212049677022</v>
      </c>
      <c r="T1490">
        <v>0</v>
      </c>
      <c r="U1490">
        <v>0</v>
      </c>
      <c r="V1490">
        <v>84588.770761090957</v>
      </c>
      <c r="W1490">
        <v>0</v>
      </c>
      <c r="X1490">
        <v>0</v>
      </c>
      <c r="Y1490">
        <v>95744.601523806996</v>
      </c>
      <c r="Z1490">
        <v>6630.3987967537587</v>
      </c>
      <c r="AA1490">
        <v>102375.00032056075</v>
      </c>
      <c r="AB1490" t="s">
        <v>242</v>
      </c>
      <c r="AC1490">
        <v>3</v>
      </c>
      <c r="AD1490">
        <v>6000</v>
      </c>
      <c r="AE1490">
        <v>0</v>
      </c>
      <c r="AF1490">
        <v>0</v>
      </c>
      <c r="AG1490">
        <v>388.31150459133733</v>
      </c>
      <c r="AH1490" t="s">
        <v>58</v>
      </c>
    </row>
    <row r="1491" spans="1:34" x14ac:dyDescent="0.3">
      <c r="A1491" t="s">
        <v>798</v>
      </c>
      <c r="B1491">
        <v>4142300097</v>
      </c>
      <c r="C1491">
        <v>82365</v>
      </c>
      <c r="D1491" t="s">
        <v>187</v>
      </c>
      <c r="E1491" t="s">
        <v>444</v>
      </c>
      <c r="F1491" t="s">
        <v>430</v>
      </c>
      <c r="G1491" t="s">
        <v>230</v>
      </c>
      <c r="H1491" t="s">
        <v>231</v>
      </c>
      <c r="J1491" t="s">
        <v>52</v>
      </c>
      <c r="K1491" s="15">
        <v>6000</v>
      </c>
      <c r="L1491" s="15">
        <v>0</v>
      </c>
      <c r="M1491" s="13">
        <v>45250</v>
      </c>
      <c r="O1491">
        <v>0</v>
      </c>
      <c r="P1491">
        <v>3596.0687430376438</v>
      </c>
      <c r="Q1491">
        <v>0</v>
      </c>
      <c r="R1491">
        <v>0</v>
      </c>
      <c r="S1491">
        <v>0</v>
      </c>
      <c r="T1491">
        <v>0</v>
      </c>
      <c r="U1491">
        <v>2595.5712681891191</v>
      </c>
      <c r="V1491">
        <v>0</v>
      </c>
      <c r="W1491">
        <v>71222.429906542064</v>
      </c>
      <c r="X1491">
        <v>0</v>
      </c>
      <c r="Y1491">
        <v>77414.069917768822</v>
      </c>
      <c r="Z1491">
        <v>5167.2600822311833</v>
      </c>
      <c r="AA1491">
        <v>82581.33</v>
      </c>
      <c r="AB1491" t="s">
        <v>242</v>
      </c>
      <c r="AC1491">
        <v>3</v>
      </c>
      <c r="AD1491">
        <v>18000</v>
      </c>
      <c r="AE1491">
        <v>0</v>
      </c>
      <c r="AF1491">
        <v>0</v>
      </c>
      <c r="AG1491">
        <v>1122.3596373949867</v>
      </c>
      <c r="AH1491" t="s">
        <v>58</v>
      </c>
    </row>
    <row r="1492" spans="1:34" x14ac:dyDescent="0.3">
      <c r="A1492" t="s">
        <v>798</v>
      </c>
      <c r="B1492">
        <v>4142300416</v>
      </c>
      <c r="C1492">
        <v>10179898</v>
      </c>
      <c r="D1492" t="s">
        <v>198</v>
      </c>
      <c r="E1492" t="s">
        <v>445</v>
      </c>
      <c r="F1492" t="s">
        <v>430</v>
      </c>
      <c r="G1492" t="s">
        <v>230</v>
      </c>
      <c r="H1492" t="s">
        <v>234</v>
      </c>
      <c r="J1492" t="s">
        <v>52</v>
      </c>
      <c r="K1492" s="15">
        <v>4000</v>
      </c>
      <c r="L1492" s="15">
        <v>0</v>
      </c>
      <c r="M1492" s="13">
        <v>45250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319585.97196261684</v>
      </c>
      <c r="Y1492">
        <v>319585.97196261684</v>
      </c>
      <c r="Z1492">
        <v>22371.018037383179</v>
      </c>
      <c r="AA1492">
        <v>341956.99</v>
      </c>
      <c r="AB1492" t="s">
        <v>242</v>
      </c>
      <c r="AC1492">
        <v>8</v>
      </c>
      <c r="AD1492">
        <v>34800</v>
      </c>
      <c r="AE1492">
        <v>0</v>
      </c>
      <c r="AF1492">
        <v>0</v>
      </c>
      <c r="AG1492">
        <v>2276.6355140186915</v>
      </c>
      <c r="AH1492" t="s">
        <v>58</v>
      </c>
    </row>
    <row r="1493" spans="1:34" x14ac:dyDescent="0.3">
      <c r="A1493" t="s">
        <v>798</v>
      </c>
      <c r="B1493">
        <v>4142301025</v>
      </c>
      <c r="C1493">
        <v>10501272</v>
      </c>
      <c r="D1493" t="s">
        <v>215</v>
      </c>
      <c r="E1493" t="s">
        <v>445</v>
      </c>
      <c r="F1493" t="s">
        <v>430</v>
      </c>
      <c r="G1493" t="s">
        <v>230</v>
      </c>
      <c r="H1493" t="s">
        <v>234</v>
      </c>
      <c r="J1493" t="s">
        <v>52</v>
      </c>
      <c r="K1493" s="15">
        <v>6000</v>
      </c>
      <c r="L1493" s="15">
        <v>0</v>
      </c>
      <c r="M1493" s="13">
        <v>45250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559265.26168224285</v>
      </c>
      <c r="Y1493">
        <v>559265.26168224285</v>
      </c>
      <c r="Z1493">
        <v>39148.568317757003</v>
      </c>
      <c r="AA1493">
        <v>598413.82999999984</v>
      </c>
      <c r="AB1493" t="s">
        <v>242</v>
      </c>
      <c r="AC1493">
        <v>3</v>
      </c>
      <c r="AD1493">
        <v>49500</v>
      </c>
      <c r="AE1493">
        <v>0</v>
      </c>
      <c r="AF1493">
        <v>0</v>
      </c>
      <c r="AG1493">
        <v>3238.3177570093449</v>
      </c>
      <c r="AH1493" t="s">
        <v>58</v>
      </c>
    </row>
    <row r="1494" spans="1:34" x14ac:dyDescent="0.3">
      <c r="A1494" t="s">
        <v>798</v>
      </c>
      <c r="B1494">
        <v>12200153</v>
      </c>
      <c r="C1494">
        <v>19444639</v>
      </c>
      <c r="D1494" t="s">
        <v>114</v>
      </c>
      <c r="E1494" t="s">
        <v>438</v>
      </c>
      <c r="F1494" t="s">
        <v>427</v>
      </c>
      <c r="G1494" t="s">
        <v>82</v>
      </c>
      <c r="H1494" t="s">
        <v>82</v>
      </c>
      <c r="J1494" t="s">
        <v>52</v>
      </c>
      <c r="K1494" s="15">
        <v>2500</v>
      </c>
      <c r="L1494" s="15">
        <v>0</v>
      </c>
      <c r="M1494" s="13">
        <v>45251</v>
      </c>
      <c r="O1494">
        <v>0</v>
      </c>
      <c r="P1494">
        <v>0</v>
      </c>
      <c r="Q1494">
        <v>0</v>
      </c>
      <c r="R1494">
        <v>0</v>
      </c>
      <c r="S1494">
        <v>5216.3348539576109</v>
      </c>
      <c r="T1494">
        <v>0</v>
      </c>
      <c r="U1494">
        <v>0</v>
      </c>
      <c r="V1494">
        <v>128346.39254936486</v>
      </c>
      <c r="W1494">
        <v>0</v>
      </c>
      <c r="X1494">
        <v>0</v>
      </c>
      <c r="Y1494">
        <v>133562.72740332247</v>
      </c>
      <c r="Z1494">
        <v>0</v>
      </c>
      <c r="AA1494">
        <v>133562.72740332247</v>
      </c>
      <c r="AB1494" t="s">
        <v>242</v>
      </c>
      <c r="AC1494">
        <v>6</v>
      </c>
      <c r="AD1494">
        <v>40990</v>
      </c>
      <c r="AE1494">
        <v>0</v>
      </c>
      <c r="AF1494">
        <v>0</v>
      </c>
      <c r="AG1494">
        <v>0</v>
      </c>
      <c r="AH1494" t="s">
        <v>58</v>
      </c>
    </row>
    <row r="1495" spans="1:34" x14ac:dyDescent="0.3">
      <c r="A1495" t="s">
        <v>798</v>
      </c>
      <c r="B1495">
        <v>52201351</v>
      </c>
      <c r="C1495">
        <v>22940816</v>
      </c>
      <c r="D1495" t="s">
        <v>155</v>
      </c>
      <c r="E1495" t="s">
        <v>438</v>
      </c>
      <c r="F1495" t="s">
        <v>431</v>
      </c>
      <c r="G1495" t="s">
        <v>82</v>
      </c>
      <c r="H1495" t="s">
        <v>83</v>
      </c>
      <c r="J1495" t="s">
        <v>52</v>
      </c>
      <c r="K1495" s="15">
        <v>500</v>
      </c>
      <c r="L1495" s="15">
        <v>0</v>
      </c>
      <c r="M1495" s="13">
        <v>45251</v>
      </c>
      <c r="O1495">
        <v>0</v>
      </c>
      <c r="P1495">
        <v>0</v>
      </c>
      <c r="Q1495">
        <v>0</v>
      </c>
      <c r="R1495">
        <v>826.97391721141719</v>
      </c>
      <c r="S1495">
        <v>23776.825167767336</v>
      </c>
      <c r="T1495">
        <v>0</v>
      </c>
      <c r="U1495">
        <v>0</v>
      </c>
      <c r="V1495">
        <v>73829.741339665459</v>
      </c>
      <c r="W1495">
        <v>0</v>
      </c>
      <c r="X1495">
        <v>0</v>
      </c>
      <c r="Y1495">
        <v>98433.540424644219</v>
      </c>
      <c r="Z1495">
        <v>6832.459655520297</v>
      </c>
      <c r="AA1495">
        <v>105266.00008016452</v>
      </c>
      <c r="AB1495" t="s">
        <v>242</v>
      </c>
      <c r="AC1495">
        <v>10</v>
      </c>
      <c r="AD1495">
        <v>7600</v>
      </c>
      <c r="AE1495">
        <v>0</v>
      </c>
      <c r="AF1495">
        <v>0</v>
      </c>
      <c r="AG1495">
        <v>493.00763944373779</v>
      </c>
      <c r="AH1495" t="s">
        <v>58</v>
      </c>
    </row>
    <row r="1496" spans="1:34" x14ac:dyDescent="0.3">
      <c r="A1496" t="s">
        <v>798</v>
      </c>
      <c r="B1496">
        <v>4132300375</v>
      </c>
      <c r="C1496">
        <v>1010227956</v>
      </c>
      <c r="D1496" t="s">
        <v>175</v>
      </c>
      <c r="E1496" t="s">
        <v>441</v>
      </c>
      <c r="F1496" t="s">
        <v>430</v>
      </c>
      <c r="G1496" t="s">
        <v>233</v>
      </c>
      <c r="H1496" t="s">
        <v>231</v>
      </c>
      <c r="J1496" t="s">
        <v>52</v>
      </c>
      <c r="K1496" s="15">
        <v>2000</v>
      </c>
      <c r="L1496" s="15">
        <v>0</v>
      </c>
      <c r="M1496" s="13">
        <v>45251</v>
      </c>
      <c r="O1496">
        <v>0</v>
      </c>
      <c r="P1496">
        <v>0</v>
      </c>
      <c r="Q1496">
        <v>0</v>
      </c>
      <c r="R1496">
        <v>0</v>
      </c>
      <c r="S1496">
        <v>13533.590222807939</v>
      </c>
      <c r="T1496">
        <v>3592.9511424276079</v>
      </c>
      <c r="U1496">
        <v>0</v>
      </c>
      <c r="V1496">
        <v>0</v>
      </c>
      <c r="W1496">
        <v>0</v>
      </c>
      <c r="X1496">
        <v>0</v>
      </c>
      <c r="Y1496">
        <v>17126.541365235549</v>
      </c>
      <c r="Z1496">
        <v>251.50657996993257</v>
      </c>
      <c r="AA1496">
        <v>17378.047945205482</v>
      </c>
      <c r="AB1496" t="s">
        <v>242</v>
      </c>
      <c r="AC1496">
        <v>4</v>
      </c>
      <c r="AD1496">
        <v>8000</v>
      </c>
      <c r="AE1496">
        <v>0</v>
      </c>
      <c r="AF1496">
        <v>0</v>
      </c>
      <c r="AG1496">
        <v>108.30650414221702</v>
      </c>
      <c r="AH1496" t="s">
        <v>58</v>
      </c>
    </row>
    <row r="1497" spans="1:34" x14ac:dyDescent="0.3">
      <c r="A1497" t="s">
        <v>798</v>
      </c>
      <c r="B1497">
        <v>4142300653</v>
      </c>
      <c r="C1497">
        <v>10280769</v>
      </c>
      <c r="D1497" t="s">
        <v>204</v>
      </c>
      <c r="E1497" t="s">
        <v>445</v>
      </c>
      <c r="F1497" t="s">
        <v>430</v>
      </c>
      <c r="G1497" t="s">
        <v>230</v>
      </c>
      <c r="H1497" t="s">
        <v>234</v>
      </c>
      <c r="J1497" t="s">
        <v>52</v>
      </c>
      <c r="K1497" s="15">
        <v>15000</v>
      </c>
      <c r="L1497" s="15">
        <v>0</v>
      </c>
      <c r="M1497" s="13">
        <v>45251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839750.45794392528</v>
      </c>
      <c r="Y1497">
        <v>839750.45794392528</v>
      </c>
      <c r="Z1497">
        <v>58782.532056074779</v>
      </c>
      <c r="AA1497">
        <v>898532.99000000011</v>
      </c>
      <c r="AB1497" t="s">
        <v>242</v>
      </c>
      <c r="AC1497">
        <v>4</v>
      </c>
      <c r="AD1497">
        <v>60000</v>
      </c>
      <c r="AE1497">
        <v>0</v>
      </c>
      <c r="AF1497">
        <v>0</v>
      </c>
      <c r="AG1497">
        <v>3925.2336448598144</v>
      </c>
      <c r="AH1497" t="s">
        <v>58</v>
      </c>
    </row>
    <row r="1498" spans="1:34" x14ac:dyDescent="0.3">
      <c r="A1498" t="s">
        <v>798</v>
      </c>
      <c r="B1498">
        <v>4142300315</v>
      </c>
      <c r="C1498">
        <v>10137121</v>
      </c>
      <c r="D1498" t="s">
        <v>197</v>
      </c>
      <c r="E1498" t="s">
        <v>445</v>
      </c>
      <c r="F1498" t="s">
        <v>430</v>
      </c>
      <c r="G1498" t="s">
        <v>230</v>
      </c>
      <c r="H1498" t="s">
        <v>234</v>
      </c>
      <c r="J1498" t="s">
        <v>52</v>
      </c>
      <c r="K1498" s="15">
        <v>20000</v>
      </c>
      <c r="L1498" s="15">
        <v>0</v>
      </c>
      <c r="M1498" s="13">
        <v>45252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1187510.2803738317</v>
      </c>
      <c r="Y1498">
        <v>1187510.2803738317</v>
      </c>
      <c r="Z1498">
        <v>83125.719626168226</v>
      </c>
      <c r="AA1498">
        <v>1270636</v>
      </c>
      <c r="AB1498" t="s">
        <v>242</v>
      </c>
      <c r="AC1498">
        <v>1</v>
      </c>
      <c r="AD1498">
        <v>20000</v>
      </c>
      <c r="AE1498">
        <v>0</v>
      </c>
      <c r="AF1498">
        <v>0</v>
      </c>
      <c r="AG1498">
        <v>1308.4112149532702</v>
      </c>
      <c r="AH1498" t="s">
        <v>72</v>
      </c>
    </row>
    <row r="1499" spans="1:34" x14ac:dyDescent="0.3">
      <c r="A1499" t="s">
        <v>798</v>
      </c>
      <c r="B1499">
        <v>4142300332</v>
      </c>
      <c r="C1499" t="s">
        <v>487</v>
      </c>
      <c r="D1499" t="s">
        <v>559</v>
      </c>
      <c r="E1499" t="s">
        <v>445</v>
      </c>
      <c r="F1499" t="s">
        <v>430</v>
      </c>
      <c r="G1499" t="s">
        <v>230</v>
      </c>
      <c r="H1499" t="s">
        <v>234</v>
      </c>
      <c r="J1499" t="s">
        <v>416</v>
      </c>
      <c r="K1499" s="15">
        <v>3.5061832433662565E-2</v>
      </c>
      <c r="L1499" s="15">
        <v>0</v>
      </c>
      <c r="M1499" s="13">
        <v>45252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1121495.3271028036</v>
      </c>
      <c r="Y1499">
        <v>1121495.3271028036</v>
      </c>
      <c r="Z1499">
        <v>78504.672897196258</v>
      </c>
      <c r="AA1499">
        <v>1200000</v>
      </c>
      <c r="AB1499" t="s">
        <v>242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 t="s">
        <v>72</v>
      </c>
    </row>
    <row r="1500" spans="1:34" x14ac:dyDescent="0.3">
      <c r="A1500" t="s">
        <v>798</v>
      </c>
      <c r="B1500">
        <v>4142300332</v>
      </c>
      <c r="C1500" t="s">
        <v>487</v>
      </c>
      <c r="D1500" t="s">
        <v>559</v>
      </c>
      <c r="E1500" t="s">
        <v>445</v>
      </c>
      <c r="F1500" t="s">
        <v>430</v>
      </c>
      <c r="G1500" t="s">
        <v>421</v>
      </c>
      <c r="H1500" t="s">
        <v>234</v>
      </c>
      <c r="J1500" t="s">
        <v>52</v>
      </c>
      <c r="K1500" s="15">
        <v>1200000</v>
      </c>
      <c r="L1500" s="15">
        <v>0</v>
      </c>
      <c r="M1500" s="13">
        <v>45252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 t="s">
        <v>242</v>
      </c>
      <c r="AC1500">
        <v>1</v>
      </c>
      <c r="AD1500">
        <v>1200000</v>
      </c>
      <c r="AE1500">
        <v>0</v>
      </c>
      <c r="AF1500">
        <v>0</v>
      </c>
      <c r="AG1500">
        <v>78504.672897196375</v>
      </c>
      <c r="AH1500" t="s">
        <v>58</v>
      </c>
    </row>
    <row r="1501" spans="1:34" x14ac:dyDescent="0.3">
      <c r="A1501" t="s">
        <v>798</v>
      </c>
      <c r="B1501">
        <v>4142300106</v>
      </c>
      <c r="C1501" t="s">
        <v>474</v>
      </c>
      <c r="D1501" t="s">
        <v>547</v>
      </c>
      <c r="E1501" t="s">
        <v>444</v>
      </c>
      <c r="F1501" t="s">
        <v>430</v>
      </c>
      <c r="G1501" t="s">
        <v>421</v>
      </c>
      <c r="H1501" t="s">
        <v>231</v>
      </c>
      <c r="J1501" t="s">
        <v>52</v>
      </c>
      <c r="K1501" s="15">
        <v>160000</v>
      </c>
      <c r="L1501" s="15">
        <v>0</v>
      </c>
      <c r="M1501" s="13">
        <v>45253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 t="s">
        <v>242</v>
      </c>
      <c r="AC1501">
        <v>1</v>
      </c>
      <c r="AD1501">
        <v>160000</v>
      </c>
      <c r="AE1501">
        <v>0</v>
      </c>
      <c r="AF1501">
        <v>0</v>
      </c>
      <c r="AG1501">
        <v>10251.931851412694</v>
      </c>
      <c r="AH1501" t="s">
        <v>58</v>
      </c>
    </row>
    <row r="1502" spans="1:34" x14ac:dyDescent="0.3">
      <c r="A1502" t="s">
        <v>798</v>
      </c>
      <c r="B1502">
        <v>4132300183</v>
      </c>
      <c r="C1502">
        <v>9090013006</v>
      </c>
      <c r="D1502" s="38" t="s">
        <v>281</v>
      </c>
      <c r="E1502" t="s">
        <v>441</v>
      </c>
      <c r="F1502" t="s">
        <v>430</v>
      </c>
      <c r="G1502" t="s">
        <v>326</v>
      </c>
      <c r="H1502" t="s">
        <v>236</v>
      </c>
      <c r="J1502" s="37" t="s">
        <v>425</v>
      </c>
      <c r="K1502">
        <v>155000</v>
      </c>
      <c r="L1502" s="15">
        <v>54</v>
      </c>
      <c r="M1502" s="13">
        <v>45254</v>
      </c>
      <c r="O1502">
        <v>0</v>
      </c>
      <c r="P1502">
        <v>0</v>
      </c>
      <c r="Q1502">
        <v>0</v>
      </c>
      <c r="R1502">
        <v>0</v>
      </c>
      <c r="S1502">
        <v>60269.37840755783</v>
      </c>
      <c r="T1502">
        <v>0</v>
      </c>
      <c r="U1502">
        <v>0</v>
      </c>
      <c r="V1502">
        <v>123753.13501790138</v>
      </c>
      <c r="W1502">
        <v>0</v>
      </c>
      <c r="X1502">
        <v>0</v>
      </c>
      <c r="Y1502">
        <v>184022.51342545921</v>
      </c>
      <c r="Z1502">
        <v>8662.7194512530968</v>
      </c>
      <c r="AA1502">
        <v>192685.23287671231</v>
      </c>
      <c r="AB1502" t="s">
        <v>242</v>
      </c>
      <c r="AC1502">
        <v>2</v>
      </c>
      <c r="AD1502">
        <v>159946</v>
      </c>
      <c r="AE1502">
        <v>0</v>
      </c>
      <c r="AF1502">
        <v>0</v>
      </c>
      <c r="AG1502">
        <v>6907.3740066908213</v>
      </c>
      <c r="AH1502" t="s">
        <v>58</v>
      </c>
    </row>
    <row r="1503" spans="1:34" x14ac:dyDescent="0.3">
      <c r="A1503" t="s">
        <v>798</v>
      </c>
      <c r="B1503">
        <v>4142300171</v>
      </c>
      <c r="C1503">
        <v>10056093</v>
      </c>
      <c r="D1503" t="s">
        <v>289</v>
      </c>
      <c r="E1503" t="s">
        <v>445</v>
      </c>
      <c r="F1503" t="s">
        <v>430</v>
      </c>
      <c r="G1503" t="s">
        <v>237</v>
      </c>
      <c r="H1503" t="s">
        <v>234</v>
      </c>
      <c r="J1503" t="s">
        <v>425</v>
      </c>
      <c r="K1503" s="15">
        <v>25000</v>
      </c>
      <c r="L1503" s="15">
        <v>88</v>
      </c>
      <c r="M1503" s="13">
        <v>45254</v>
      </c>
      <c r="O1503">
        <v>88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69262.96261682242</v>
      </c>
      <c r="Y1503">
        <v>69350.96261682242</v>
      </c>
      <c r="Z1503">
        <v>4848.4073831775695</v>
      </c>
      <c r="AA1503">
        <v>74199.37</v>
      </c>
      <c r="AB1503" t="s">
        <v>242</v>
      </c>
      <c r="AC1503">
        <v>0</v>
      </c>
      <c r="AD1503">
        <v>0</v>
      </c>
      <c r="AE1503">
        <v>0</v>
      </c>
      <c r="AF1503">
        <v>26750</v>
      </c>
      <c r="AG1503">
        <v>1750</v>
      </c>
      <c r="AH1503" t="s">
        <v>72</v>
      </c>
    </row>
    <row r="1504" spans="1:34" x14ac:dyDescent="0.3">
      <c r="A1504" t="s">
        <v>798</v>
      </c>
      <c r="B1504">
        <v>4142300583</v>
      </c>
      <c r="C1504">
        <v>10252898</v>
      </c>
      <c r="D1504" t="s">
        <v>290</v>
      </c>
      <c r="E1504" t="s">
        <v>445</v>
      </c>
      <c r="F1504" t="s">
        <v>430</v>
      </c>
      <c r="G1504" t="s">
        <v>237</v>
      </c>
      <c r="H1504" t="s">
        <v>234</v>
      </c>
      <c r="J1504" t="s">
        <v>425</v>
      </c>
      <c r="K1504" s="15">
        <v>280000</v>
      </c>
      <c r="L1504" s="15">
        <v>28</v>
      </c>
      <c r="M1504" s="13">
        <v>45254</v>
      </c>
      <c r="O1504">
        <v>28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326789.71962616825</v>
      </c>
      <c r="Y1504">
        <v>326817.71962616825</v>
      </c>
      <c r="Z1504">
        <v>22875.280373831782</v>
      </c>
      <c r="AA1504">
        <v>349693.00000000006</v>
      </c>
      <c r="AB1504" t="s">
        <v>242</v>
      </c>
      <c r="AC1504">
        <v>0</v>
      </c>
      <c r="AD1504">
        <v>0</v>
      </c>
      <c r="AE1504">
        <v>0</v>
      </c>
      <c r="AF1504">
        <v>299600</v>
      </c>
      <c r="AG1504">
        <v>19600</v>
      </c>
      <c r="AH1504" t="s">
        <v>72</v>
      </c>
    </row>
    <row r="1505" spans="1:34" x14ac:dyDescent="0.3">
      <c r="A1505" t="s">
        <v>798</v>
      </c>
      <c r="B1505">
        <v>12200153</v>
      </c>
      <c r="C1505">
        <v>19444639</v>
      </c>
      <c r="D1505" t="s">
        <v>114</v>
      </c>
      <c r="E1505" t="s">
        <v>438</v>
      </c>
      <c r="F1505" t="s">
        <v>427</v>
      </c>
      <c r="G1505" t="s">
        <v>82</v>
      </c>
      <c r="H1505" t="s">
        <v>82</v>
      </c>
      <c r="J1505" t="s">
        <v>52</v>
      </c>
      <c r="K1505" s="15">
        <v>2400</v>
      </c>
      <c r="L1505" s="15">
        <v>0</v>
      </c>
      <c r="M1505" s="13">
        <v>45254</v>
      </c>
      <c r="O1505">
        <v>0</v>
      </c>
      <c r="P1505">
        <v>0</v>
      </c>
      <c r="Q1505">
        <v>0</v>
      </c>
      <c r="R1505">
        <v>0</v>
      </c>
      <c r="S1505">
        <v>2816.3348539576109</v>
      </c>
      <c r="T1505">
        <v>0</v>
      </c>
      <c r="U1505">
        <v>0</v>
      </c>
      <c r="V1505">
        <v>128346.39254936486</v>
      </c>
      <c r="W1505">
        <v>0</v>
      </c>
      <c r="X1505">
        <v>0</v>
      </c>
      <c r="Y1505">
        <v>131162.72740332247</v>
      </c>
      <c r="Z1505">
        <v>0</v>
      </c>
      <c r="AA1505">
        <v>131162.72740332247</v>
      </c>
      <c r="AB1505" t="s">
        <v>242</v>
      </c>
      <c r="AC1505">
        <v>7</v>
      </c>
      <c r="AD1505">
        <v>43390</v>
      </c>
      <c r="AE1505">
        <v>0</v>
      </c>
      <c r="AF1505">
        <v>0</v>
      </c>
      <c r="AG1505">
        <v>0</v>
      </c>
      <c r="AH1505" t="s">
        <v>58</v>
      </c>
    </row>
    <row r="1506" spans="1:34" x14ac:dyDescent="0.3">
      <c r="A1506" t="s">
        <v>798</v>
      </c>
      <c r="B1506">
        <v>52200938</v>
      </c>
      <c r="C1506">
        <v>26269572</v>
      </c>
      <c r="D1506" t="s">
        <v>144</v>
      </c>
      <c r="E1506" t="s">
        <v>438</v>
      </c>
      <c r="F1506" t="s">
        <v>431</v>
      </c>
      <c r="G1506" t="s">
        <v>82</v>
      </c>
      <c r="H1506" t="s">
        <v>83</v>
      </c>
      <c r="J1506" t="s">
        <v>52</v>
      </c>
      <c r="K1506" s="15">
        <v>3000</v>
      </c>
      <c r="L1506" s="15">
        <v>0</v>
      </c>
      <c r="M1506" s="13">
        <v>45254</v>
      </c>
      <c r="O1506">
        <v>0</v>
      </c>
      <c r="P1506">
        <v>0</v>
      </c>
      <c r="Q1506">
        <v>0</v>
      </c>
      <c r="R1506">
        <v>873.1182976572909</v>
      </c>
      <c r="S1506">
        <v>11116.112047862407</v>
      </c>
      <c r="T1506">
        <v>0</v>
      </c>
      <c r="U1506">
        <v>0</v>
      </c>
      <c r="V1506">
        <v>47963.216707056527</v>
      </c>
      <c r="W1506">
        <v>0</v>
      </c>
      <c r="X1506">
        <v>0</v>
      </c>
      <c r="Y1506">
        <v>59952.447052576223</v>
      </c>
      <c r="Z1506">
        <v>4135.5530128443261</v>
      </c>
      <c r="AA1506">
        <v>64088.000065420551</v>
      </c>
      <c r="AB1506" t="s">
        <v>242</v>
      </c>
      <c r="AC1506">
        <v>8</v>
      </c>
      <c r="AD1506">
        <v>18000</v>
      </c>
      <c r="AE1506">
        <v>0</v>
      </c>
      <c r="AF1506">
        <v>0</v>
      </c>
      <c r="AG1506">
        <v>1160.2413839588885</v>
      </c>
      <c r="AH1506" t="s">
        <v>58</v>
      </c>
    </row>
    <row r="1507" spans="1:34" x14ac:dyDescent="0.3">
      <c r="A1507" t="s">
        <v>798</v>
      </c>
      <c r="B1507">
        <v>52200970</v>
      </c>
      <c r="C1507">
        <v>26133770</v>
      </c>
      <c r="D1507" t="s">
        <v>145</v>
      </c>
      <c r="E1507" t="s">
        <v>438</v>
      </c>
      <c r="F1507" t="s">
        <v>431</v>
      </c>
      <c r="G1507" t="s">
        <v>82</v>
      </c>
      <c r="H1507" t="s">
        <v>83</v>
      </c>
      <c r="J1507" t="s">
        <v>52</v>
      </c>
      <c r="K1507" s="15">
        <v>1835</v>
      </c>
      <c r="L1507" s="15">
        <v>0</v>
      </c>
      <c r="M1507" s="13">
        <v>45254</v>
      </c>
      <c r="O1507">
        <v>0</v>
      </c>
      <c r="P1507">
        <v>0</v>
      </c>
      <c r="Q1507">
        <v>0</v>
      </c>
      <c r="R1507">
        <v>765.46799669097516</v>
      </c>
      <c r="S1507">
        <v>13464.304868503063</v>
      </c>
      <c r="T1507">
        <v>0</v>
      </c>
      <c r="U1507">
        <v>0</v>
      </c>
      <c r="V1507">
        <v>38829.650696647303</v>
      </c>
      <c r="W1507">
        <v>0</v>
      </c>
      <c r="X1507">
        <v>0</v>
      </c>
      <c r="Y1507">
        <v>53059.423561841337</v>
      </c>
      <c r="Z1507">
        <v>3660.5768895605256</v>
      </c>
      <c r="AA1507">
        <v>56720.000451401866</v>
      </c>
      <c r="AB1507" t="s">
        <v>242</v>
      </c>
      <c r="AC1507">
        <v>1</v>
      </c>
      <c r="AD1507">
        <v>1835</v>
      </c>
      <c r="AE1507">
        <v>0</v>
      </c>
      <c r="AF1507">
        <v>0</v>
      </c>
      <c r="AG1507">
        <v>118.31099043772747</v>
      </c>
      <c r="AH1507" t="s">
        <v>72</v>
      </c>
    </row>
    <row r="1508" spans="1:34" x14ac:dyDescent="0.3">
      <c r="A1508" t="s">
        <v>798</v>
      </c>
      <c r="B1508">
        <v>52201063</v>
      </c>
      <c r="C1508">
        <v>23710909</v>
      </c>
      <c r="D1508" t="s">
        <v>147</v>
      </c>
      <c r="E1508" t="s">
        <v>438</v>
      </c>
      <c r="F1508" t="s">
        <v>431</v>
      </c>
      <c r="G1508" t="s">
        <v>82</v>
      </c>
      <c r="H1508" t="s">
        <v>83</v>
      </c>
      <c r="J1508" t="s">
        <v>52</v>
      </c>
      <c r="K1508" s="15">
        <v>1000</v>
      </c>
      <c r="L1508" s="15">
        <v>0</v>
      </c>
      <c r="M1508" s="13">
        <v>45254</v>
      </c>
      <c r="O1508">
        <v>0</v>
      </c>
      <c r="P1508">
        <v>0</v>
      </c>
      <c r="Q1508">
        <v>0</v>
      </c>
      <c r="R1508">
        <v>824.2408947791829</v>
      </c>
      <c r="S1508">
        <v>23509.672088343777</v>
      </c>
      <c r="T1508">
        <v>0</v>
      </c>
      <c r="U1508">
        <v>0</v>
      </c>
      <c r="V1508">
        <v>49966.73843998649</v>
      </c>
      <c r="W1508">
        <v>0</v>
      </c>
      <c r="X1508">
        <v>0</v>
      </c>
      <c r="Y1508">
        <v>74300.651423109448</v>
      </c>
      <c r="Z1508">
        <v>5143.3487369831191</v>
      </c>
      <c r="AA1508">
        <v>79444.000160092561</v>
      </c>
      <c r="AB1508" t="s">
        <v>242</v>
      </c>
      <c r="AC1508">
        <v>6</v>
      </c>
      <c r="AD1508">
        <v>6000</v>
      </c>
      <c r="AE1508">
        <v>0</v>
      </c>
      <c r="AF1508">
        <v>0</v>
      </c>
      <c r="AG1508">
        <v>388.15594638742334</v>
      </c>
      <c r="AH1508" t="s">
        <v>58</v>
      </c>
    </row>
    <row r="1509" spans="1:34" x14ac:dyDescent="0.3">
      <c r="A1509" t="s">
        <v>798</v>
      </c>
      <c r="B1509">
        <v>62200025</v>
      </c>
      <c r="C1509">
        <v>9001302</v>
      </c>
      <c r="D1509" t="s">
        <v>79</v>
      </c>
      <c r="E1509" t="s">
        <v>435</v>
      </c>
      <c r="F1509" t="s">
        <v>432</v>
      </c>
      <c r="G1509" t="s">
        <v>82</v>
      </c>
      <c r="H1509" t="s">
        <v>82</v>
      </c>
      <c r="J1509" t="s">
        <v>52</v>
      </c>
      <c r="K1509" s="15">
        <v>1000</v>
      </c>
      <c r="L1509" s="15">
        <v>0</v>
      </c>
      <c r="M1509" s="13">
        <v>45254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15024.843263835617</v>
      </c>
      <c r="W1509">
        <v>0</v>
      </c>
      <c r="X1509">
        <v>0</v>
      </c>
      <c r="Y1509">
        <v>15024.843263835617</v>
      </c>
      <c r="Z1509">
        <v>0</v>
      </c>
      <c r="AA1509">
        <v>15024.843263835617</v>
      </c>
      <c r="AB1509" t="s">
        <v>242</v>
      </c>
      <c r="AC1509">
        <v>15</v>
      </c>
      <c r="AD1509">
        <v>15170</v>
      </c>
      <c r="AE1509">
        <v>0</v>
      </c>
      <c r="AF1509">
        <v>0</v>
      </c>
      <c r="AG1509">
        <v>0</v>
      </c>
      <c r="AH1509" t="s">
        <v>58</v>
      </c>
    </row>
    <row r="1510" spans="1:34" x14ac:dyDescent="0.3">
      <c r="A1510" t="s">
        <v>798</v>
      </c>
      <c r="B1510">
        <v>4132301112</v>
      </c>
      <c r="C1510">
        <v>3010184753</v>
      </c>
      <c r="D1510" t="s">
        <v>179</v>
      </c>
      <c r="E1510" t="s">
        <v>441</v>
      </c>
      <c r="F1510" t="s">
        <v>430</v>
      </c>
      <c r="G1510" t="s">
        <v>233</v>
      </c>
      <c r="H1510" t="s">
        <v>231</v>
      </c>
      <c r="J1510" t="s">
        <v>52</v>
      </c>
      <c r="K1510" s="15">
        <v>500</v>
      </c>
      <c r="L1510" s="15">
        <v>0</v>
      </c>
      <c r="M1510" s="13">
        <v>45254</v>
      </c>
      <c r="O1510">
        <v>0</v>
      </c>
      <c r="P1510">
        <v>3786.5707709928761</v>
      </c>
      <c r="Q1510">
        <v>0</v>
      </c>
      <c r="R1510">
        <v>0</v>
      </c>
      <c r="S1510">
        <v>21290.753424657534</v>
      </c>
      <c r="T1510">
        <v>54965.821709352444</v>
      </c>
      <c r="U1510">
        <v>0</v>
      </c>
      <c r="V1510">
        <v>0</v>
      </c>
      <c r="W1510">
        <v>0</v>
      </c>
      <c r="X1510">
        <v>0</v>
      </c>
      <c r="Y1510">
        <v>80043.14590500285</v>
      </c>
      <c r="Z1510">
        <v>3847.6075196546713</v>
      </c>
      <c r="AA1510">
        <v>83890.753424657523</v>
      </c>
      <c r="AB1510" t="s">
        <v>242</v>
      </c>
      <c r="AC1510">
        <v>2</v>
      </c>
      <c r="AD1510">
        <v>1000</v>
      </c>
      <c r="AE1510">
        <v>0</v>
      </c>
      <c r="AF1510">
        <v>0</v>
      </c>
      <c r="AG1510">
        <v>44.915844831309641</v>
      </c>
      <c r="AH1510" t="s">
        <v>58</v>
      </c>
    </row>
    <row r="1511" spans="1:34" x14ac:dyDescent="0.3">
      <c r="A1511" t="s">
        <v>798</v>
      </c>
      <c r="B1511">
        <v>4242300019</v>
      </c>
      <c r="C1511">
        <v>123154</v>
      </c>
      <c r="D1511" t="s">
        <v>220</v>
      </c>
      <c r="E1511" t="s">
        <v>444</v>
      </c>
      <c r="F1511" t="s">
        <v>433</v>
      </c>
      <c r="G1511" t="s">
        <v>230</v>
      </c>
      <c r="H1511" t="s">
        <v>231</v>
      </c>
      <c r="J1511" t="s">
        <v>52</v>
      </c>
      <c r="K1511" s="15">
        <v>20000</v>
      </c>
      <c r="L1511" s="15">
        <v>0</v>
      </c>
      <c r="M1511" s="13">
        <v>45254</v>
      </c>
      <c r="O1511">
        <v>0</v>
      </c>
      <c r="P1511">
        <v>2684.070665813691</v>
      </c>
      <c r="Q1511">
        <v>0</v>
      </c>
      <c r="R1511">
        <v>0</v>
      </c>
      <c r="S1511">
        <v>0</v>
      </c>
      <c r="T1511">
        <v>295.26105998720595</v>
      </c>
      <c r="U1511">
        <v>37383.17757009346</v>
      </c>
      <c r="V1511">
        <v>0</v>
      </c>
      <c r="W1511">
        <v>130841.1214953271</v>
      </c>
      <c r="X1511">
        <v>0</v>
      </c>
      <c r="Y1511">
        <v>171203.63079122145</v>
      </c>
      <c r="Z1511">
        <v>11796.369208778544</v>
      </c>
      <c r="AA1511">
        <v>183000</v>
      </c>
      <c r="AB1511" t="s">
        <v>242</v>
      </c>
      <c r="AC1511">
        <v>1</v>
      </c>
      <c r="AD1511">
        <v>20000</v>
      </c>
      <c r="AE1511">
        <v>0</v>
      </c>
      <c r="AF1511">
        <v>0</v>
      </c>
      <c r="AG1511">
        <v>1287.7429407541676</v>
      </c>
      <c r="AH1511" t="s">
        <v>72</v>
      </c>
    </row>
    <row r="1512" spans="1:34" x14ac:dyDescent="0.3">
      <c r="A1512" t="s">
        <v>798</v>
      </c>
      <c r="B1512">
        <v>12200119</v>
      </c>
      <c r="C1512" t="s">
        <v>367</v>
      </c>
      <c r="D1512" t="s">
        <v>406</v>
      </c>
      <c r="E1512" t="s">
        <v>437</v>
      </c>
      <c r="F1512" t="s">
        <v>427</v>
      </c>
      <c r="G1512" t="s">
        <v>235</v>
      </c>
      <c r="H1512" t="s">
        <v>235</v>
      </c>
      <c r="J1512" t="s">
        <v>416</v>
      </c>
      <c r="K1512" s="15">
        <v>0.30403068847124326</v>
      </c>
      <c r="L1512" s="15">
        <v>0</v>
      </c>
      <c r="M1512" s="13">
        <v>45254</v>
      </c>
      <c r="O1512">
        <v>0</v>
      </c>
      <c r="P1512">
        <v>0</v>
      </c>
      <c r="Q1512">
        <v>0</v>
      </c>
      <c r="R1512">
        <v>0</v>
      </c>
      <c r="S1512">
        <v>46015.427758294893</v>
      </c>
      <c r="T1512">
        <v>0</v>
      </c>
      <c r="U1512">
        <v>0</v>
      </c>
      <c r="V1512">
        <v>73984.572241705115</v>
      </c>
      <c r="W1512">
        <v>0</v>
      </c>
      <c r="X1512">
        <v>0</v>
      </c>
      <c r="Y1512">
        <v>120000</v>
      </c>
      <c r="Z1512">
        <v>0</v>
      </c>
      <c r="AA1512">
        <v>120000</v>
      </c>
      <c r="AB1512" t="s">
        <v>242</v>
      </c>
      <c r="AC1512">
        <v>2</v>
      </c>
      <c r="AD1512">
        <v>8000</v>
      </c>
      <c r="AE1512">
        <v>0</v>
      </c>
      <c r="AF1512">
        <v>0</v>
      </c>
      <c r="AG1512">
        <v>0</v>
      </c>
      <c r="AH1512" t="s">
        <v>58</v>
      </c>
    </row>
    <row r="1513" spans="1:34" x14ac:dyDescent="0.3">
      <c r="A1513" t="s">
        <v>798</v>
      </c>
      <c r="B1513">
        <v>42200038</v>
      </c>
      <c r="C1513" t="s">
        <v>452</v>
      </c>
      <c r="D1513" t="s">
        <v>521</v>
      </c>
      <c r="E1513" t="s">
        <v>437</v>
      </c>
      <c r="F1513" t="s">
        <v>430</v>
      </c>
      <c r="G1513" t="s">
        <v>230</v>
      </c>
      <c r="H1513" t="s">
        <v>231</v>
      </c>
      <c r="J1513" t="s">
        <v>52</v>
      </c>
      <c r="K1513" s="15">
        <v>1000</v>
      </c>
      <c r="L1513" s="15">
        <v>0</v>
      </c>
      <c r="M1513" s="13">
        <v>45254</v>
      </c>
      <c r="O1513">
        <v>0</v>
      </c>
      <c r="P1513">
        <v>0</v>
      </c>
      <c r="Q1513">
        <v>0</v>
      </c>
      <c r="R1513">
        <v>0</v>
      </c>
      <c r="S1513">
        <v>22093.383277842186</v>
      </c>
      <c r="T1513">
        <v>10803.038672609408</v>
      </c>
      <c r="U1513">
        <v>22429.906542056076</v>
      </c>
      <c r="V1513">
        <v>0</v>
      </c>
      <c r="W1513">
        <v>310280.37383177568</v>
      </c>
      <c r="X1513">
        <v>0</v>
      </c>
      <c r="Y1513">
        <v>365606.70232428337</v>
      </c>
      <c r="Z1513">
        <v>24045.932333250883</v>
      </c>
      <c r="AA1513">
        <v>389652.63465753425</v>
      </c>
      <c r="AB1513" t="s">
        <v>242</v>
      </c>
      <c r="AC1513">
        <v>10</v>
      </c>
      <c r="AD1513">
        <v>17500</v>
      </c>
      <c r="AE1513">
        <v>0</v>
      </c>
      <c r="AF1513">
        <v>0</v>
      </c>
      <c r="AG1513">
        <v>1075.562993851921</v>
      </c>
      <c r="AH1513" t="s">
        <v>58</v>
      </c>
    </row>
    <row r="1514" spans="1:34" x14ac:dyDescent="0.3">
      <c r="A1514" t="s">
        <v>798</v>
      </c>
      <c r="B1514">
        <v>4142300588</v>
      </c>
      <c r="C1514" t="s">
        <v>495</v>
      </c>
      <c r="D1514" t="s">
        <v>567</v>
      </c>
      <c r="E1514" t="s">
        <v>445</v>
      </c>
      <c r="F1514" t="s">
        <v>430</v>
      </c>
      <c r="G1514" t="s">
        <v>421</v>
      </c>
      <c r="H1514" t="s">
        <v>234</v>
      </c>
      <c r="J1514" t="s">
        <v>450</v>
      </c>
      <c r="K1514" s="15">
        <v>180000</v>
      </c>
      <c r="L1514" s="15">
        <v>0</v>
      </c>
      <c r="M1514" s="13">
        <v>45254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375408.31417232123</v>
      </c>
      <c r="Y1514">
        <v>375408.31417232123</v>
      </c>
      <c r="Z1514">
        <v>26278.581992062489</v>
      </c>
      <c r="AA1514">
        <v>401686.89616438374</v>
      </c>
      <c r="AB1514" t="s">
        <v>242</v>
      </c>
      <c r="AC1514">
        <v>0</v>
      </c>
      <c r="AD1514">
        <v>0</v>
      </c>
      <c r="AE1514">
        <v>0</v>
      </c>
      <c r="AF1514">
        <v>180000</v>
      </c>
      <c r="AG1514">
        <v>11775.70093457945</v>
      </c>
      <c r="AH1514" t="s">
        <v>72</v>
      </c>
    </row>
    <row r="1515" spans="1:34" x14ac:dyDescent="0.3">
      <c r="A1515" t="s">
        <v>798</v>
      </c>
      <c r="B1515">
        <v>52200619</v>
      </c>
      <c r="C1515">
        <v>6102060118</v>
      </c>
      <c r="D1515" t="s">
        <v>138</v>
      </c>
      <c r="E1515" t="s">
        <v>437</v>
      </c>
      <c r="F1515" t="s">
        <v>431</v>
      </c>
      <c r="G1515" t="s">
        <v>82</v>
      </c>
      <c r="H1515" t="s">
        <v>83</v>
      </c>
      <c r="J1515" t="s">
        <v>52</v>
      </c>
      <c r="K1515" s="15">
        <v>700</v>
      </c>
      <c r="L1515" s="15">
        <v>0</v>
      </c>
      <c r="M1515" s="13">
        <v>45255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8351.5700934579454</v>
      </c>
      <c r="W1515">
        <v>0</v>
      </c>
      <c r="X1515">
        <v>0</v>
      </c>
      <c r="Y1515">
        <v>8351.5700934579454</v>
      </c>
      <c r="Z1515">
        <v>584.60990654205625</v>
      </c>
      <c r="AA1515">
        <v>8936.1800000000021</v>
      </c>
      <c r="AB1515" t="s">
        <v>242</v>
      </c>
      <c r="AC1515">
        <v>14</v>
      </c>
      <c r="AD1515">
        <v>9000</v>
      </c>
      <c r="AE1515">
        <v>0</v>
      </c>
      <c r="AF1515">
        <v>0</v>
      </c>
      <c r="AG1515">
        <v>588.78504672897202</v>
      </c>
      <c r="AH1515" t="s">
        <v>58</v>
      </c>
    </row>
    <row r="1516" spans="1:34" x14ac:dyDescent="0.3">
      <c r="A1516" t="s">
        <v>798</v>
      </c>
      <c r="B1516">
        <v>4132300331</v>
      </c>
      <c r="C1516">
        <v>9040040746</v>
      </c>
      <c r="D1516" t="s">
        <v>174</v>
      </c>
      <c r="E1516" t="s">
        <v>441</v>
      </c>
      <c r="F1516" t="s">
        <v>430</v>
      </c>
      <c r="G1516" t="s">
        <v>230</v>
      </c>
      <c r="H1516" t="s">
        <v>231</v>
      </c>
      <c r="J1516" t="s">
        <v>52</v>
      </c>
      <c r="K1516" s="15">
        <v>1000</v>
      </c>
      <c r="L1516" s="15">
        <v>0</v>
      </c>
      <c r="M1516" s="13">
        <v>45255</v>
      </c>
      <c r="O1516">
        <v>0</v>
      </c>
      <c r="P1516">
        <v>9106.1753990093912</v>
      </c>
      <c r="Q1516">
        <v>0</v>
      </c>
      <c r="R1516">
        <v>0</v>
      </c>
      <c r="S1516">
        <v>7733.8356164383558</v>
      </c>
      <c r="T1516">
        <v>38111.051028963193</v>
      </c>
      <c r="U1516">
        <v>0</v>
      </c>
      <c r="V1516">
        <v>0</v>
      </c>
      <c r="W1516">
        <v>168224.29906542055</v>
      </c>
      <c r="X1516">
        <v>0</v>
      </c>
      <c r="Y1516">
        <v>223175.36110983149</v>
      </c>
      <c r="Z1516">
        <v>14443.474506606864</v>
      </c>
      <c r="AA1516">
        <v>237618.83561643836</v>
      </c>
      <c r="AB1516" t="s">
        <v>242</v>
      </c>
      <c r="AC1516">
        <v>4</v>
      </c>
      <c r="AD1516">
        <v>7000</v>
      </c>
      <c r="AE1516">
        <v>0</v>
      </c>
      <c r="AF1516">
        <v>0</v>
      </c>
      <c r="AG1516">
        <v>423.34792329967968</v>
      </c>
      <c r="AH1516" t="s">
        <v>58</v>
      </c>
    </row>
    <row r="1517" spans="1:34" x14ac:dyDescent="0.3">
      <c r="A1517" t="s">
        <v>798</v>
      </c>
      <c r="B1517">
        <v>4132301147</v>
      </c>
      <c r="C1517">
        <v>3100025875</v>
      </c>
      <c r="D1517" t="s">
        <v>180</v>
      </c>
      <c r="E1517" t="s">
        <v>441</v>
      </c>
      <c r="F1517" t="s">
        <v>430</v>
      </c>
      <c r="G1517" t="s">
        <v>233</v>
      </c>
      <c r="H1517" t="s">
        <v>231</v>
      </c>
      <c r="J1517" t="s">
        <v>52</v>
      </c>
      <c r="K1517" s="15">
        <v>1000</v>
      </c>
      <c r="L1517" s="15">
        <v>0</v>
      </c>
      <c r="M1517" s="13">
        <v>45255</v>
      </c>
      <c r="O1517">
        <v>0</v>
      </c>
      <c r="P1517">
        <v>1296.2307398683074</v>
      </c>
      <c r="Q1517">
        <v>0</v>
      </c>
      <c r="R1517">
        <v>0</v>
      </c>
      <c r="S1517">
        <v>1065.7191780821918</v>
      </c>
      <c r="T1517">
        <v>1919.4105234875633</v>
      </c>
      <c r="U1517">
        <v>0</v>
      </c>
      <c r="V1517">
        <v>0</v>
      </c>
      <c r="W1517">
        <v>0</v>
      </c>
      <c r="X1517">
        <v>0</v>
      </c>
      <c r="Y1517">
        <v>4281.3604414380625</v>
      </c>
      <c r="Z1517">
        <v>134.35873664412944</v>
      </c>
      <c r="AA1517">
        <v>4415.7191780821922</v>
      </c>
      <c r="AB1517" t="s">
        <v>242</v>
      </c>
      <c r="AC1517">
        <v>5</v>
      </c>
      <c r="AD1517">
        <v>5000</v>
      </c>
      <c r="AE1517">
        <v>0</v>
      </c>
      <c r="AF1517">
        <v>0</v>
      </c>
      <c r="AG1517">
        <v>143.67864653344071</v>
      </c>
      <c r="AH1517" t="s">
        <v>58</v>
      </c>
    </row>
    <row r="1518" spans="1:34" x14ac:dyDescent="0.3">
      <c r="A1518" t="s">
        <v>798</v>
      </c>
      <c r="B1518">
        <v>4132300713</v>
      </c>
      <c r="C1518" t="s">
        <v>247</v>
      </c>
      <c r="D1518" t="s">
        <v>318</v>
      </c>
      <c r="E1518" t="s">
        <v>441</v>
      </c>
      <c r="F1518" t="s">
        <v>430</v>
      </c>
      <c r="G1518" t="s">
        <v>233</v>
      </c>
      <c r="H1518" t="s">
        <v>231</v>
      </c>
      <c r="J1518" t="s">
        <v>52</v>
      </c>
      <c r="K1518" s="15">
        <v>2000</v>
      </c>
      <c r="L1518" s="15">
        <v>0</v>
      </c>
      <c r="M1518" s="13">
        <v>45255</v>
      </c>
      <c r="O1518">
        <v>0</v>
      </c>
      <c r="P1518">
        <v>0</v>
      </c>
      <c r="Q1518">
        <v>0</v>
      </c>
      <c r="R1518">
        <v>0</v>
      </c>
      <c r="S1518">
        <v>1453.5616438356165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1453.5616438356165</v>
      </c>
      <c r="Z1518">
        <v>0</v>
      </c>
      <c r="AA1518">
        <v>1453.5616438356165</v>
      </c>
      <c r="AB1518" t="s">
        <v>242</v>
      </c>
      <c r="AC1518">
        <v>5</v>
      </c>
      <c r="AD1518">
        <v>10000</v>
      </c>
      <c r="AE1518">
        <v>0</v>
      </c>
      <c r="AF1518">
        <v>0</v>
      </c>
      <c r="AG1518">
        <v>0</v>
      </c>
      <c r="AH1518" t="s">
        <v>58</v>
      </c>
    </row>
    <row r="1519" spans="1:34" x14ac:dyDescent="0.3">
      <c r="A1519" t="s">
        <v>798</v>
      </c>
      <c r="B1519">
        <v>4132300995</v>
      </c>
      <c r="C1519" t="s">
        <v>356</v>
      </c>
      <c r="D1519" t="s">
        <v>395</v>
      </c>
      <c r="E1519" t="s">
        <v>441</v>
      </c>
      <c r="F1519" t="s">
        <v>430</v>
      </c>
      <c r="G1519" t="s">
        <v>326</v>
      </c>
      <c r="H1519" t="s">
        <v>236</v>
      </c>
      <c r="J1519" t="s">
        <v>52</v>
      </c>
      <c r="K1519" s="15">
        <v>60000</v>
      </c>
      <c r="L1519" s="15">
        <v>0</v>
      </c>
      <c r="M1519" s="13">
        <v>45255</v>
      </c>
      <c r="O1519">
        <v>0</v>
      </c>
      <c r="P1519">
        <v>0</v>
      </c>
      <c r="Q1519">
        <v>0</v>
      </c>
      <c r="R1519">
        <v>0</v>
      </c>
      <c r="S1519">
        <v>23393.750816030923</v>
      </c>
      <c r="T1519">
        <v>0</v>
      </c>
      <c r="U1519">
        <v>0</v>
      </c>
      <c r="V1519">
        <v>48230.139424270157</v>
      </c>
      <c r="W1519">
        <v>0</v>
      </c>
      <c r="X1519">
        <v>0</v>
      </c>
      <c r="Y1519">
        <v>71623.890240301087</v>
      </c>
      <c r="Z1519">
        <v>3376.1097596989111</v>
      </c>
      <c r="AA1519">
        <v>75000</v>
      </c>
      <c r="AB1519" t="s">
        <v>242</v>
      </c>
      <c r="AC1519">
        <v>4</v>
      </c>
      <c r="AD1519">
        <v>125000</v>
      </c>
      <c r="AE1519">
        <v>0</v>
      </c>
      <c r="AF1519">
        <v>0</v>
      </c>
      <c r="AG1519">
        <v>5386.7851690310363</v>
      </c>
      <c r="AH1519" t="s">
        <v>58</v>
      </c>
    </row>
    <row r="1520" spans="1:34" x14ac:dyDescent="0.3">
      <c r="A1520" t="s">
        <v>798</v>
      </c>
      <c r="B1520">
        <v>2200001</v>
      </c>
      <c r="C1520" t="s">
        <v>630</v>
      </c>
      <c r="D1520" t="s">
        <v>407</v>
      </c>
      <c r="E1520" t="s">
        <v>435</v>
      </c>
      <c r="F1520" t="s">
        <v>675</v>
      </c>
      <c r="G1520" t="s">
        <v>235</v>
      </c>
      <c r="H1520" t="s">
        <v>235</v>
      </c>
      <c r="J1520" t="s">
        <v>52</v>
      </c>
      <c r="K1520" s="15">
        <v>3000</v>
      </c>
      <c r="M1520" s="13">
        <v>45255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39246.990000000005</v>
      </c>
      <c r="W1520">
        <v>0</v>
      </c>
      <c r="X1520">
        <v>0</v>
      </c>
      <c r="Y1520">
        <v>39246.990000000005</v>
      </c>
      <c r="Z1520">
        <v>0</v>
      </c>
      <c r="AA1520">
        <v>39246.990000000005</v>
      </c>
      <c r="AB1520" t="s">
        <v>242</v>
      </c>
      <c r="AC1520">
        <v>10</v>
      </c>
      <c r="AD1520">
        <v>30000</v>
      </c>
      <c r="AE1520">
        <v>0</v>
      </c>
      <c r="AF1520">
        <v>0</v>
      </c>
      <c r="AG1520">
        <v>0</v>
      </c>
      <c r="AH1520" t="s">
        <v>58</v>
      </c>
    </row>
    <row r="1521" spans="1:34" x14ac:dyDescent="0.3">
      <c r="A1521" t="s">
        <v>798</v>
      </c>
      <c r="B1521">
        <v>52200044</v>
      </c>
      <c r="C1521" t="s">
        <v>669</v>
      </c>
      <c r="D1521" t="s">
        <v>383</v>
      </c>
      <c r="E1521" t="s">
        <v>435</v>
      </c>
      <c r="F1521" t="s">
        <v>431</v>
      </c>
      <c r="G1521" t="s">
        <v>235</v>
      </c>
      <c r="H1521" t="s">
        <v>236</v>
      </c>
      <c r="J1521" t="s">
        <v>52</v>
      </c>
      <c r="K1521" s="15">
        <v>5000</v>
      </c>
      <c r="M1521" s="13">
        <v>45255</v>
      </c>
      <c r="O1521">
        <v>4571.2315284300576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134939.03595473827</v>
      </c>
      <c r="W1521">
        <v>0</v>
      </c>
      <c r="X1521">
        <v>0</v>
      </c>
      <c r="Y1521">
        <v>139510.26748316834</v>
      </c>
      <c r="Z1521">
        <v>9445.7325168316802</v>
      </c>
      <c r="AA1521">
        <v>148956.00000000003</v>
      </c>
      <c r="AB1521" t="s">
        <v>242</v>
      </c>
      <c r="AC1521">
        <v>3</v>
      </c>
      <c r="AD1521">
        <v>15000</v>
      </c>
      <c r="AE1521">
        <v>0</v>
      </c>
      <c r="AF1521">
        <v>0</v>
      </c>
      <c r="AG1521">
        <v>955.85863104655073</v>
      </c>
      <c r="AH1521" t="s">
        <v>58</v>
      </c>
    </row>
    <row r="1522" spans="1:34" x14ac:dyDescent="0.3">
      <c r="A1522" t="s">
        <v>798</v>
      </c>
      <c r="B1522">
        <v>4132300176</v>
      </c>
      <c r="C1522">
        <v>9060005726</v>
      </c>
      <c r="D1522" t="s">
        <v>172</v>
      </c>
      <c r="E1522" t="s">
        <v>441</v>
      </c>
      <c r="F1522" t="s">
        <v>430</v>
      </c>
      <c r="G1522" t="s">
        <v>230</v>
      </c>
      <c r="H1522" t="s">
        <v>231</v>
      </c>
      <c r="J1522" t="s">
        <v>52</v>
      </c>
      <c r="K1522" s="15">
        <v>1000</v>
      </c>
      <c r="L1522" s="15">
        <v>0</v>
      </c>
      <c r="M1522" s="13">
        <v>45256</v>
      </c>
      <c r="O1522">
        <v>0</v>
      </c>
      <c r="P1522">
        <v>4010.4631533472034</v>
      </c>
      <c r="Q1522">
        <v>0</v>
      </c>
      <c r="R1522">
        <v>0</v>
      </c>
      <c r="S1522">
        <v>4144.1917808219177</v>
      </c>
      <c r="T1522">
        <v>21298.632566965232</v>
      </c>
      <c r="U1522">
        <v>0</v>
      </c>
      <c r="V1522">
        <v>0</v>
      </c>
      <c r="W1522">
        <v>61682.242990654209</v>
      </c>
      <c r="X1522">
        <v>0</v>
      </c>
      <c r="Y1522">
        <v>91135.530491788566</v>
      </c>
      <c r="Z1522">
        <v>5808.6612890333608</v>
      </c>
      <c r="AA1522">
        <v>96944.19178082193</v>
      </c>
      <c r="AB1522" t="s">
        <v>242</v>
      </c>
      <c r="AC1522">
        <v>1</v>
      </c>
      <c r="AD1522">
        <v>1000</v>
      </c>
      <c r="AE1522">
        <v>0</v>
      </c>
      <c r="AF1522">
        <v>0</v>
      </c>
      <c r="AG1522">
        <v>59.563010032059992</v>
      </c>
      <c r="AH1522" t="s">
        <v>72</v>
      </c>
    </row>
    <row r="1523" spans="1:34" x14ac:dyDescent="0.3">
      <c r="A1523" t="s">
        <v>798</v>
      </c>
      <c r="B1523">
        <v>4132301517</v>
      </c>
      <c r="C1523" t="s">
        <v>98</v>
      </c>
      <c r="D1523" t="s">
        <v>181</v>
      </c>
      <c r="E1523" t="s">
        <v>442</v>
      </c>
      <c r="F1523" t="s">
        <v>430</v>
      </c>
      <c r="G1523" t="s">
        <v>230</v>
      </c>
      <c r="H1523" t="s">
        <v>231</v>
      </c>
      <c r="J1523" t="s">
        <v>52</v>
      </c>
      <c r="K1523" s="15">
        <v>7000</v>
      </c>
      <c r="L1523" s="15">
        <v>0</v>
      </c>
      <c r="M1523" s="13">
        <v>45256</v>
      </c>
      <c r="O1523">
        <v>0</v>
      </c>
      <c r="P1523">
        <v>9169.0212656726144</v>
      </c>
      <c r="Q1523">
        <v>0</v>
      </c>
      <c r="R1523">
        <v>0</v>
      </c>
      <c r="S1523">
        <v>138975.37</v>
      </c>
      <c r="T1523">
        <v>0</v>
      </c>
      <c r="U1523">
        <v>0</v>
      </c>
      <c r="V1523">
        <v>0</v>
      </c>
      <c r="W1523">
        <v>220388.76517226858</v>
      </c>
      <c r="X1523">
        <v>0</v>
      </c>
      <c r="Y1523">
        <v>368533.15643794119</v>
      </c>
      <c r="Z1523">
        <v>15427.213562058801</v>
      </c>
      <c r="AA1523">
        <v>383960.37</v>
      </c>
      <c r="AB1523" t="s">
        <v>242</v>
      </c>
      <c r="AC1523">
        <v>1</v>
      </c>
      <c r="AD1523">
        <v>7000</v>
      </c>
      <c r="AE1523">
        <v>0</v>
      </c>
      <c r="AF1523">
        <v>0</v>
      </c>
      <c r="AG1523">
        <v>273.72101738045149</v>
      </c>
      <c r="AH1523" t="s">
        <v>72</v>
      </c>
    </row>
    <row r="1524" spans="1:34" x14ac:dyDescent="0.3">
      <c r="A1524" t="s">
        <v>798</v>
      </c>
      <c r="B1524">
        <v>12200119</v>
      </c>
      <c r="C1524" t="s">
        <v>367</v>
      </c>
      <c r="D1524" t="s">
        <v>406</v>
      </c>
      <c r="E1524" t="s">
        <v>437</v>
      </c>
      <c r="F1524" t="s">
        <v>427</v>
      </c>
      <c r="G1524" t="s">
        <v>418</v>
      </c>
      <c r="H1524" t="s">
        <v>235</v>
      </c>
      <c r="J1524" t="s">
        <v>52</v>
      </c>
      <c r="K1524" s="15">
        <v>120000</v>
      </c>
      <c r="L1524" s="15">
        <v>0</v>
      </c>
      <c r="M1524" s="13">
        <v>45256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 t="s">
        <v>242</v>
      </c>
      <c r="AC1524">
        <v>3</v>
      </c>
      <c r="AD1524">
        <v>128000</v>
      </c>
      <c r="AE1524">
        <v>0</v>
      </c>
      <c r="AF1524">
        <v>0</v>
      </c>
      <c r="AG1524">
        <v>0</v>
      </c>
      <c r="AH1524" t="s">
        <v>58</v>
      </c>
    </row>
    <row r="1525" spans="1:34" x14ac:dyDescent="0.3">
      <c r="A1525" t="s">
        <v>798</v>
      </c>
      <c r="B1525">
        <v>4132300528</v>
      </c>
      <c r="C1525" t="s">
        <v>348</v>
      </c>
      <c r="D1525" t="s">
        <v>387</v>
      </c>
      <c r="E1525" t="s">
        <v>441</v>
      </c>
      <c r="F1525" t="s">
        <v>430</v>
      </c>
      <c r="G1525" t="s">
        <v>419</v>
      </c>
      <c r="H1525" t="s">
        <v>231</v>
      </c>
      <c r="J1525" t="s">
        <v>52</v>
      </c>
      <c r="K1525" s="15">
        <v>10000</v>
      </c>
      <c r="L1525" s="15">
        <v>0</v>
      </c>
      <c r="M1525" s="13">
        <v>45256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 t="s">
        <v>242</v>
      </c>
      <c r="AC1525">
        <v>4</v>
      </c>
      <c r="AD1525">
        <v>36000</v>
      </c>
      <c r="AE1525">
        <v>0</v>
      </c>
      <c r="AF1525">
        <v>0</v>
      </c>
      <c r="AG1525">
        <v>1667.506069329947</v>
      </c>
      <c r="AH1525" t="s">
        <v>58</v>
      </c>
    </row>
    <row r="1526" spans="1:34" x14ac:dyDescent="0.3">
      <c r="A1526" t="s">
        <v>798</v>
      </c>
      <c r="B1526">
        <v>12200171</v>
      </c>
      <c r="C1526">
        <v>25596188</v>
      </c>
      <c r="D1526" t="s">
        <v>117</v>
      </c>
      <c r="E1526" t="s">
        <v>438</v>
      </c>
      <c r="F1526" t="s">
        <v>427</v>
      </c>
      <c r="G1526" t="s">
        <v>82</v>
      </c>
      <c r="H1526" t="s">
        <v>82</v>
      </c>
      <c r="J1526" t="s">
        <v>52</v>
      </c>
      <c r="K1526" s="15">
        <v>1500</v>
      </c>
      <c r="L1526" s="15">
        <v>0</v>
      </c>
      <c r="M1526" s="13">
        <v>45257</v>
      </c>
      <c r="O1526">
        <v>0</v>
      </c>
      <c r="P1526">
        <v>0</v>
      </c>
      <c r="Q1526">
        <v>0</v>
      </c>
      <c r="R1526">
        <v>0</v>
      </c>
      <c r="S1526">
        <v>27744.933781943517</v>
      </c>
      <c r="T1526">
        <v>0</v>
      </c>
      <c r="U1526">
        <v>0</v>
      </c>
      <c r="V1526">
        <v>146895.79377429161</v>
      </c>
      <c r="W1526">
        <v>0</v>
      </c>
      <c r="X1526">
        <v>0</v>
      </c>
      <c r="Y1526">
        <v>174640.72755623513</v>
      </c>
      <c r="Z1526">
        <v>0</v>
      </c>
      <c r="AA1526">
        <v>174640.72755623513</v>
      </c>
      <c r="AB1526" t="s">
        <v>242</v>
      </c>
      <c r="AC1526">
        <v>6</v>
      </c>
      <c r="AD1526">
        <v>7300</v>
      </c>
      <c r="AE1526">
        <v>0</v>
      </c>
      <c r="AF1526">
        <v>0</v>
      </c>
      <c r="AG1526">
        <v>0</v>
      </c>
      <c r="AH1526" t="s">
        <v>58</v>
      </c>
    </row>
    <row r="1527" spans="1:34" x14ac:dyDescent="0.3">
      <c r="A1527" t="s">
        <v>798</v>
      </c>
      <c r="B1527">
        <v>42200052</v>
      </c>
      <c r="C1527" t="s">
        <v>90</v>
      </c>
      <c r="D1527" t="s">
        <v>121</v>
      </c>
      <c r="E1527" t="s">
        <v>437</v>
      </c>
      <c r="F1527" t="s">
        <v>430</v>
      </c>
      <c r="G1527" t="s">
        <v>230</v>
      </c>
      <c r="H1527" t="s">
        <v>231</v>
      </c>
      <c r="J1527" t="s">
        <v>52</v>
      </c>
      <c r="K1527" s="15">
        <v>2000</v>
      </c>
      <c r="L1527" s="15">
        <v>0</v>
      </c>
      <c r="M1527" s="13">
        <v>45257</v>
      </c>
      <c r="O1527">
        <v>0</v>
      </c>
      <c r="P1527">
        <v>2301.674284765319</v>
      </c>
      <c r="Q1527">
        <v>0</v>
      </c>
      <c r="R1527">
        <v>0</v>
      </c>
      <c r="S1527">
        <v>5574.6712328767117</v>
      </c>
      <c r="T1527">
        <v>12334.883846013725</v>
      </c>
      <c r="U1527">
        <v>14018.691588785046</v>
      </c>
      <c r="V1527">
        <v>0</v>
      </c>
      <c r="W1527">
        <v>135514.01869158878</v>
      </c>
      <c r="X1527">
        <v>0</v>
      </c>
      <c r="Y1527">
        <v>169743.93964402957</v>
      </c>
      <c r="Z1527">
        <v>11330.731588847129</v>
      </c>
      <c r="AA1527">
        <v>181074.67123287669</v>
      </c>
      <c r="AB1527" t="s">
        <v>242</v>
      </c>
      <c r="AC1527">
        <v>5</v>
      </c>
      <c r="AD1527">
        <v>15000</v>
      </c>
      <c r="AE1527">
        <v>0</v>
      </c>
      <c r="AF1527">
        <v>0</v>
      </c>
      <c r="AG1527">
        <v>935.62355133978758</v>
      </c>
      <c r="AH1527" t="s">
        <v>58</v>
      </c>
    </row>
    <row r="1528" spans="1:34" x14ac:dyDescent="0.3">
      <c r="A1528" t="s">
        <v>798</v>
      </c>
      <c r="B1528">
        <v>52201007</v>
      </c>
      <c r="C1528">
        <v>25682794</v>
      </c>
      <c r="D1528" t="s">
        <v>868</v>
      </c>
      <c r="E1528" t="s">
        <v>438</v>
      </c>
      <c r="F1528" t="s">
        <v>431</v>
      </c>
      <c r="G1528" t="s">
        <v>82</v>
      </c>
      <c r="H1528" t="s">
        <v>83</v>
      </c>
      <c r="J1528" t="s">
        <v>52</v>
      </c>
      <c r="K1528" s="15">
        <v>1590</v>
      </c>
      <c r="L1528" s="15">
        <v>0</v>
      </c>
      <c r="M1528" s="13">
        <v>45257</v>
      </c>
      <c r="O1528">
        <v>0</v>
      </c>
      <c r="P1528">
        <v>0</v>
      </c>
      <c r="Q1528">
        <v>0</v>
      </c>
      <c r="R1528">
        <v>1014.2751301957244</v>
      </c>
      <c r="S1528">
        <v>32444.48334012699</v>
      </c>
      <c r="T1528">
        <v>0</v>
      </c>
      <c r="U1528">
        <v>0</v>
      </c>
      <c r="V1528">
        <v>58098.249805478597</v>
      </c>
      <c r="W1528">
        <v>0</v>
      </c>
      <c r="X1528">
        <v>0</v>
      </c>
      <c r="Y1528">
        <v>91557.008275801316</v>
      </c>
      <c r="Z1528">
        <v>6337.9913201923919</v>
      </c>
      <c r="AA1528">
        <v>97894.999595993708</v>
      </c>
      <c r="AB1528" t="s">
        <v>242</v>
      </c>
      <c r="AC1528">
        <v>6</v>
      </c>
      <c r="AD1528">
        <v>11118</v>
      </c>
      <c r="AE1528">
        <v>0</v>
      </c>
      <c r="AF1528">
        <v>0</v>
      </c>
      <c r="AG1528">
        <v>719.25164403149597</v>
      </c>
      <c r="AH1528" t="s">
        <v>58</v>
      </c>
    </row>
    <row r="1529" spans="1:34" x14ac:dyDescent="0.3">
      <c r="A1529" t="s">
        <v>798</v>
      </c>
      <c r="B1529">
        <v>52201087</v>
      </c>
      <c r="C1529">
        <v>26018254</v>
      </c>
      <c r="D1529" t="s">
        <v>149</v>
      </c>
      <c r="E1529" t="s">
        <v>438</v>
      </c>
      <c r="F1529" t="s">
        <v>431</v>
      </c>
      <c r="G1529" t="s">
        <v>82</v>
      </c>
      <c r="H1529" t="s">
        <v>83</v>
      </c>
      <c r="J1529" t="s">
        <v>52</v>
      </c>
      <c r="K1529" s="15">
        <v>2000</v>
      </c>
      <c r="L1529" s="15">
        <v>0</v>
      </c>
      <c r="M1529" s="13">
        <v>45257</v>
      </c>
      <c r="O1529">
        <v>0</v>
      </c>
      <c r="P1529">
        <v>0</v>
      </c>
      <c r="Q1529">
        <v>0</v>
      </c>
      <c r="R1529">
        <v>904.38556707462669</v>
      </c>
      <c r="S1529">
        <v>2873.6626361171566</v>
      </c>
      <c r="T1529">
        <v>0</v>
      </c>
      <c r="U1529">
        <v>0</v>
      </c>
      <c r="V1529">
        <v>36780.182457105089</v>
      </c>
      <c r="W1529">
        <v>0</v>
      </c>
      <c r="X1529">
        <v>0</v>
      </c>
      <c r="Y1529">
        <v>40558.230660296875</v>
      </c>
      <c r="Z1529">
        <v>2775.7691565255577</v>
      </c>
      <c r="AA1529">
        <v>43333.999816822434</v>
      </c>
      <c r="AB1529" t="s">
        <v>242</v>
      </c>
      <c r="AC1529">
        <v>3</v>
      </c>
      <c r="AD1529">
        <v>6000</v>
      </c>
      <c r="AE1529">
        <v>0</v>
      </c>
      <c r="AF1529">
        <v>0</v>
      </c>
      <c r="AG1529">
        <v>383.71681279927475</v>
      </c>
      <c r="AH1529" t="s">
        <v>58</v>
      </c>
    </row>
    <row r="1530" spans="1:34" x14ac:dyDescent="0.3">
      <c r="A1530" t="s">
        <v>798</v>
      </c>
      <c r="B1530">
        <v>52201890</v>
      </c>
      <c r="C1530">
        <v>26738561</v>
      </c>
      <c r="D1530" t="s">
        <v>168</v>
      </c>
      <c r="E1530" t="s">
        <v>438</v>
      </c>
      <c r="F1530" t="s">
        <v>431</v>
      </c>
      <c r="G1530" t="s">
        <v>82</v>
      </c>
      <c r="H1530" t="s">
        <v>83</v>
      </c>
      <c r="J1530" t="s">
        <v>52</v>
      </c>
      <c r="K1530" s="15">
        <v>1000</v>
      </c>
      <c r="L1530" s="15">
        <v>0</v>
      </c>
      <c r="M1530" s="13">
        <v>45257</v>
      </c>
      <c r="O1530">
        <v>0</v>
      </c>
      <c r="P1530">
        <v>0</v>
      </c>
      <c r="Q1530">
        <v>0</v>
      </c>
      <c r="R1530">
        <v>1057.6956176833594</v>
      </c>
      <c r="S1530">
        <v>25329.261728371373</v>
      </c>
      <c r="T1530">
        <v>0</v>
      </c>
      <c r="U1530">
        <v>0</v>
      </c>
      <c r="V1530">
        <v>41284.106700381184</v>
      </c>
      <c r="W1530">
        <v>0</v>
      </c>
      <c r="X1530">
        <v>0</v>
      </c>
      <c r="Y1530">
        <v>67671.064046435917</v>
      </c>
      <c r="Z1530">
        <v>4662.9357900126788</v>
      </c>
      <c r="AA1530">
        <v>72333.999836448595</v>
      </c>
      <c r="AB1530" t="s">
        <v>242</v>
      </c>
      <c r="AC1530">
        <v>2</v>
      </c>
      <c r="AD1530">
        <v>2000</v>
      </c>
      <c r="AE1530">
        <v>0</v>
      </c>
      <c r="AF1530">
        <v>0</v>
      </c>
      <c r="AG1530">
        <v>128.79317125031321</v>
      </c>
      <c r="AH1530" t="s">
        <v>58</v>
      </c>
    </row>
    <row r="1531" spans="1:34" x14ac:dyDescent="0.3">
      <c r="A1531" t="s">
        <v>798</v>
      </c>
      <c r="B1531">
        <v>52201928</v>
      </c>
      <c r="C1531">
        <v>28868846</v>
      </c>
      <c r="D1531" t="s">
        <v>169</v>
      </c>
      <c r="E1531" t="s">
        <v>438</v>
      </c>
      <c r="F1531" t="s">
        <v>431</v>
      </c>
      <c r="G1531" t="s">
        <v>82</v>
      </c>
      <c r="H1531" t="s">
        <v>83</v>
      </c>
      <c r="J1531" t="s">
        <v>52</v>
      </c>
      <c r="K1531" s="15">
        <v>10000</v>
      </c>
      <c r="L1531" s="15">
        <v>0</v>
      </c>
      <c r="M1531" s="13">
        <v>45257</v>
      </c>
      <c r="O1531">
        <v>0</v>
      </c>
      <c r="P1531">
        <v>0</v>
      </c>
      <c r="Q1531">
        <v>0</v>
      </c>
      <c r="R1531">
        <v>827.97578131275088</v>
      </c>
      <c r="S1531">
        <v>268.54743661893917</v>
      </c>
      <c r="T1531">
        <v>0</v>
      </c>
      <c r="U1531">
        <v>0</v>
      </c>
      <c r="V1531">
        <v>50591.288306236653</v>
      </c>
      <c r="W1531">
        <v>0</v>
      </c>
      <c r="X1531">
        <v>0</v>
      </c>
      <c r="Y1531">
        <v>51687.811524168341</v>
      </c>
      <c r="Z1531">
        <v>3560.1885019998917</v>
      </c>
      <c r="AA1531">
        <v>55248.000026168229</v>
      </c>
      <c r="AB1531" t="s">
        <v>242</v>
      </c>
      <c r="AC1531">
        <v>2</v>
      </c>
      <c r="AD1531">
        <v>13000</v>
      </c>
      <c r="AE1531">
        <v>0</v>
      </c>
      <c r="AF1531">
        <v>0</v>
      </c>
      <c r="AG1531">
        <v>836.66196700176943</v>
      </c>
      <c r="AH1531" t="s">
        <v>58</v>
      </c>
    </row>
    <row r="1532" spans="1:34" x14ac:dyDescent="0.3">
      <c r="A1532" t="s">
        <v>798</v>
      </c>
      <c r="B1532">
        <v>4142300192</v>
      </c>
      <c r="C1532">
        <v>10067571</v>
      </c>
      <c r="D1532" t="s">
        <v>192</v>
      </c>
      <c r="E1532" t="s">
        <v>445</v>
      </c>
      <c r="F1532" t="s">
        <v>430</v>
      </c>
      <c r="G1532" t="s">
        <v>233</v>
      </c>
      <c r="H1532" t="s">
        <v>234</v>
      </c>
      <c r="J1532" t="s">
        <v>52</v>
      </c>
      <c r="K1532" s="15">
        <v>5000</v>
      </c>
      <c r="L1532" s="15">
        <v>0</v>
      </c>
      <c r="M1532" s="13">
        <v>45257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275254.14018691587</v>
      </c>
      <c r="Y1532">
        <v>275254.14018691587</v>
      </c>
      <c r="Z1532">
        <v>19267.789813084113</v>
      </c>
      <c r="AA1532">
        <v>294521.93</v>
      </c>
      <c r="AB1532" t="s">
        <v>242</v>
      </c>
      <c r="AC1532">
        <v>4</v>
      </c>
      <c r="AD1532">
        <v>20000</v>
      </c>
      <c r="AE1532">
        <v>0</v>
      </c>
      <c r="AF1532">
        <v>0</v>
      </c>
      <c r="AG1532">
        <v>1308.4112149532702</v>
      </c>
      <c r="AH1532" t="s">
        <v>58</v>
      </c>
    </row>
    <row r="1533" spans="1:34" x14ac:dyDescent="0.3">
      <c r="A1533" t="s">
        <v>798</v>
      </c>
      <c r="B1533">
        <v>4142300794</v>
      </c>
      <c r="C1533">
        <v>10379208</v>
      </c>
      <c r="D1533" t="s">
        <v>209</v>
      </c>
      <c r="E1533" t="s">
        <v>445</v>
      </c>
      <c r="F1533" t="s">
        <v>430</v>
      </c>
      <c r="G1533" t="s">
        <v>230</v>
      </c>
      <c r="H1533" t="s">
        <v>234</v>
      </c>
      <c r="J1533" t="s">
        <v>52</v>
      </c>
      <c r="K1533" s="15">
        <v>12000</v>
      </c>
      <c r="L1533" s="15">
        <v>0</v>
      </c>
      <c r="M1533" s="13">
        <v>45257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487009.5981308411</v>
      </c>
      <c r="Y1533">
        <v>487009.5981308411</v>
      </c>
      <c r="Z1533">
        <v>34090.671869158883</v>
      </c>
      <c r="AA1533">
        <v>521100.26999999996</v>
      </c>
      <c r="AB1533" t="s">
        <v>242</v>
      </c>
      <c r="AC1533">
        <v>4</v>
      </c>
      <c r="AD1533">
        <v>27000</v>
      </c>
      <c r="AE1533">
        <v>0</v>
      </c>
      <c r="AF1533">
        <v>0</v>
      </c>
      <c r="AG1533">
        <v>1766.3551401869163</v>
      </c>
      <c r="AH1533" t="s">
        <v>58</v>
      </c>
    </row>
    <row r="1534" spans="1:34" x14ac:dyDescent="0.3">
      <c r="A1534" t="s">
        <v>798</v>
      </c>
      <c r="B1534">
        <v>52201928</v>
      </c>
      <c r="C1534" t="s">
        <v>95</v>
      </c>
      <c r="D1534" t="s">
        <v>169</v>
      </c>
      <c r="E1534" t="s">
        <v>438</v>
      </c>
      <c r="F1534" t="s">
        <v>431</v>
      </c>
      <c r="G1534" t="s">
        <v>82</v>
      </c>
      <c r="H1534" t="s">
        <v>83</v>
      </c>
      <c r="J1534" t="s">
        <v>416</v>
      </c>
      <c r="K1534" s="15">
        <v>0.12641000525472459</v>
      </c>
      <c r="M1534" s="13">
        <v>45257</v>
      </c>
      <c r="O1534">
        <v>0</v>
      </c>
      <c r="P1534">
        <v>0</v>
      </c>
      <c r="Q1534">
        <v>0</v>
      </c>
      <c r="R1534">
        <v>723.31135844622133</v>
      </c>
      <c r="S1534">
        <v>234.60035374479625</v>
      </c>
      <c r="T1534">
        <v>0</v>
      </c>
      <c r="U1534">
        <v>0</v>
      </c>
      <c r="V1534">
        <v>44196.043285601991</v>
      </c>
      <c r="W1534">
        <v>0</v>
      </c>
      <c r="X1534">
        <v>0</v>
      </c>
      <c r="Y1534">
        <v>45153.954997793007</v>
      </c>
      <c r="Z1534">
        <v>3110.1450547542754</v>
      </c>
      <c r="AA1534">
        <v>48264.100052547285</v>
      </c>
      <c r="AB1534" t="s">
        <v>242</v>
      </c>
      <c r="AC1534">
        <v>2</v>
      </c>
      <c r="AD1534">
        <v>13000</v>
      </c>
      <c r="AE1534">
        <v>0</v>
      </c>
      <c r="AF1534">
        <v>0</v>
      </c>
      <c r="AG1534">
        <v>836.66196700176943</v>
      </c>
      <c r="AH1534" t="s">
        <v>58</v>
      </c>
    </row>
    <row r="1535" spans="1:34" x14ac:dyDescent="0.3">
      <c r="A1535" t="s">
        <v>798</v>
      </c>
      <c r="B1535">
        <v>4132301817</v>
      </c>
      <c r="C1535" t="s">
        <v>691</v>
      </c>
      <c r="D1535" t="s">
        <v>739</v>
      </c>
      <c r="E1535" t="s">
        <v>442</v>
      </c>
      <c r="F1535" t="s">
        <v>430</v>
      </c>
      <c r="G1535" t="s">
        <v>230</v>
      </c>
      <c r="H1535" t="s">
        <v>231</v>
      </c>
      <c r="J1535" t="s">
        <v>52</v>
      </c>
      <c r="K1535" s="15">
        <v>5000</v>
      </c>
      <c r="M1535" s="13">
        <v>45257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338856.10280373832</v>
      </c>
      <c r="X1535">
        <v>0</v>
      </c>
      <c r="Y1535">
        <v>338856.10280373832</v>
      </c>
      <c r="Z1535">
        <v>23719.927196261684</v>
      </c>
      <c r="AA1535">
        <v>362576.03</v>
      </c>
      <c r="AB1535" t="s">
        <v>242</v>
      </c>
      <c r="AC1535">
        <v>1</v>
      </c>
      <c r="AD1535">
        <v>5000</v>
      </c>
      <c r="AE1535">
        <v>0</v>
      </c>
      <c r="AF1535">
        <v>0</v>
      </c>
      <c r="AG1535">
        <v>327.10280373831756</v>
      </c>
      <c r="AH1535" t="s">
        <v>72</v>
      </c>
    </row>
    <row r="1536" spans="1:34" x14ac:dyDescent="0.3">
      <c r="A1536" t="s">
        <v>798</v>
      </c>
      <c r="B1536">
        <v>12200104</v>
      </c>
      <c r="C1536" t="s">
        <v>800</v>
      </c>
      <c r="D1536" t="s">
        <v>810</v>
      </c>
      <c r="E1536" t="s">
        <v>437</v>
      </c>
      <c r="F1536" t="s">
        <v>427</v>
      </c>
      <c r="G1536" t="s">
        <v>230</v>
      </c>
      <c r="H1536" t="s">
        <v>230</v>
      </c>
      <c r="J1536" t="s">
        <v>52</v>
      </c>
      <c r="K1536" s="15">
        <v>1000</v>
      </c>
      <c r="L1536" s="15">
        <v>0</v>
      </c>
      <c r="M1536" s="13">
        <v>45258</v>
      </c>
      <c r="O1536">
        <v>0</v>
      </c>
      <c r="P1536">
        <v>0</v>
      </c>
      <c r="Q1536">
        <v>0</v>
      </c>
      <c r="R1536">
        <v>0</v>
      </c>
      <c r="S1536">
        <v>85743.898399999976</v>
      </c>
      <c r="T1536">
        <v>0</v>
      </c>
      <c r="U1536">
        <v>0</v>
      </c>
      <c r="V1536">
        <v>139995.57999999999</v>
      </c>
      <c r="W1536">
        <v>0</v>
      </c>
      <c r="X1536">
        <v>0</v>
      </c>
      <c r="Y1536">
        <v>225739.47839999996</v>
      </c>
      <c r="Z1536">
        <v>0</v>
      </c>
      <c r="AA1536">
        <v>225739.47839999996</v>
      </c>
      <c r="AB1536" t="s">
        <v>242</v>
      </c>
      <c r="AC1536">
        <v>3</v>
      </c>
      <c r="AD1536">
        <v>4500</v>
      </c>
      <c r="AE1536">
        <v>0</v>
      </c>
      <c r="AF1536">
        <v>0</v>
      </c>
      <c r="AG1536">
        <v>0</v>
      </c>
      <c r="AH1536" t="s">
        <v>58</v>
      </c>
    </row>
    <row r="1537" spans="1:34" x14ac:dyDescent="0.3">
      <c r="A1537" t="s">
        <v>798</v>
      </c>
      <c r="B1537">
        <v>22200061</v>
      </c>
      <c r="C1537">
        <v>19290575</v>
      </c>
      <c r="D1537" t="s">
        <v>84</v>
      </c>
      <c r="E1537" t="s">
        <v>435</v>
      </c>
      <c r="F1537" t="s">
        <v>428</v>
      </c>
      <c r="G1537" t="s">
        <v>82</v>
      </c>
      <c r="H1537" t="s">
        <v>82</v>
      </c>
      <c r="J1537" t="s">
        <v>52</v>
      </c>
      <c r="K1537" s="15">
        <v>1000</v>
      </c>
      <c r="L1537" s="15">
        <v>0</v>
      </c>
      <c r="M1537" s="13">
        <v>45258</v>
      </c>
      <c r="O1537">
        <v>0</v>
      </c>
      <c r="P1537">
        <v>0</v>
      </c>
      <c r="Q1537">
        <v>0</v>
      </c>
      <c r="R1537">
        <v>0</v>
      </c>
      <c r="S1537">
        <v>3625.7709089598566</v>
      </c>
      <c r="T1537">
        <v>0</v>
      </c>
      <c r="U1537">
        <v>0</v>
      </c>
      <c r="V1537">
        <v>22341.817670062115</v>
      </c>
      <c r="W1537">
        <v>0</v>
      </c>
      <c r="X1537">
        <v>0</v>
      </c>
      <c r="Y1537">
        <v>25967.588579021973</v>
      </c>
      <c r="Z1537">
        <v>0</v>
      </c>
      <c r="AA1537">
        <v>25967.588579021973</v>
      </c>
      <c r="AB1537" t="s">
        <v>242</v>
      </c>
      <c r="AC1537">
        <v>5</v>
      </c>
      <c r="AD1537">
        <v>4500</v>
      </c>
      <c r="AE1537">
        <v>0</v>
      </c>
      <c r="AF1537">
        <v>0</v>
      </c>
      <c r="AG1537">
        <v>0</v>
      </c>
      <c r="AH1537" t="s">
        <v>58</v>
      </c>
    </row>
    <row r="1538" spans="1:34" x14ac:dyDescent="0.3">
      <c r="A1538" t="s">
        <v>798</v>
      </c>
      <c r="B1538">
        <v>52200647</v>
      </c>
      <c r="C1538">
        <v>29594859</v>
      </c>
      <c r="D1538" t="s">
        <v>139</v>
      </c>
      <c r="E1538" t="s">
        <v>438</v>
      </c>
      <c r="F1538" t="s">
        <v>431</v>
      </c>
      <c r="G1538" t="s">
        <v>82</v>
      </c>
      <c r="H1538" t="s">
        <v>83</v>
      </c>
      <c r="J1538" t="s">
        <v>52</v>
      </c>
      <c r="K1538" s="15">
        <v>10000</v>
      </c>
      <c r="L1538" s="15">
        <v>0</v>
      </c>
      <c r="M1538" s="13">
        <v>45258</v>
      </c>
      <c r="O1538">
        <v>0</v>
      </c>
      <c r="P1538">
        <v>0</v>
      </c>
      <c r="Q1538">
        <v>0</v>
      </c>
      <c r="R1538">
        <v>870.83800391131786</v>
      </c>
      <c r="S1538">
        <v>29445.217659895963</v>
      </c>
      <c r="T1538">
        <v>0</v>
      </c>
      <c r="U1538">
        <v>0</v>
      </c>
      <c r="V1538">
        <v>58470.824672897194</v>
      </c>
      <c r="W1538">
        <v>0</v>
      </c>
      <c r="X1538">
        <v>0</v>
      </c>
      <c r="Y1538">
        <v>88786.880336704475</v>
      </c>
      <c r="Z1538">
        <v>6154.122963295521</v>
      </c>
      <c r="AA1538">
        <v>94941.003299999997</v>
      </c>
      <c r="AB1538" t="s">
        <v>242</v>
      </c>
      <c r="AC1538">
        <v>6</v>
      </c>
      <c r="AD1538">
        <v>17000</v>
      </c>
      <c r="AE1538">
        <v>0</v>
      </c>
      <c r="AF1538">
        <v>0</v>
      </c>
      <c r="AG1538">
        <v>1101.1482806297126</v>
      </c>
      <c r="AH1538" t="s">
        <v>58</v>
      </c>
    </row>
    <row r="1539" spans="1:34" x14ac:dyDescent="0.3">
      <c r="A1539" t="s">
        <v>798</v>
      </c>
      <c r="B1539">
        <v>4132300010</v>
      </c>
      <c r="C1539">
        <v>1050344882</v>
      </c>
      <c r="D1539" t="s">
        <v>898</v>
      </c>
      <c r="E1539" t="s">
        <v>441</v>
      </c>
      <c r="F1539" t="s">
        <v>430</v>
      </c>
      <c r="G1539" t="s">
        <v>230</v>
      </c>
      <c r="H1539" t="s">
        <v>231</v>
      </c>
      <c r="J1539" t="s">
        <v>52</v>
      </c>
      <c r="K1539" s="15">
        <v>18727.21</v>
      </c>
      <c r="L1539" s="15">
        <v>0</v>
      </c>
      <c r="M1539" s="13">
        <v>45258</v>
      </c>
      <c r="O1539">
        <v>0</v>
      </c>
      <c r="P1539">
        <v>13972.678955043202</v>
      </c>
      <c r="Q1539">
        <v>0</v>
      </c>
      <c r="R1539">
        <v>0</v>
      </c>
      <c r="S1539">
        <v>10415.342465753425</v>
      </c>
      <c r="T1539">
        <v>57981.412191548414</v>
      </c>
      <c r="U1539">
        <v>0</v>
      </c>
      <c r="V1539">
        <v>0</v>
      </c>
      <c r="W1539">
        <v>514018.69158878503</v>
      </c>
      <c r="X1539">
        <v>0</v>
      </c>
      <c r="Y1539">
        <v>596388.12520113005</v>
      </c>
      <c r="Z1539">
        <v>40040.007264623346</v>
      </c>
      <c r="AA1539">
        <v>636428.13246575336</v>
      </c>
      <c r="AB1539" t="s">
        <v>242</v>
      </c>
      <c r="AC1539">
        <v>1</v>
      </c>
      <c r="AD1539">
        <v>18727.21</v>
      </c>
      <c r="AE1539">
        <v>0</v>
      </c>
      <c r="AF1539">
        <v>0</v>
      </c>
      <c r="AG1539">
        <v>1174.9460064046943</v>
      </c>
      <c r="AH1539" t="s">
        <v>72</v>
      </c>
    </row>
    <row r="1540" spans="1:34" x14ac:dyDescent="0.3">
      <c r="A1540" t="s">
        <v>798</v>
      </c>
      <c r="B1540">
        <v>62200104</v>
      </c>
      <c r="C1540" t="s">
        <v>245</v>
      </c>
      <c r="D1540" t="s">
        <v>316</v>
      </c>
      <c r="E1540" t="s">
        <v>435</v>
      </c>
      <c r="F1540" t="s">
        <v>432</v>
      </c>
      <c r="G1540" t="s">
        <v>328</v>
      </c>
      <c r="H1540" t="s">
        <v>82</v>
      </c>
      <c r="J1540" t="s">
        <v>52</v>
      </c>
      <c r="K1540" s="15">
        <v>3000</v>
      </c>
      <c r="L1540" s="15">
        <v>0</v>
      </c>
      <c r="M1540" s="13">
        <v>45258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 t="s">
        <v>242</v>
      </c>
      <c r="AC1540">
        <v>16</v>
      </c>
      <c r="AD1540">
        <v>38000</v>
      </c>
      <c r="AE1540">
        <v>0</v>
      </c>
      <c r="AF1540">
        <v>0</v>
      </c>
      <c r="AG1540">
        <v>0</v>
      </c>
      <c r="AH1540" t="s">
        <v>58</v>
      </c>
    </row>
    <row r="1541" spans="1:34" x14ac:dyDescent="0.3">
      <c r="A1541" t="s">
        <v>798</v>
      </c>
      <c r="B1541">
        <v>12200173</v>
      </c>
      <c r="C1541">
        <v>19267973</v>
      </c>
      <c r="D1541" t="s">
        <v>118</v>
      </c>
      <c r="E1541" t="s">
        <v>438</v>
      </c>
      <c r="F1541" t="s">
        <v>427</v>
      </c>
      <c r="G1541" t="s">
        <v>82</v>
      </c>
      <c r="H1541" t="s">
        <v>82</v>
      </c>
      <c r="J1541" t="s">
        <v>52</v>
      </c>
      <c r="K1541" s="15">
        <v>1000</v>
      </c>
      <c r="L1541" s="15">
        <v>0</v>
      </c>
      <c r="M1541" s="13">
        <v>45259</v>
      </c>
      <c r="O1541">
        <v>0</v>
      </c>
      <c r="P1541">
        <v>0</v>
      </c>
      <c r="Q1541">
        <v>0</v>
      </c>
      <c r="R1541">
        <v>745</v>
      </c>
      <c r="S1541">
        <v>35019.983876681952</v>
      </c>
      <c r="T1541">
        <v>0</v>
      </c>
      <c r="U1541">
        <v>0</v>
      </c>
      <c r="V1541">
        <v>100001.5186470839</v>
      </c>
      <c r="W1541">
        <v>0</v>
      </c>
      <c r="X1541">
        <v>0</v>
      </c>
      <c r="Y1541">
        <v>135766.50252376584</v>
      </c>
      <c r="Z1541">
        <v>0</v>
      </c>
      <c r="AA1541">
        <v>135766.50252376584</v>
      </c>
      <c r="AB1541" t="s">
        <v>242</v>
      </c>
      <c r="AC1541">
        <v>2</v>
      </c>
      <c r="AD1541">
        <v>1500</v>
      </c>
      <c r="AE1541">
        <v>0</v>
      </c>
      <c r="AF1541">
        <v>0</v>
      </c>
      <c r="AG1541">
        <v>0</v>
      </c>
      <c r="AH1541" t="s">
        <v>58</v>
      </c>
    </row>
    <row r="1542" spans="1:34" x14ac:dyDescent="0.3">
      <c r="A1542" t="s">
        <v>798</v>
      </c>
      <c r="B1542">
        <v>12200198</v>
      </c>
      <c r="C1542">
        <v>21155200</v>
      </c>
      <c r="D1542" t="s">
        <v>815</v>
      </c>
      <c r="E1542" t="s">
        <v>438</v>
      </c>
      <c r="F1542" t="s">
        <v>427</v>
      </c>
      <c r="G1542" t="s">
        <v>82</v>
      </c>
      <c r="H1542" t="s">
        <v>82</v>
      </c>
      <c r="J1542" t="s">
        <v>52</v>
      </c>
      <c r="K1542" s="15">
        <v>3000</v>
      </c>
      <c r="L1542" s="15">
        <v>0</v>
      </c>
      <c r="M1542" s="13">
        <v>45259</v>
      </c>
      <c r="O1542">
        <v>0</v>
      </c>
      <c r="P1542">
        <v>0</v>
      </c>
      <c r="Q1542">
        <v>0</v>
      </c>
      <c r="R1542">
        <v>0</v>
      </c>
      <c r="S1542">
        <v>9252.2676913278192</v>
      </c>
      <c r="T1542">
        <v>0</v>
      </c>
      <c r="U1542">
        <v>0</v>
      </c>
      <c r="V1542">
        <v>142102.18304325169</v>
      </c>
      <c r="W1542">
        <v>0</v>
      </c>
      <c r="X1542">
        <v>0</v>
      </c>
      <c r="Y1542">
        <v>151354.4507345795</v>
      </c>
      <c r="Z1542">
        <v>0</v>
      </c>
      <c r="AA1542">
        <v>151354.4507345795</v>
      </c>
      <c r="AB1542" t="s">
        <v>242</v>
      </c>
      <c r="AC1542">
        <v>12</v>
      </c>
      <c r="AD1542">
        <v>30000</v>
      </c>
      <c r="AE1542">
        <v>0</v>
      </c>
      <c r="AF1542">
        <v>0</v>
      </c>
      <c r="AG1542">
        <v>0</v>
      </c>
      <c r="AH1542" t="s">
        <v>58</v>
      </c>
    </row>
    <row r="1543" spans="1:34" x14ac:dyDescent="0.3">
      <c r="A1543" t="s">
        <v>798</v>
      </c>
      <c r="B1543">
        <v>32200123</v>
      </c>
      <c r="C1543">
        <v>26112598</v>
      </c>
      <c r="D1543" t="s">
        <v>815</v>
      </c>
      <c r="E1543" t="s">
        <v>438</v>
      </c>
      <c r="F1543" t="s">
        <v>429</v>
      </c>
      <c r="G1543" t="s">
        <v>82</v>
      </c>
      <c r="H1543" t="s">
        <v>82</v>
      </c>
      <c r="J1543" t="s">
        <v>52</v>
      </c>
      <c r="K1543" s="15">
        <v>2000</v>
      </c>
      <c r="L1543" s="15">
        <v>0</v>
      </c>
      <c r="M1543" s="13">
        <v>45259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12404.701369863014</v>
      </c>
      <c r="W1543">
        <v>0</v>
      </c>
      <c r="X1543">
        <v>0</v>
      </c>
      <c r="Y1543">
        <v>12404.701369863014</v>
      </c>
      <c r="Z1543">
        <v>0</v>
      </c>
      <c r="AA1543">
        <v>12404.701369863014</v>
      </c>
      <c r="AB1543" t="s">
        <v>242</v>
      </c>
      <c r="AC1543">
        <v>6</v>
      </c>
      <c r="AD1543">
        <v>13000</v>
      </c>
      <c r="AE1543">
        <v>0</v>
      </c>
      <c r="AF1543">
        <v>0</v>
      </c>
      <c r="AG1543">
        <v>0</v>
      </c>
      <c r="AH1543" t="s">
        <v>58</v>
      </c>
    </row>
    <row r="1544" spans="1:34" x14ac:dyDescent="0.3">
      <c r="A1544" t="s">
        <v>798</v>
      </c>
      <c r="B1544">
        <v>52201351</v>
      </c>
      <c r="C1544">
        <v>22940816</v>
      </c>
      <c r="D1544" t="s">
        <v>155</v>
      </c>
      <c r="E1544" t="s">
        <v>438</v>
      </c>
      <c r="F1544" t="s">
        <v>431</v>
      </c>
      <c r="G1544" t="s">
        <v>82</v>
      </c>
      <c r="H1544" t="s">
        <v>83</v>
      </c>
      <c r="J1544" t="s">
        <v>52</v>
      </c>
      <c r="K1544" s="15">
        <v>800</v>
      </c>
      <c r="L1544" s="15">
        <v>0</v>
      </c>
      <c r="M1544" s="13">
        <v>45259</v>
      </c>
      <c r="O1544">
        <v>0</v>
      </c>
      <c r="P1544">
        <v>0</v>
      </c>
      <c r="Q1544">
        <v>0</v>
      </c>
      <c r="R1544">
        <v>820.25284296258826</v>
      </c>
      <c r="S1544">
        <v>23035.442994168112</v>
      </c>
      <c r="T1544">
        <v>0</v>
      </c>
      <c r="U1544">
        <v>0</v>
      </c>
      <c r="V1544">
        <v>73829.741339665459</v>
      </c>
      <c r="W1544">
        <v>0</v>
      </c>
      <c r="X1544">
        <v>0</v>
      </c>
      <c r="Y1544">
        <v>97685.437176796157</v>
      </c>
      <c r="Z1544">
        <v>6780.5629033683508</v>
      </c>
      <c r="AA1544">
        <v>104466.00008016451</v>
      </c>
      <c r="AB1544" t="s">
        <v>242</v>
      </c>
      <c r="AC1544">
        <v>11</v>
      </c>
      <c r="AD1544">
        <v>8400</v>
      </c>
      <c r="AE1544">
        <v>0</v>
      </c>
      <c r="AF1544">
        <v>0</v>
      </c>
      <c r="AG1544">
        <v>544.90439159568359</v>
      </c>
      <c r="AH1544" t="s">
        <v>58</v>
      </c>
    </row>
    <row r="1545" spans="1:34" x14ac:dyDescent="0.3">
      <c r="A1545" t="s">
        <v>798</v>
      </c>
      <c r="B1545">
        <v>52201479</v>
      </c>
      <c r="C1545">
        <v>26373941</v>
      </c>
      <c r="D1545" t="s">
        <v>159</v>
      </c>
      <c r="E1545" t="s">
        <v>438</v>
      </c>
      <c r="F1545" t="s">
        <v>431</v>
      </c>
      <c r="G1545" t="s">
        <v>82</v>
      </c>
      <c r="H1545" t="s">
        <v>83</v>
      </c>
      <c r="J1545" t="s">
        <v>52</v>
      </c>
      <c r="K1545" s="15">
        <v>4700</v>
      </c>
      <c r="L1545" s="15">
        <v>0</v>
      </c>
      <c r="M1545" s="13">
        <v>45259</v>
      </c>
      <c r="O1545">
        <v>0</v>
      </c>
      <c r="P1545">
        <v>0</v>
      </c>
      <c r="Q1545">
        <v>0</v>
      </c>
      <c r="R1545">
        <v>387.99474344163389</v>
      </c>
      <c r="S1545">
        <v>0</v>
      </c>
      <c r="T1545">
        <v>0</v>
      </c>
      <c r="U1545">
        <v>0</v>
      </c>
      <c r="V1545">
        <v>31350.472281873921</v>
      </c>
      <c r="W1545">
        <v>0</v>
      </c>
      <c r="X1545">
        <v>0</v>
      </c>
      <c r="Y1545">
        <v>31738.467025315556</v>
      </c>
      <c r="Z1545">
        <v>2194.5330597311745</v>
      </c>
      <c r="AA1545">
        <v>33933.000085046733</v>
      </c>
      <c r="AB1545" t="s">
        <v>242</v>
      </c>
      <c r="AC1545">
        <v>9</v>
      </c>
      <c r="AD1545">
        <v>39700</v>
      </c>
      <c r="AE1545">
        <v>0</v>
      </c>
      <c r="AF1545">
        <v>0</v>
      </c>
      <c r="AG1545">
        <v>2564.2893757391726</v>
      </c>
      <c r="AH1545" t="s">
        <v>58</v>
      </c>
    </row>
    <row r="1546" spans="1:34" x14ac:dyDescent="0.3">
      <c r="A1546" t="s">
        <v>798</v>
      </c>
      <c r="B1546">
        <v>52201589</v>
      </c>
      <c r="C1546">
        <v>25928923</v>
      </c>
      <c r="D1546" t="s">
        <v>162</v>
      </c>
      <c r="E1546" t="s">
        <v>438</v>
      </c>
      <c r="F1546" t="s">
        <v>431</v>
      </c>
      <c r="G1546" t="s">
        <v>82</v>
      </c>
      <c r="H1546" t="s">
        <v>83</v>
      </c>
      <c r="J1546" t="s">
        <v>52</v>
      </c>
      <c r="K1546" s="15">
        <v>1000</v>
      </c>
      <c r="L1546" s="15">
        <v>0</v>
      </c>
      <c r="M1546" s="13">
        <v>45259</v>
      </c>
      <c r="O1546">
        <v>0</v>
      </c>
      <c r="P1546">
        <v>0</v>
      </c>
      <c r="Q1546">
        <v>0</v>
      </c>
      <c r="R1546">
        <v>1024.258648536214</v>
      </c>
      <c r="S1546">
        <v>13866.34789856428</v>
      </c>
      <c r="T1546">
        <v>0</v>
      </c>
      <c r="U1546">
        <v>0</v>
      </c>
      <c r="V1546">
        <v>54655.854112149529</v>
      </c>
      <c r="W1546">
        <v>0</v>
      </c>
      <c r="X1546">
        <v>0</v>
      </c>
      <c r="Y1546">
        <v>69546.46065925002</v>
      </c>
      <c r="Z1546">
        <v>4796.5541407499668</v>
      </c>
      <c r="AA1546">
        <v>74343.01479999999</v>
      </c>
      <c r="AB1546" t="s">
        <v>242</v>
      </c>
      <c r="AC1546">
        <v>1</v>
      </c>
      <c r="AD1546">
        <v>1000</v>
      </c>
      <c r="AE1546">
        <v>0</v>
      </c>
      <c r="AF1546">
        <v>0</v>
      </c>
      <c r="AG1546">
        <v>64.456173268724342</v>
      </c>
      <c r="AH1546" t="s">
        <v>72</v>
      </c>
    </row>
    <row r="1547" spans="1:34" x14ac:dyDescent="0.3">
      <c r="A1547" t="s">
        <v>798</v>
      </c>
      <c r="B1547">
        <v>52201718</v>
      </c>
      <c r="C1547">
        <v>28964368</v>
      </c>
      <c r="D1547" t="s">
        <v>884</v>
      </c>
      <c r="E1547" t="s">
        <v>438</v>
      </c>
      <c r="F1547" t="s">
        <v>431</v>
      </c>
      <c r="G1547" t="s">
        <v>82</v>
      </c>
      <c r="H1547" t="s">
        <v>83</v>
      </c>
      <c r="J1547" t="s">
        <v>52</v>
      </c>
      <c r="K1547" s="15">
        <v>3000</v>
      </c>
      <c r="L1547" s="15">
        <v>0</v>
      </c>
      <c r="M1547" s="13">
        <v>45259</v>
      </c>
      <c r="O1547">
        <v>0</v>
      </c>
      <c r="P1547">
        <v>0</v>
      </c>
      <c r="Q1547">
        <v>0</v>
      </c>
      <c r="R1547">
        <v>855.18276927982424</v>
      </c>
      <c r="S1547">
        <v>55269.504193929119</v>
      </c>
      <c r="T1547">
        <v>0</v>
      </c>
      <c r="U1547">
        <v>0</v>
      </c>
      <c r="V1547">
        <v>87423.783206604203</v>
      </c>
      <c r="W1547">
        <v>0</v>
      </c>
      <c r="X1547">
        <v>0</v>
      </c>
      <c r="Y1547">
        <v>143548.47016981314</v>
      </c>
      <c r="Z1547">
        <v>9988.5301180373335</v>
      </c>
      <c r="AA1547">
        <v>153537.00028785047</v>
      </c>
      <c r="AB1547" t="s">
        <v>242</v>
      </c>
      <c r="AC1547">
        <v>2</v>
      </c>
      <c r="AD1547">
        <v>6000</v>
      </c>
      <c r="AE1547">
        <v>0</v>
      </c>
      <c r="AF1547">
        <v>0</v>
      </c>
      <c r="AG1547">
        <v>390.18018116783924</v>
      </c>
      <c r="AH1547" t="s">
        <v>58</v>
      </c>
    </row>
    <row r="1548" spans="1:34" x14ac:dyDescent="0.3">
      <c r="A1548" t="s">
        <v>798</v>
      </c>
      <c r="B1548">
        <v>52201809</v>
      </c>
      <c r="C1548">
        <v>28380987</v>
      </c>
      <c r="D1548" t="s">
        <v>164</v>
      </c>
      <c r="E1548" t="s">
        <v>438</v>
      </c>
      <c r="F1548" t="s">
        <v>431</v>
      </c>
      <c r="G1548" t="s">
        <v>82</v>
      </c>
      <c r="H1548" t="s">
        <v>83</v>
      </c>
      <c r="J1548" t="s">
        <v>52</v>
      </c>
      <c r="K1548" s="15">
        <v>2000</v>
      </c>
      <c r="L1548" s="15">
        <v>0</v>
      </c>
      <c r="M1548" s="13">
        <v>45259</v>
      </c>
      <c r="O1548">
        <v>0</v>
      </c>
      <c r="P1548">
        <v>0</v>
      </c>
      <c r="Q1548">
        <v>0</v>
      </c>
      <c r="R1548">
        <v>937.27880759659217</v>
      </c>
      <c r="S1548">
        <v>28590.082513657595</v>
      </c>
      <c r="T1548">
        <v>0</v>
      </c>
      <c r="U1548">
        <v>0</v>
      </c>
      <c r="V1548">
        <v>51867.600635850336</v>
      </c>
      <c r="W1548">
        <v>0</v>
      </c>
      <c r="X1548">
        <v>0</v>
      </c>
      <c r="Y1548">
        <v>81394.961957104519</v>
      </c>
      <c r="Z1548">
        <v>5632.0378204655563</v>
      </c>
      <c r="AA1548">
        <v>87026.999777570076</v>
      </c>
      <c r="AB1548" t="s">
        <v>242</v>
      </c>
      <c r="AC1548">
        <v>12</v>
      </c>
      <c r="AD1548">
        <v>8800</v>
      </c>
      <c r="AE1548">
        <v>0</v>
      </c>
      <c r="AF1548">
        <v>0</v>
      </c>
      <c r="AG1548">
        <v>569.04627713248738</v>
      </c>
      <c r="AH1548" t="s">
        <v>58</v>
      </c>
    </row>
    <row r="1549" spans="1:34" x14ac:dyDescent="0.3">
      <c r="A1549" t="s">
        <v>798</v>
      </c>
      <c r="B1549">
        <v>4132300824</v>
      </c>
      <c r="C1549">
        <v>9070041828</v>
      </c>
      <c r="D1549" t="s">
        <v>177</v>
      </c>
      <c r="E1549" t="s">
        <v>441</v>
      </c>
      <c r="F1549" t="s">
        <v>430</v>
      </c>
      <c r="G1549" t="s">
        <v>233</v>
      </c>
      <c r="H1549" t="s">
        <v>231</v>
      </c>
      <c r="J1549" t="s">
        <v>52</v>
      </c>
      <c r="K1549" s="15">
        <v>1000</v>
      </c>
      <c r="L1549" s="15">
        <v>0</v>
      </c>
      <c r="M1549" s="13">
        <v>45259</v>
      </c>
      <c r="O1549">
        <v>0</v>
      </c>
      <c r="P1549">
        <v>3651.2490189636524</v>
      </c>
      <c r="Q1549">
        <v>0</v>
      </c>
      <c r="R1549">
        <v>0</v>
      </c>
      <c r="S1549">
        <v>10431.390410958904</v>
      </c>
      <c r="T1549">
        <v>17335.281290688174</v>
      </c>
      <c r="U1549">
        <v>0</v>
      </c>
      <c r="V1549">
        <v>0</v>
      </c>
      <c r="W1549">
        <v>0</v>
      </c>
      <c r="X1549">
        <v>0</v>
      </c>
      <c r="Y1549">
        <v>31417.920720610731</v>
      </c>
      <c r="Z1549">
        <v>1213.4696903481722</v>
      </c>
      <c r="AA1549">
        <v>32631.390410958902</v>
      </c>
      <c r="AB1549" t="s">
        <v>242</v>
      </c>
      <c r="AC1549">
        <v>1</v>
      </c>
      <c r="AD1549">
        <v>1000</v>
      </c>
      <c r="AE1549">
        <v>0</v>
      </c>
      <c r="AF1549">
        <v>0</v>
      </c>
      <c r="AG1549">
        <v>36.063019932201541</v>
      </c>
      <c r="AH1549" t="s">
        <v>72</v>
      </c>
    </row>
    <row r="1550" spans="1:34" x14ac:dyDescent="0.3">
      <c r="A1550" t="s">
        <v>798</v>
      </c>
      <c r="B1550">
        <v>4142300377</v>
      </c>
      <c r="C1550">
        <v>10166278</v>
      </c>
      <c r="D1550" t="s">
        <v>917</v>
      </c>
      <c r="E1550" t="s">
        <v>445</v>
      </c>
      <c r="F1550" t="s">
        <v>430</v>
      </c>
      <c r="G1550" t="s">
        <v>230</v>
      </c>
      <c r="H1550" t="s">
        <v>234</v>
      </c>
      <c r="J1550" t="s">
        <v>52</v>
      </c>
      <c r="K1550" s="15">
        <v>20000</v>
      </c>
      <c r="L1550" s="15">
        <v>0</v>
      </c>
      <c r="M1550" s="13">
        <v>45259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597869.92702598916</v>
      </c>
      <c r="Y1550">
        <v>597869.92702598916</v>
      </c>
      <c r="Z1550">
        <v>41850.894891819247</v>
      </c>
      <c r="AA1550">
        <v>639720.82191780838</v>
      </c>
      <c r="AB1550" t="s">
        <v>242</v>
      </c>
      <c r="AC1550">
        <v>4</v>
      </c>
      <c r="AD1550">
        <v>110000</v>
      </c>
      <c r="AE1550">
        <v>0</v>
      </c>
      <c r="AF1550">
        <v>0</v>
      </c>
      <c r="AG1550">
        <v>7196.2616822429882</v>
      </c>
      <c r="AH1550" t="s">
        <v>58</v>
      </c>
    </row>
    <row r="1551" spans="1:34" x14ac:dyDescent="0.3">
      <c r="A1551" t="s">
        <v>798</v>
      </c>
      <c r="B1551">
        <v>4142300377</v>
      </c>
      <c r="C1551">
        <v>10166278</v>
      </c>
      <c r="D1551" t="s">
        <v>917</v>
      </c>
      <c r="E1551" t="s">
        <v>445</v>
      </c>
      <c r="F1551" t="s">
        <v>430</v>
      </c>
      <c r="G1551" t="s">
        <v>230</v>
      </c>
      <c r="H1551" t="s">
        <v>234</v>
      </c>
      <c r="J1551" t="s">
        <v>52</v>
      </c>
      <c r="K1551" s="15">
        <v>30000</v>
      </c>
      <c r="L1551" s="15">
        <v>0</v>
      </c>
      <c r="M1551" s="13">
        <v>45259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569832.5438484191</v>
      </c>
      <c r="Y1551">
        <v>569832.5438484191</v>
      </c>
      <c r="Z1551">
        <v>39888.278069389344</v>
      </c>
      <c r="AA1551">
        <v>609720.82191780838</v>
      </c>
      <c r="AB1551" t="s">
        <v>242</v>
      </c>
      <c r="AC1551">
        <v>5</v>
      </c>
      <c r="AD1551">
        <v>140000</v>
      </c>
      <c r="AE1551">
        <v>0</v>
      </c>
      <c r="AF1551">
        <v>0</v>
      </c>
      <c r="AG1551">
        <v>9158.8785046728954</v>
      </c>
      <c r="AH1551" t="s">
        <v>58</v>
      </c>
    </row>
    <row r="1552" spans="1:34" x14ac:dyDescent="0.3">
      <c r="A1552" t="s">
        <v>798</v>
      </c>
      <c r="B1552">
        <v>4142300425</v>
      </c>
      <c r="C1552">
        <v>10188307</v>
      </c>
      <c r="D1552" t="s">
        <v>199</v>
      </c>
      <c r="E1552" t="s">
        <v>445</v>
      </c>
      <c r="F1552" t="s">
        <v>430</v>
      </c>
      <c r="G1552" t="s">
        <v>230</v>
      </c>
      <c r="H1552" t="s">
        <v>234</v>
      </c>
      <c r="J1552" t="s">
        <v>52</v>
      </c>
      <c r="K1552" s="15">
        <v>11000</v>
      </c>
      <c r="L1552" s="15">
        <v>0</v>
      </c>
      <c r="M1552" s="13">
        <v>45259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280005.63551401877</v>
      </c>
      <c r="Y1552">
        <v>280005.63551401877</v>
      </c>
      <c r="Z1552">
        <v>19600.394485981316</v>
      </c>
      <c r="AA1552">
        <v>299606.03000000009</v>
      </c>
      <c r="AB1552" t="s">
        <v>242</v>
      </c>
      <c r="AC1552">
        <v>2</v>
      </c>
      <c r="AD1552">
        <v>41000</v>
      </c>
      <c r="AE1552">
        <v>0</v>
      </c>
      <c r="AF1552">
        <v>0</v>
      </c>
      <c r="AG1552">
        <v>2682.2429906542056</v>
      </c>
      <c r="AH1552" t="s">
        <v>58</v>
      </c>
    </row>
    <row r="1553" spans="1:34" x14ac:dyDescent="0.3">
      <c r="A1553" t="s">
        <v>798</v>
      </c>
      <c r="B1553">
        <v>4302300006</v>
      </c>
      <c r="C1553">
        <v>901021066959</v>
      </c>
      <c r="D1553" t="s">
        <v>222</v>
      </c>
      <c r="E1553" t="s">
        <v>447</v>
      </c>
      <c r="F1553" t="s">
        <v>433</v>
      </c>
      <c r="G1553" t="s">
        <v>82</v>
      </c>
      <c r="H1553" t="s">
        <v>83</v>
      </c>
      <c r="J1553" t="s">
        <v>52</v>
      </c>
      <c r="K1553" s="15">
        <v>50617</v>
      </c>
      <c r="L1553" s="15">
        <v>0</v>
      </c>
      <c r="M1553" s="13">
        <v>45259</v>
      </c>
      <c r="O1553">
        <v>0</v>
      </c>
      <c r="P1553">
        <v>0</v>
      </c>
      <c r="Q1553">
        <v>220656.15022869717</v>
      </c>
      <c r="R1553">
        <v>2049.62</v>
      </c>
      <c r="S1553">
        <v>18017.087543273672</v>
      </c>
      <c r="T1553">
        <v>0</v>
      </c>
      <c r="U1553">
        <v>0</v>
      </c>
      <c r="V1553">
        <v>2643283.79</v>
      </c>
      <c r="W1553">
        <v>0</v>
      </c>
      <c r="X1553">
        <v>0</v>
      </c>
      <c r="Y1553">
        <v>2884006.6477719708</v>
      </c>
      <c r="Z1553">
        <v>186291.06142802918</v>
      </c>
      <c r="AA1553">
        <v>3070297.7091999999</v>
      </c>
      <c r="AB1553" t="s">
        <v>242</v>
      </c>
      <c r="AC1553">
        <v>2</v>
      </c>
      <c r="AD1553">
        <v>101234</v>
      </c>
      <c r="AE1553">
        <v>0</v>
      </c>
      <c r="AF1553">
        <v>0</v>
      </c>
      <c r="AG1553">
        <v>6110.5577719708454</v>
      </c>
      <c r="AH1553" t="s">
        <v>58</v>
      </c>
    </row>
    <row r="1554" spans="1:34" x14ac:dyDescent="0.3">
      <c r="A1554" t="s">
        <v>798</v>
      </c>
      <c r="B1554">
        <v>4302300030</v>
      </c>
      <c r="C1554">
        <v>901014009060</v>
      </c>
      <c r="D1554" t="s">
        <v>226</v>
      </c>
      <c r="E1554" t="s">
        <v>447</v>
      </c>
      <c r="F1554" t="s">
        <v>433</v>
      </c>
      <c r="G1554" t="s">
        <v>82</v>
      </c>
      <c r="H1554" t="s">
        <v>83</v>
      </c>
      <c r="J1554" t="s">
        <v>52</v>
      </c>
      <c r="K1554" s="15">
        <v>20000</v>
      </c>
      <c r="L1554" s="15">
        <v>0</v>
      </c>
      <c r="M1554" s="13">
        <v>45259</v>
      </c>
      <c r="O1554">
        <v>0</v>
      </c>
      <c r="P1554">
        <v>0</v>
      </c>
      <c r="Q1554">
        <v>31891.949896417056</v>
      </c>
      <c r="R1554">
        <v>24628.69</v>
      </c>
      <c r="S1554">
        <v>23569.346825778426</v>
      </c>
      <c r="T1554">
        <v>0</v>
      </c>
      <c r="U1554">
        <v>0</v>
      </c>
      <c r="V1554">
        <v>587264.66</v>
      </c>
      <c r="W1554">
        <v>0</v>
      </c>
      <c r="X1554">
        <v>0</v>
      </c>
      <c r="Y1554">
        <v>667354.64672219555</v>
      </c>
      <c r="Z1554">
        <v>42758.380477804494</v>
      </c>
      <c r="AA1554">
        <v>710113.02720000001</v>
      </c>
      <c r="AB1554" t="s">
        <v>242</v>
      </c>
      <c r="AC1554">
        <v>7</v>
      </c>
      <c r="AD1554">
        <v>127000</v>
      </c>
      <c r="AE1554">
        <v>0</v>
      </c>
      <c r="AF1554">
        <v>0</v>
      </c>
      <c r="AG1554">
        <v>7600.3167221955091</v>
      </c>
      <c r="AH1554" t="s">
        <v>58</v>
      </c>
    </row>
    <row r="1555" spans="1:34" x14ac:dyDescent="0.3">
      <c r="A1555" t="s">
        <v>798</v>
      </c>
      <c r="B1555">
        <v>4302300036</v>
      </c>
      <c r="C1555">
        <v>901015004180</v>
      </c>
      <c r="D1555" t="s">
        <v>226</v>
      </c>
      <c r="E1555" t="s">
        <v>447</v>
      </c>
      <c r="F1555" t="s">
        <v>433</v>
      </c>
      <c r="G1555" t="s">
        <v>82</v>
      </c>
      <c r="H1555" t="s">
        <v>83</v>
      </c>
      <c r="J1555" t="s">
        <v>52</v>
      </c>
      <c r="K1555" s="15">
        <v>20000</v>
      </c>
      <c r="L1555" s="15">
        <v>0</v>
      </c>
      <c r="M1555" s="13">
        <v>45259</v>
      </c>
      <c r="O1555">
        <v>0</v>
      </c>
      <c r="P1555">
        <v>0</v>
      </c>
      <c r="Q1555">
        <v>65969.352876591394</v>
      </c>
      <c r="R1555">
        <v>32364.02</v>
      </c>
      <c r="S1555">
        <v>98680.847778886528</v>
      </c>
      <c r="T1555">
        <v>0</v>
      </c>
      <c r="U1555">
        <v>0</v>
      </c>
      <c r="V1555">
        <v>1054424.3799999999</v>
      </c>
      <c r="W1555">
        <v>0</v>
      </c>
      <c r="X1555">
        <v>0</v>
      </c>
      <c r="Y1555">
        <v>1251438.6006554777</v>
      </c>
      <c r="Z1555">
        <v>80717.365944522055</v>
      </c>
      <c r="AA1555">
        <v>1332155.9665999997</v>
      </c>
      <c r="AB1555" t="s">
        <v>242</v>
      </c>
      <c r="AC1555">
        <v>7</v>
      </c>
      <c r="AD1555">
        <v>133000</v>
      </c>
      <c r="AE1555">
        <v>0</v>
      </c>
      <c r="AF1555">
        <v>0</v>
      </c>
      <c r="AG1555">
        <v>8014.8006554779422</v>
      </c>
      <c r="AH1555" t="s">
        <v>58</v>
      </c>
    </row>
    <row r="1556" spans="1:34" x14ac:dyDescent="0.3">
      <c r="A1556" t="s">
        <v>798</v>
      </c>
      <c r="B1556">
        <v>4332300169</v>
      </c>
      <c r="C1556">
        <v>5010224367</v>
      </c>
      <c r="D1556" t="s">
        <v>229</v>
      </c>
      <c r="E1556" t="s">
        <v>441</v>
      </c>
      <c r="F1556" t="s">
        <v>433</v>
      </c>
      <c r="G1556" t="s">
        <v>233</v>
      </c>
      <c r="H1556" t="s">
        <v>231</v>
      </c>
      <c r="J1556" t="s">
        <v>52</v>
      </c>
      <c r="K1556" s="15">
        <v>10000</v>
      </c>
      <c r="L1556" s="15">
        <v>0</v>
      </c>
      <c r="M1556" s="13">
        <v>45259</v>
      </c>
      <c r="O1556">
        <v>0</v>
      </c>
      <c r="P1556">
        <v>11338.405539465984</v>
      </c>
      <c r="Q1556">
        <v>0</v>
      </c>
      <c r="R1556">
        <v>0</v>
      </c>
      <c r="S1556">
        <v>4179.4520547945203</v>
      </c>
      <c r="T1556">
        <v>11888.406037882258</v>
      </c>
      <c r="U1556">
        <v>0</v>
      </c>
      <c r="V1556">
        <v>0</v>
      </c>
      <c r="W1556">
        <v>0</v>
      </c>
      <c r="X1556">
        <v>0</v>
      </c>
      <c r="Y1556">
        <v>27406.263632142764</v>
      </c>
      <c r="Z1556">
        <v>832.18842265175817</v>
      </c>
      <c r="AA1556">
        <v>28238.452054794521</v>
      </c>
      <c r="AB1556" t="s">
        <v>242</v>
      </c>
      <c r="AC1556">
        <v>1</v>
      </c>
      <c r="AD1556">
        <v>10000</v>
      </c>
      <c r="AE1556">
        <v>0</v>
      </c>
      <c r="AF1556">
        <v>0</v>
      </c>
      <c r="AG1556">
        <v>279.96111005852254</v>
      </c>
      <c r="AH1556" t="s">
        <v>72</v>
      </c>
    </row>
    <row r="1557" spans="1:34" x14ac:dyDescent="0.3">
      <c r="A1557" t="s">
        <v>798</v>
      </c>
      <c r="B1557">
        <v>4132300378</v>
      </c>
      <c r="C1557" t="s">
        <v>254</v>
      </c>
      <c r="D1557" t="s">
        <v>325</v>
      </c>
      <c r="E1557" t="s">
        <v>441</v>
      </c>
      <c r="F1557" t="s">
        <v>430</v>
      </c>
      <c r="G1557" t="s">
        <v>233</v>
      </c>
      <c r="H1557" t="s">
        <v>231</v>
      </c>
      <c r="J1557" t="s">
        <v>52</v>
      </c>
      <c r="K1557" s="15">
        <v>5000</v>
      </c>
      <c r="L1557" s="15">
        <v>0</v>
      </c>
      <c r="M1557" s="13">
        <v>45259</v>
      </c>
      <c r="O1557">
        <v>0</v>
      </c>
      <c r="P1557">
        <v>0</v>
      </c>
      <c r="Q1557">
        <v>0</v>
      </c>
      <c r="R1557">
        <v>0</v>
      </c>
      <c r="S1557">
        <v>3419.6647082905274</v>
      </c>
      <c r="T1557">
        <v>584.36149398017494</v>
      </c>
      <c r="U1557">
        <v>0</v>
      </c>
      <c r="V1557">
        <v>0</v>
      </c>
      <c r="W1557">
        <v>0</v>
      </c>
      <c r="X1557">
        <v>0</v>
      </c>
      <c r="Y1557">
        <v>4004.0262022707025</v>
      </c>
      <c r="Z1557">
        <v>40.905304578612252</v>
      </c>
      <c r="AA1557">
        <v>4044.9315068493147</v>
      </c>
      <c r="AB1557" t="s">
        <v>242</v>
      </c>
      <c r="AC1557">
        <v>4</v>
      </c>
      <c r="AD1557">
        <v>18000</v>
      </c>
      <c r="AE1557">
        <v>0</v>
      </c>
      <c r="AF1557">
        <v>0</v>
      </c>
      <c r="AG1557">
        <v>155.35637766437833</v>
      </c>
      <c r="AH1557" t="s">
        <v>58</v>
      </c>
    </row>
    <row r="1558" spans="1:34" x14ac:dyDescent="0.3">
      <c r="A1558" t="s">
        <v>798</v>
      </c>
      <c r="B1558">
        <v>42201409</v>
      </c>
      <c r="C1558" t="s">
        <v>455</v>
      </c>
      <c r="D1558" t="s">
        <v>524</v>
      </c>
      <c r="E1558" t="s">
        <v>439</v>
      </c>
      <c r="F1558" t="s">
        <v>430</v>
      </c>
      <c r="G1558" t="s">
        <v>421</v>
      </c>
      <c r="H1558" t="s">
        <v>234</v>
      </c>
      <c r="J1558" t="s">
        <v>450</v>
      </c>
      <c r="K1558" s="15">
        <v>60000</v>
      </c>
      <c r="L1558" s="15">
        <v>0</v>
      </c>
      <c r="M1558" s="13">
        <v>45259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77349.88785046729</v>
      </c>
      <c r="Y1558">
        <v>77349.88785046729</v>
      </c>
      <c r="Z1558">
        <v>5414.4921495327108</v>
      </c>
      <c r="AA1558">
        <v>82764.38</v>
      </c>
      <c r="AB1558" t="s">
        <v>242</v>
      </c>
      <c r="AC1558">
        <v>0</v>
      </c>
      <c r="AD1558">
        <v>0</v>
      </c>
      <c r="AE1558">
        <v>0</v>
      </c>
      <c r="AF1558">
        <v>60000</v>
      </c>
      <c r="AG1558">
        <v>3925.2336448598144</v>
      </c>
      <c r="AH1558" t="s">
        <v>72</v>
      </c>
    </row>
    <row r="1559" spans="1:34" x14ac:dyDescent="0.3">
      <c r="A1559" t="s">
        <v>798</v>
      </c>
      <c r="B1559">
        <v>82200019</v>
      </c>
      <c r="C1559" t="s">
        <v>109</v>
      </c>
      <c r="D1559" t="s">
        <v>533</v>
      </c>
      <c r="E1559" t="s">
        <v>440</v>
      </c>
      <c r="F1559" t="s">
        <v>433</v>
      </c>
      <c r="G1559" t="s">
        <v>82</v>
      </c>
      <c r="H1559" t="s">
        <v>83</v>
      </c>
      <c r="J1559" t="s">
        <v>52</v>
      </c>
      <c r="K1559" s="15">
        <v>10000</v>
      </c>
      <c r="L1559" s="15">
        <v>0</v>
      </c>
      <c r="M1559" s="13">
        <v>45259</v>
      </c>
      <c r="O1559">
        <v>0</v>
      </c>
      <c r="P1559">
        <v>0</v>
      </c>
      <c r="Q1559">
        <v>14901.956410822981</v>
      </c>
      <c r="R1559">
        <v>2685.118520548398</v>
      </c>
      <c r="S1559">
        <v>15100.478974112681</v>
      </c>
      <c r="T1559">
        <v>0</v>
      </c>
      <c r="U1559">
        <v>0</v>
      </c>
      <c r="V1559">
        <v>218575.1519311477</v>
      </c>
      <c r="W1559">
        <v>0</v>
      </c>
      <c r="X1559">
        <v>0</v>
      </c>
      <c r="Y1559">
        <v>251262.70583663177</v>
      </c>
      <c r="Z1559">
        <v>16357.294163368229</v>
      </c>
      <c r="AA1559">
        <v>267620</v>
      </c>
      <c r="AB1559" t="s">
        <v>242</v>
      </c>
      <c r="AC1559">
        <v>1</v>
      </c>
      <c r="AD1559">
        <v>10000</v>
      </c>
      <c r="AE1559">
        <v>0</v>
      </c>
      <c r="AF1559">
        <v>0</v>
      </c>
      <c r="AG1559">
        <v>608.30350907989668</v>
      </c>
      <c r="AH1559" t="s">
        <v>58</v>
      </c>
    </row>
    <row r="1560" spans="1:34" x14ac:dyDescent="0.3">
      <c r="A1560" t="s">
        <v>798</v>
      </c>
      <c r="B1560">
        <v>4132300940</v>
      </c>
      <c r="C1560" t="s">
        <v>364</v>
      </c>
      <c r="D1560" t="s">
        <v>403</v>
      </c>
      <c r="E1560" t="s">
        <v>441</v>
      </c>
      <c r="F1560" t="s">
        <v>430</v>
      </c>
      <c r="G1560" t="s">
        <v>238</v>
      </c>
      <c r="H1560" t="s">
        <v>236</v>
      </c>
      <c r="J1560" t="s">
        <v>52</v>
      </c>
      <c r="K1560" s="15">
        <v>10000</v>
      </c>
      <c r="L1560" s="15">
        <v>0</v>
      </c>
      <c r="M1560" s="13">
        <v>45259</v>
      </c>
      <c r="O1560">
        <v>0</v>
      </c>
      <c r="P1560">
        <v>0</v>
      </c>
      <c r="Q1560">
        <v>0</v>
      </c>
      <c r="R1560">
        <v>0</v>
      </c>
      <c r="S1560">
        <v>615.28246306061874</v>
      </c>
      <c r="T1560">
        <v>0</v>
      </c>
      <c r="U1560">
        <v>0</v>
      </c>
      <c r="V1560">
        <v>5840.9215234486619</v>
      </c>
      <c r="W1560">
        <v>0</v>
      </c>
      <c r="X1560">
        <v>0</v>
      </c>
      <c r="Y1560">
        <v>6456.2039865092811</v>
      </c>
      <c r="Z1560">
        <v>408.86450664140636</v>
      </c>
      <c r="AA1560">
        <v>6865.0684931506876</v>
      </c>
      <c r="AB1560" t="s">
        <v>242</v>
      </c>
      <c r="AC1560">
        <v>3</v>
      </c>
      <c r="AD1560">
        <v>30000</v>
      </c>
      <c r="AE1560">
        <v>0</v>
      </c>
      <c r="AF1560">
        <v>0</v>
      </c>
      <c r="AG1560">
        <v>1750.0139980314907</v>
      </c>
      <c r="AH1560" t="s">
        <v>58</v>
      </c>
    </row>
    <row r="1561" spans="1:34" x14ac:dyDescent="0.3">
      <c r="A1561" t="s">
        <v>798</v>
      </c>
      <c r="B1561">
        <v>4142300268</v>
      </c>
      <c r="C1561" t="s">
        <v>485</v>
      </c>
      <c r="D1561" t="s">
        <v>557</v>
      </c>
      <c r="E1561" t="s">
        <v>445</v>
      </c>
      <c r="F1561" t="s">
        <v>430</v>
      </c>
      <c r="G1561" t="s">
        <v>421</v>
      </c>
      <c r="H1561" t="s">
        <v>234</v>
      </c>
      <c r="J1561" t="s">
        <v>450</v>
      </c>
      <c r="K1561" s="15">
        <v>60000</v>
      </c>
      <c r="L1561" s="15">
        <v>0</v>
      </c>
      <c r="M1561" s="13">
        <v>45259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100726.91588785045</v>
      </c>
      <c r="Y1561">
        <v>100726.91588785045</v>
      </c>
      <c r="Z1561">
        <v>7050.8841121495325</v>
      </c>
      <c r="AA1561">
        <v>107777.79999999999</v>
      </c>
      <c r="AB1561" t="s">
        <v>242</v>
      </c>
      <c r="AC1561">
        <v>0</v>
      </c>
      <c r="AD1561">
        <v>0</v>
      </c>
      <c r="AE1561">
        <v>0</v>
      </c>
      <c r="AF1561">
        <v>60000</v>
      </c>
      <c r="AG1561">
        <v>3925.2336448598144</v>
      </c>
      <c r="AH1561" t="s">
        <v>72</v>
      </c>
    </row>
    <row r="1562" spans="1:34" x14ac:dyDescent="0.3">
      <c r="A1562" t="s">
        <v>798</v>
      </c>
      <c r="B1562">
        <v>2200009</v>
      </c>
      <c r="C1562">
        <v>19887094</v>
      </c>
      <c r="D1562" t="s">
        <v>77</v>
      </c>
      <c r="E1562" t="s">
        <v>435</v>
      </c>
      <c r="F1562" t="s">
        <v>426</v>
      </c>
      <c r="G1562" t="s">
        <v>82</v>
      </c>
      <c r="H1562" t="s">
        <v>82</v>
      </c>
      <c r="J1562" t="s">
        <v>52</v>
      </c>
      <c r="K1562" s="15">
        <v>900</v>
      </c>
      <c r="L1562" s="15">
        <v>0</v>
      </c>
      <c r="M1562" s="13">
        <v>45260</v>
      </c>
      <c r="O1562">
        <v>0</v>
      </c>
      <c r="P1562">
        <v>0</v>
      </c>
      <c r="Q1562">
        <v>0</v>
      </c>
      <c r="R1562">
        <v>0</v>
      </c>
      <c r="S1562">
        <v>12501.616180538298</v>
      </c>
      <c r="T1562">
        <v>0</v>
      </c>
      <c r="U1562">
        <v>0</v>
      </c>
      <c r="V1562">
        <v>107102.9400910782</v>
      </c>
      <c r="W1562">
        <v>0</v>
      </c>
      <c r="X1562">
        <v>0</v>
      </c>
      <c r="Y1562">
        <v>119604.5562716165</v>
      </c>
      <c r="Z1562">
        <v>0</v>
      </c>
      <c r="AA1562">
        <v>119604.5562716165</v>
      </c>
      <c r="AB1562" t="s">
        <v>242</v>
      </c>
      <c r="AC1562">
        <v>16</v>
      </c>
      <c r="AD1562">
        <v>14400</v>
      </c>
      <c r="AE1562">
        <v>0</v>
      </c>
      <c r="AF1562">
        <v>0</v>
      </c>
      <c r="AG1562">
        <v>0</v>
      </c>
      <c r="AH1562" t="s">
        <v>58</v>
      </c>
    </row>
    <row r="1563" spans="1:34" x14ac:dyDescent="0.3">
      <c r="A1563" t="s">
        <v>798</v>
      </c>
      <c r="B1563">
        <v>12200122</v>
      </c>
      <c r="C1563">
        <v>5900440096</v>
      </c>
      <c r="D1563" t="s">
        <v>113</v>
      </c>
      <c r="E1563" t="s">
        <v>437</v>
      </c>
      <c r="F1563" t="s">
        <v>427</v>
      </c>
      <c r="G1563" t="s">
        <v>82</v>
      </c>
      <c r="H1563" t="s">
        <v>82</v>
      </c>
      <c r="J1563" t="s">
        <v>52</v>
      </c>
      <c r="K1563" s="15">
        <v>2000</v>
      </c>
      <c r="L1563" s="15">
        <v>0</v>
      </c>
      <c r="M1563" s="13">
        <v>45260</v>
      </c>
      <c r="O1563">
        <v>0</v>
      </c>
      <c r="P1563">
        <v>0</v>
      </c>
      <c r="Q1563">
        <v>0</v>
      </c>
      <c r="R1563">
        <v>0</v>
      </c>
      <c r="S1563">
        <v>447.43000000000211</v>
      </c>
      <c r="T1563">
        <v>0</v>
      </c>
      <c r="U1563">
        <v>0</v>
      </c>
      <c r="V1563">
        <v>14052.06</v>
      </c>
      <c r="W1563">
        <v>0</v>
      </c>
      <c r="X1563">
        <v>0</v>
      </c>
      <c r="Y1563">
        <v>14499.490000000002</v>
      </c>
      <c r="Z1563">
        <v>0</v>
      </c>
      <c r="AA1563">
        <v>14499.490000000002</v>
      </c>
      <c r="AB1563" t="s">
        <v>242</v>
      </c>
      <c r="AC1563">
        <v>7</v>
      </c>
      <c r="AD1563">
        <v>6776</v>
      </c>
      <c r="AE1563">
        <v>0</v>
      </c>
      <c r="AF1563">
        <v>0</v>
      </c>
      <c r="AG1563">
        <v>0</v>
      </c>
      <c r="AH1563" t="s">
        <v>58</v>
      </c>
    </row>
    <row r="1564" spans="1:34" x14ac:dyDescent="0.3">
      <c r="A1564" t="s">
        <v>798</v>
      </c>
      <c r="B1564">
        <v>12200190</v>
      </c>
      <c r="C1564">
        <v>24889993</v>
      </c>
      <c r="D1564" t="s">
        <v>813</v>
      </c>
      <c r="E1564" t="s">
        <v>438</v>
      </c>
      <c r="F1564" t="s">
        <v>427</v>
      </c>
      <c r="G1564" t="s">
        <v>82</v>
      </c>
      <c r="H1564" t="s">
        <v>82</v>
      </c>
      <c r="J1564" t="s">
        <v>52</v>
      </c>
      <c r="K1564" s="15">
        <v>1000</v>
      </c>
      <c r="L1564" s="15">
        <v>0</v>
      </c>
      <c r="M1564" s="13">
        <v>45260</v>
      </c>
      <c r="O1564">
        <v>0</v>
      </c>
      <c r="P1564">
        <v>0</v>
      </c>
      <c r="Q1564">
        <v>0</v>
      </c>
      <c r="R1564">
        <v>0</v>
      </c>
      <c r="S1564">
        <v>5377.0066774532461</v>
      </c>
      <c r="T1564">
        <v>0</v>
      </c>
      <c r="U1564">
        <v>0</v>
      </c>
      <c r="V1564">
        <v>46669.558894217822</v>
      </c>
      <c r="W1564">
        <v>0</v>
      </c>
      <c r="X1564">
        <v>0</v>
      </c>
      <c r="Y1564">
        <v>52046.565571671068</v>
      </c>
      <c r="Z1564">
        <v>0</v>
      </c>
      <c r="AA1564">
        <v>52046.565571671068</v>
      </c>
      <c r="AB1564" t="s">
        <v>242</v>
      </c>
      <c r="AC1564">
        <v>4</v>
      </c>
      <c r="AD1564">
        <v>5390</v>
      </c>
      <c r="AE1564">
        <v>0</v>
      </c>
      <c r="AF1564">
        <v>0</v>
      </c>
      <c r="AG1564">
        <v>0</v>
      </c>
      <c r="AH1564" t="s">
        <v>58</v>
      </c>
    </row>
    <row r="1565" spans="1:34" x14ac:dyDescent="0.3">
      <c r="A1565" t="s">
        <v>798</v>
      </c>
      <c r="B1565">
        <v>22200010</v>
      </c>
      <c r="C1565">
        <v>18928437</v>
      </c>
      <c r="D1565" t="s">
        <v>85</v>
      </c>
      <c r="E1565" t="s">
        <v>435</v>
      </c>
      <c r="F1565" t="s">
        <v>428</v>
      </c>
      <c r="G1565" t="s">
        <v>82</v>
      </c>
      <c r="H1565" t="s">
        <v>82</v>
      </c>
      <c r="J1565" t="s">
        <v>52</v>
      </c>
      <c r="K1565" s="15">
        <v>500</v>
      </c>
      <c r="L1565" s="15">
        <v>0</v>
      </c>
      <c r="M1565" s="13">
        <v>45260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17069.751865506852</v>
      </c>
      <c r="W1565">
        <v>0</v>
      </c>
      <c r="X1565">
        <v>0</v>
      </c>
      <c r="Y1565">
        <v>17069.751865506852</v>
      </c>
      <c r="Z1565">
        <v>0</v>
      </c>
      <c r="AA1565">
        <v>17069.751865506852</v>
      </c>
      <c r="AB1565" t="s">
        <v>242</v>
      </c>
      <c r="AC1565">
        <v>15</v>
      </c>
      <c r="AD1565">
        <v>11000</v>
      </c>
      <c r="AE1565">
        <v>0</v>
      </c>
      <c r="AF1565">
        <v>0</v>
      </c>
      <c r="AG1565">
        <v>0</v>
      </c>
      <c r="AH1565" t="s">
        <v>58</v>
      </c>
    </row>
    <row r="1566" spans="1:34" x14ac:dyDescent="0.3">
      <c r="A1566" t="s">
        <v>798</v>
      </c>
      <c r="B1566">
        <v>22200068</v>
      </c>
      <c r="C1566">
        <v>20579132</v>
      </c>
      <c r="D1566" t="s">
        <v>80</v>
      </c>
      <c r="E1566" t="s">
        <v>435</v>
      </c>
      <c r="F1566" t="s">
        <v>428</v>
      </c>
      <c r="G1566" t="s">
        <v>82</v>
      </c>
      <c r="H1566" t="s">
        <v>82</v>
      </c>
      <c r="J1566" t="s">
        <v>52</v>
      </c>
      <c r="K1566" s="15">
        <v>500</v>
      </c>
      <c r="L1566" s="15">
        <v>0</v>
      </c>
      <c r="M1566" s="13">
        <v>45260</v>
      </c>
      <c r="O1566">
        <v>0</v>
      </c>
      <c r="P1566">
        <v>0</v>
      </c>
      <c r="Q1566">
        <v>0</v>
      </c>
      <c r="R1566">
        <v>0</v>
      </c>
      <c r="S1566">
        <v>557.36159212328766</v>
      </c>
      <c r="T1566">
        <v>0</v>
      </c>
      <c r="U1566">
        <v>0</v>
      </c>
      <c r="V1566">
        <v>21133.91</v>
      </c>
      <c r="W1566">
        <v>0</v>
      </c>
      <c r="X1566">
        <v>0</v>
      </c>
      <c r="Y1566">
        <v>21691.271592123288</v>
      </c>
      <c r="Z1566">
        <v>0</v>
      </c>
      <c r="AA1566">
        <v>21691.271592123288</v>
      </c>
      <c r="AB1566" t="s">
        <v>242</v>
      </c>
      <c r="AC1566">
        <v>13</v>
      </c>
      <c r="AD1566">
        <v>8000</v>
      </c>
      <c r="AE1566">
        <v>0</v>
      </c>
      <c r="AF1566">
        <v>0</v>
      </c>
      <c r="AG1566">
        <v>0</v>
      </c>
      <c r="AH1566" t="s">
        <v>58</v>
      </c>
    </row>
    <row r="1567" spans="1:34" x14ac:dyDescent="0.3">
      <c r="A1567" t="s">
        <v>798</v>
      </c>
      <c r="B1567">
        <v>42200060</v>
      </c>
      <c r="C1567" t="s">
        <v>801</v>
      </c>
      <c r="D1567" t="s">
        <v>821</v>
      </c>
      <c r="E1567" t="s">
        <v>437</v>
      </c>
      <c r="F1567" t="s">
        <v>430</v>
      </c>
      <c r="G1567" t="s">
        <v>230</v>
      </c>
      <c r="H1567" t="s">
        <v>231</v>
      </c>
      <c r="J1567" t="s">
        <v>52</v>
      </c>
      <c r="K1567" s="15">
        <v>1000</v>
      </c>
      <c r="L1567" s="15">
        <v>0</v>
      </c>
      <c r="M1567" s="13">
        <v>45260</v>
      </c>
      <c r="O1567">
        <v>0</v>
      </c>
      <c r="P1567">
        <v>2345.5076977926815</v>
      </c>
      <c r="Q1567">
        <v>0</v>
      </c>
      <c r="R1567">
        <v>0</v>
      </c>
      <c r="S1567">
        <v>0</v>
      </c>
      <c r="T1567">
        <v>13162.14233851151</v>
      </c>
      <c r="U1567">
        <v>22429.906542056076</v>
      </c>
      <c r="V1567">
        <v>0</v>
      </c>
      <c r="W1567">
        <v>130841.1214953271</v>
      </c>
      <c r="X1567">
        <v>0</v>
      </c>
      <c r="Y1567">
        <v>168778.67807368736</v>
      </c>
      <c r="Z1567">
        <v>11650.32192631263</v>
      </c>
      <c r="AA1567">
        <v>180429</v>
      </c>
      <c r="AB1567" t="s">
        <v>242</v>
      </c>
      <c r="AC1567">
        <v>6</v>
      </c>
      <c r="AD1567">
        <v>6000</v>
      </c>
      <c r="AE1567">
        <v>0</v>
      </c>
      <c r="AF1567">
        <v>0</v>
      </c>
      <c r="AG1567">
        <v>387.06125125746519</v>
      </c>
      <c r="AH1567" t="s">
        <v>58</v>
      </c>
    </row>
    <row r="1568" spans="1:34" x14ac:dyDescent="0.3">
      <c r="A1568" t="s">
        <v>798</v>
      </c>
      <c r="B1568">
        <v>42200418</v>
      </c>
      <c r="C1568">
        <v>2759024985</v>
      </c>
      <c r="D1568" t="s">
        <v>124</v>
      </c>
      <c r="E1568" t="s">
        <v>439</v>
      </c>
      <c r="F1568" t="s">
        <v>430</v>
      </c>
      <c r="G1568" t="s">
        <v>232</v>
      </c>
      <c r="H1568" t="s">
        <v>71</v>
      </c>
      <c r="J1568" t="s">
        <v>52</v>
      </c>
      <c r="K1568" s="15">
        <v>2000</v>
      </c>
      <c r="L1568" s="15">
        <v>0</v>
      </c>
      <c r="M1568" s="13">
        <v>45260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170605.07476635513</v>
      </c>
      <c r="Y1568">
        <v>170605.07476635513</v>
      </c>
      <c r="Z1568">
        <v>11942.355233644861</v>
      </c>
      <c r="AA1568">
        <v>182547.43</v>
      </c>
      <c r="AB1568" t="s">
        <v>242</v>
      </c>
      <c r="AC1568">
        <v>2</v>
      </c>
      <c r="AD1568">
        <v>2500</v>
      </c>
      <c r="AE1568">
        <v>0</v>
      </c>
      <c r="AF1568">
        <v>0</v>
      </c>
      <c r="AG1568">
        <v>163.55140186915889</v>
      </c>
      <c r="AH1568" t="s">
        <v>58</v>
      </c>
    </row>
    <row r="1569" spans="1:34" x14ac:dyDescent="0.3">
      <c r="A1569" t="s">
        <v>798</v>
      </c>
      <c r="B1569">
        <v>42200856</v>
      </c>
      <c r="C1569">
        <v>2757002330</v>
      </c>
      <c r="D1569" t="s">
        <v>127</v>
      </c>
      <c r="E1569" t="s">
        <v>439</v>
      </c>
      <c r="F1569" t="s">
        <v>430</v>
      </c>
      <c r="G1569" t="s">
        <v>233</v>
      </c>
      <c r="H1569" t="s">
        <v>234</v>
      </c>
      <c r="J1569" t="s">
        <v>52</v>
      </c>
      <c r="K1569" s="15">
        <v>500</v>
      </c>
      <c r="L1569" s="15">
        <v>0</v>
      </c>
      <c r="M1569" s="13">
        <v>45260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34433.149532710275</v>
      </c>
      <c r="Y1569">
        <v>34433.149532710275</v>
      </c>
      <c r="Z1569">
        <v>2410.3204672897195</v>
      </c>
      <c r="AA1569">
        <v>36843.469999999994</v>
      </c>
      <c r="AB1569" t="s">
        <v>242</v>
      </c>
      <c r="AC1569">
        <v>7</v>
      </c>
      <c r="AD1569">
        <v>3500</v>
      </c>
      <c r="AE1569">
        <v>0</v>
      </c>
      <c r="AF1569">
        <v>0</v>
      </c>
      <c r="AG1569">
        <v>228.97196261682245</v>
      </c>
      <c r="AH1569" t="s">
        <v>58</v>
      </c>
    </row>
    <row r="1570" spans="1:34" x14ac:dyDescent="0.3">
      <c r="A1570" t="s">
        <v>798</v>
      </c>
      <c r="B1570">
        <v>42201112</v>
      </c>
      <c r="C1570">
        <v>2756020075</v>
      </c>
      <c r="D1570" t="s">
        <v>128</v>
      </c>
      <c r="E1570" t="s">
        <v>439</v>
      </c>
      <c r="F1570" t="s">
        <v>430</v>
      </c>
      <c r="G1570" t="s">
        <v>233</v>
      </c>
      <c r="H1570" t="s">
        <v>234</v>
      </c>
      <c r="J1570" t="s">
        <v>52</v>
      </c>
      <c r="K1570" s="15">
        <v>20000</v>
      </c>
      <c r="L1570" s="15">
        <v>0</v>
      </c>
      <c r="M1570" s="13">
        <v>45260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46766.738317757001</v>
      </c>
      <c r="Y1570">
        <v>46766.738317757001</v>
      </c>
      <c r="Z1570">
        <v>3273.6716822429903</v>
      </c>
      <c r="AA1570">
        <v>50040.409999999989</v>
      </c>
      <c r="AB1570" t="s">
        <v>242</v>
      </c>
      <c r="AC1570">
        <v>6</v>
      </c>
      <c r="AD1570">
        <v>77000</v>
      </c>
      <c r="AE1570">
        <v>0</v>
      </c>
      <c r="AF1570">
        <v>0</v>
      </c>
      <c r="AG1570">
        <v>5037.383177570091</v>
      </c>
      <c r="AH1570" t="s">
        <v>58</v>
      </c>
    </row>
    <row r="1571" spans="1:34" x14ac:dyDescent="0.3">
      <c r="A1571" t="s">
        <v>798</v>
      </c>
      <c r="B1571">
        <v>42201150</v>
      </c>
      <c r="C1571">
        <v>2758020463</v>
      </c>
      <c r="D1571" t="s">
        <v>129</v>
      </c>
      <c r="E1571" t="s">
        <v>439</v>
      </c>
      <c r="F1571" t="s">
        <v>430</v>
      </c>
      <c r="G1571" t="s">
        <v>230</v>
      </c>
      <c r="H1571" t="s">
        <v>234</v>
      </c>
      <c r="J1571" t="s">
        <v>52</v>
      </c>
      <c r="K1571" s="15">
        <v>10000</v>
      </c>
      <c r="L1571" s="15">
        <v>0</v>
      </c>
      <c r="M1571" s="13">
        <v>45260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322281.65420560754</v>
      </c>
      <c r="Y1571">
        <v>322281.65420560754</v>
      </c>
      <c r="Z1571">
        <v>22559.71579439253</v>
      </c>
      <c r="AA1571">
        <v>344841.37000000005</v>
      </c>
      <c r="AB1571" t="s">
        <v>242</v>
      </c>
      <c r="AC1571">
        <v>7</v>
      </c>
      <c r="AD1571">
        <v>70000</v>
      </c>
      <c r="AE1571">
        <v>0</v>
      </c>
      <c r="AF1571">
        <v>0</v>
      </c>
      <c r="AG1571">
        <v>4579.4392523364459</v>
      </c>
      <c r="AH1571" t="s">
        <v>58</v>
      </c>
    </row>
    <row r="1572" spans="1:34" x14ac:dyDescent="0.3">
      <c r="A1572" t="s">
        <v>798</v>
      </c>
      <c r="B1572">
        <v>52200290</v>
      </c>
      <c r="C1572">
        <v>24349639</v>
      </c>
      <c r="D1572" t="s">
        <v>846</v>
      </c>
      <c r="E1572" t="s">
        <v>436</v>
      </c>
      <c r="F1572" t="s">
        <v>431</v>
      </c>
      <c r="G1572" t="s">
        <v>82</v>
      </c>
      <c r="H1572" t="s">
        <v>83</v>
      </c>
      <c r="J1572" t="s">
        <v>52</v>
      </c>
      <c r="K1572" s="15">
        <v>1000</v>
      </c>
      <c r="L1572" s="15">
        <v>0</v>
      </c>
      <c r="M1572" s="13">
        <v>45260</v>
      </c>
      <c r="O1572">
        <v>0</v>
      </c>
      <c r="P1572">
        <v>0</v>
      </c>
      <c r="Q1572">
        <v>0</v>
      </c>
      <c r="R1572">
        <v>1047.7929910085472</v>
      </c>
      <c r="S1572">
        <v>27241.647245716533</v>
      </c>
      <c r="T1572">
        <v>0</v>
      </c>
      <c r="U1572">
        <v>0</v>
      </c>
      <c r="V1572">
        <v>48121.162657874054</v>
      </c>
      <c r="W1572">
        <v>0</v>
      </c>
      <c r="X1572">
        <v>0</v>
      </c>
      <c r="Y1572">
        <v>76410.602894599142</v>
      </c>
      <c r="Z1572">
        <v>5275.3966932513422</v>
      </c>
      <c r="AA1572">
        <v>81685.999587850485</v>
      </c>
      <c r="AB1572" t="s">
        <v>242</v>
      </c>
      <c r="AC1572">
        <v>3</v>
      </c>
      <c r="AD1572">
        <v>3000</v>
      </c>
      <c r="AE1572">
        <v>0</v>
      </c>
      <c r="AF1572">
        <v>0</v>
      </c>
      <c r="AG1572">
        <v>193.56589660803581</v>
      </c>
      <c r="AH1572" t="s">
        <v>58</v>
      </c>
    </row>
    <row r="1573" spans="1:34" x14ac:dyDescent="0.3">
      <c r="A1573" t="s">
        <v>798</v>
      </c>
      <c r="B1573">
        <v>52200412</v>
      </c>
      <c r="C1573">
        <v>25145601</v>
      </c>
      <c r="D1573" t="s">
        <v>86</v>
      </c>
      <c r="E1573" t="s">
        <v>436</v>
      </c>
      <c r="F1573" t="s">
        <v>431</v>
      </c>
      <c r="G1573" t="s">
        <v>82</v>
      </c>
      <c r="H1573" t="s">
        <v>83</v>
      </c>
      <c r="J1573" t="s">
        <v>52</v>
      </c>
      <c r="K1573" s="15">
        <v>1700</v>
      </c>
      <c r="L1573" s="15">
        <v>0</v>
      </c>
      <c r="M1573" s="13">
        <v>45260</v>
      </c>
      <c r="O1573">
        <v>0</v>
      </c>
      <c r="P1573">
        <v>0</v>
      </c>
      <c r="Q1573">
        <v>0</v>
      </c>
      <c r="R1573">
        <v>738.86332139868614</v>
      </c>
      <c r="S1573">
        <v>19504.425233735179</v>
      </c>
      <c r="T1573">
        <v>0</v>
      </c>
      <c r="U1573">
        <v>0</v>
      </c>
      <c r="V1573">
        <v>52616.263104201244</v>
      </c>
      <c r="W1573">
        <v>0</v>
      </c>
      <c r="X1573">
        <v>0</v>
      </c>
      <c r="Y1573">
        <v>72859.551659335106</v>
      </c>
      <c r="Z1573">
        <v>5048.4481836555497</v>
      </c>
      <c r="AA1573">
        <v>77907.999842990655</v>
      </c>
      <c r="AB1573" t="s">
        <v>242</v>
      </c>
      <c r="AC1573">
        <v>13</v>
      </c>
      <c r="AD1573">
        <v>14900</v>
      </c>
      <c r="AE1573">
        <v>0</v>
      </c>
      <c r="AF1573">
        <v>0</v>
      </c>
      <c r="AG1573">
        <v>964.81348831580203</v>
      </c>
      <c r="AH1573" t="s">
        <v>58</v>
      </c>
    </row>
    <row r="1574" spans="1:34" x14ac:dyDescent="0.3">
      <c r="A1574" t="s">
        <v>798</v>
      </c>
      <c r="B1574">
        <v>52200431</v>
      </c>
      <c r="C1574">
        <v>27663860</v>
      </c>
      <c r="D1574" t="s">
        <v>854</v>
      </c>
      <c r="E1574" t="s">
        <v>436</v>
      </c>
      <c r="F1574" t="s">
        <v>431</v>
      </c>
      <c r="G1574" t="s">
        <v>82</v>
      </c>
      <c r="H1574" t="s">
        <v>83</v>
      </c>
      <c r="J1574" t="s">
        <v>52</v>
      </c>
      <c r="K1574" s="15">
        <v>1000</v>
      </c>
      <c r="L1574" s="15">
        <v>0</v>
      </c>
      <c r="M1574" s="13">
        <v>45260</v>
      </c>
      <c r="O1574">
        <v>0</v>
      </c>
      <c r="P1574">
        <v>0</v>
      </c>
      <c r="Q1574">
        <v>0</v>
      </c>
      <c r="R1574">
        <v>859.85114238697054</v>
      </c>
      <c r="S1574">
        <v>31691.260614591614</v>
      </c>
      <c r="T1574">
        <v>0</v>
      </c>
      <c r="U1574">
        <v>0</v>
      </c>
      <c r="V1574">
        <v>50391.121495327105</v>
      </c>
      <c r="W1574">
        <v>0</v>
      </c>
      <c r="X1574">
        <v>0</v>
      </c>
      <c r="Y1574">
        <v>82942.233252305683</v>
      </c>
      <c r="Z1574">
        <v>5745.7667476943107</v>
      </c>
      <c r="AA1574">
        <v>88688</v>
      </c>
      <c r="AB1574" t="s">
        <v>242</v>
      </c>
      <c r="AC1574">
        <v>3</v>
      </c>
      <c r="AD1574">
        <v>3000</v>
      </c>
      <c r="AE1574">
        <v>0</v>
      </c>
      <c r="AF1574">
        <v>0</v>
      </c>
      <c r="AG1574">
        <v>194.22390651129717</v>
      </c>
      <c r="AH1574" t="s">
        <v>58</v>
      </c>
    </row>
    <row r="1575" spans="1:34" x14ac:dyDescent="0.3">
      <c r="A1575" t="s">
        <v>798</v>
      </c>
      <c r="B1575">
        <v>52200671</v>
      </c>
      <c r="C1575">
        <v>27488939</v>
      </c>
      <c r="D1575" t="s">
        <v>857</v>
      </c>
      <c r="E1575" t="s">
        <v>438</v>
      </c>
      <c r="F1575" t="s">
        <v>431</v>
      </c>
      <c r="G1575" t="s">
        <v>82</v>
      </c>
      <c r="H1575" t="s">
        <v>83</v>
      </c>
      <c r="J1575" t="s">
        <v>52</v>
      </c>
      <c r="K1575" s="15">
        <v>1000</v>
      </c>
      <c r="L1575" s="15">
        <v>0</v>
      </c>
      <c r="M1575" s="13">
        <v>45260</v>
      </c>
      <c r="O1575">
        <v>0</v>
      </c>
      <c r="P1575">
        <v>0</v>
      </c>
      <c r="Q1575">
        <v>0</v>
      </c>
      <c r="R1575">
        <v>850.37167981594507</v>
      </c>
      <c r="S1575">
        <v>22230.665604819482</v>
      </c>
      <c r="T1575">
        <v>0</v>
      </c>
      <c r="U1575">
        <v>0</v>
      </c>
      <c r="V1575">
        <v>53483.939690487481</v>
      </c>
      <c r="W1575">
        <v>0</v>
      </c>
      <c r="X1575">
        <v>0</v>
      </c>
      <c r="Y1575">
        <v>76564.976975122903</v>
      </c>
      <c r="Z1575">
        <v>5300.0223706714878</v>
      </c>
      <c r="AA1575">
        <v>81864.999345794393</v>
      </c>
      <c r="AB1575" t="s">
        <v>242</v>
      </c>
      <c r="AC1575">
        <v>9</v>
      </c>
      <c r="AD1575">
        <v>12500</v>
      </c>
      <c r="AE1575">
        <v>0</v>
      </c>
      <c r="AF1575">
        <v>0</v>
      </c>
      <c r="AG1575">
        <v>808.62244634309968</v>
      </c>
      <c r="AH1575" t="s">
        <v>58</v>
      </c>
    </row>
    <row r="1576" spans="1:34" x14ac:dyDescent="0.3">
      <c r="A1576" t="s">
        <v>798</v>
      </c>
      <c r="B1576">
        <v>52200893</v>
      </c>
      <c r="C1576">
        <v>25072067</v>
      </c>
      <c r="D1576" t="s">
        <v>143</v>
      </c>
      <c r="E1576" t="s">
        <v>438</v>
      </c>
      <c r="F1576" t="s">
        <v>431</v>
      </c>
      <c r="G1576" t="s">
        <v>82</v>
      </c>
      <c r="H1576" t="s">
        <v>83</v>
      </c>
      <c r="J1576" t="s">
        <v>52</v>
      </c>
      <c r="K1576" s="15">
        <v>2000</v>
      </c>
      <c r="L1576" s="15">
        <v>0</v>
      </c>
      <c r="M1576" s="13">
        <v>45260</v>
      </c>
      <c r="O1576">
        <v>0</v>
      </c>
      <c r="P1576">
        <v>0</v>
      </c>
      <c r="Q1576">
        <v>0</v>
      </c>
      <c r="R1576">
        <v>1052.6780659912415</v>
      </c>
      <c r="S1576">
        <v>15938.306422554951</v>
      </c>
      <c r="T1576">
        <v>0</v>
      </c>
      <c r="U1576">
        <v>0</v>
      </c>
      <c r="V1576">
        <v>41101.247765050408</v>
      </c>
      <c r="W1576">
        <v>0</v>
      </c>
      <c r="X1576">
        <v>0</v>
      </c>
      <c r="Y1576">
        <v>58092.232253596601</v>
      </c>
      <c r="Z1576">
        <v>3992.7687931323758</v>
      </c>
      <c r="AA1576">
        <v>62085.001046728976</v>
      </c>
      <c r="AB1576" t="s">
        <v>242</v>
      </c>
      <c r="AC1576">
        <v>1</v>
      </c>
      <c r="AD1576">
        <v>2000</v>
      </c>
      <c r="AE1576">
        <v>0</v>
      </c>
      <c r="AF1576">
        <v>0</v>
      </c>
      <c r="AG1576">
        <v>128.46492020503456</v>
      </c>
      <c r="AH1576" t="s">
        <v>72</v>
      </c>
    </row>
    <row r="1577" spans="1:34" x14ac:dyDescent="0.3">
      <c r="A1577" t="s">
        <v>798</v>
      </c>
      <c r="B1577">
        <v>52201274</v>
      </c>
      <c r="C1577">
        <v>25806950</v>
      </c>
      <c r="D1577" t="s">
        <v>152</v>
      </c>
      <c r="E1577" t="s">
        <v>438</v>
      </c>
      <c r="F1577" t="s">
        <v>431</v>
      </c>
      <c r="G1577" t="s">
        <v>82</v>
      </c>
      <c r="H1577" t="s">
        <v>83</v>
      </c>
      <c r="J1577" t="s">
        <v>52</v>
      </c>
      <c r="K1577" s="15">
        <v>1000</v>
      </c>
      <c r="L1577" s="15">
        <v>0</v>
      </c>
      <c r="M1577" s="13">
        <v>45260</v>
      </c>
      <c r="O1577">
        <v>0</v>
      </c>
      <c r="P1577">
        <v>0</v>
      </c>
      <c r="Q1577">
        <v>0</v>
      </c>
      <c r="R1577">
        <v>844.16199244974609</v>
      </c>
      <c r="S1577">
        <v>16329.491775457902</v>
      </c>
      <c r="T1577">
        <v>0</v>
      </c>
      <c r="U1577">
        <v>0</v>
      </c>
      <c r="V1577">
        <v>82200.263157792826</v>
      </c>
      <c r="W1577">
        <v>0</v>
      </c>
      <c r="X1577">
        <v>0</v>
      </c>
      <c r="Y1577">
        <v>99373.916925700469</v>
      </c>
      <c r="Z1577">
        <v>6897.0828453275517</v>
      </c>
      <c r="AA1577">
        <v>106270.99977102801</v>
      </c>
      <c r="AB1577" t="s">
        <v>242</v>
      </c>
      <c r="AC1577">
        <v>3</v>
      </c>
      <c r="AD1577">
        <v>5500</v>
      </c>
      <c r="AE1577">
        <v>0</v>
      </c>
      <c r="AF1577">
        <v>0</v>
      </c>
      <c r="AG1577">
        <v>356.74891539390865</v>
      </c>
      <c r="AH1577" t="s">
        <v>58</v>
      </c>
    </row>
    <row r="1578" spans="1:34" x14ac:dyDescent="0.3">
      <c r="A1578" t="s">
        <v>798</v>
      </c>
      <c r="B1578">
        <v>52201340</v>
      </c>
      <c r="C1578">
        <v>28518241</v>
      </c>
      <c r="D1578" t="s">
        <v>154</v>
      </c>
      <c r="E1578" t="s">
        <v>438</v>
      </c>
      <c r="F1578" t="s">
        <v>431</v>
      </c>
      <c r="G1578" t="s">
        <v>82</v>
      </c>
      <c r="H1578" t="s">
        <v>83</v>
      </c>
      <c r="J1578" t="s">
        <v>52</v>
      </c>
      <c r="K1578" s="15">
        <v>1000</v>
      </c>
      <c r="L1578" s="15">
        <v>0</v>
      </c>
      <c r="M1578" s="13">
        <v>45260</v>
      </c>
      <c r="O1578">
        <v>0</v>
      </c>
      <c r="P1578">
        <v>0</v>
      </c>
      <c r="Q1578">
        <v>0</v>
      </c>
      <c r="R1578">
        <v>899.96207786951641</v>
      </c>
      <c r="S1578">
        <v>14879.735099297779</v>
      </c>
      <c r="T1578">
        <v>0</v>
      </c>
      <c r="U1578">
        <v>0</v>
      </c>
      <c r="V1578">
        <v>46100.673645528383</v>
      </c>
      <c r="W1578">
        <v>0</v>
      </c>
      <c r="X1578">
        <v>0</v>
      </c>
      <c r="Y1578">
        <v>61880.370822695681</v>
      </c>
      <c r="Z1578">
        <v>4268.6286121378316</v>
      </c>
      <c r="AA1578">
        <v>66148.999434833517</v>
      </c>
      <c r="AB1578" t="s">
        <v>242</v>
      </c>
      <c r="AC1578">
        <v>6</v>
      </c>
      <c r="AD1578">
        <v>9500</v>
      </c>
      <c r="AE1578">
        <v>0</v>
      </c>
      <c r="AF1578">
        <v>0</v>
      </c>
      <c r="AG1578">
        <v>612.39938827183755</v>
      </c>
      <c r="AH1578" t="s">
        <v>58</v>
      </c>
    </row>
    <row r="1579" spans="1:34" x14ac:dyDescent="0.3">
      <c r="A1579" t="s">
        <v>798</v>
      </c>
      <c r="B1579">
        <v>52201352</v>
      </c>
      <c r="C1579">
        <v>26584588</v>
      </c>
      <c r="D1579" t="s">
        <v>156</v>
      </c>
      <c r="E1579" t="s">
        <v>438</v>
      </c>
      <c r="F1579" t="s">
        <v>431</v>
      </c>
      <c r="G1579" t="s">
        <v>82</v>
      </c>
      <c r="H1579" t="s">
        <v>83</v>
      </c>
      <c r="J1579" t="s">
        <v>52</v>
      </c>
      <c r="K1579" s="15">
        <v>1000</v>
      </c>
      <c r="L1579" s="15">
        <v>0</v>
      </c>
      <c r="M1579" s="13">
        <v>45260</v>
      </c>
      <c r="O1579">
        <v>0</v>
      </c>
      <c r="P1579">
        <v>0</v>
      </c>
      <c r="Q1579">
        <v>0</v>
      </c>
      <c r="R1579">
        <v>970.64592012613377</v>
      </c>
      <c r="S1579">
        <v>41195.140286568763</v>
      </c>
      <c r="T1579">
        <v>0</v>
      </c>
      <c r="U1579">
        <v>0</v>
      </c>
      <c r="V1579">
        <v>58235.096694359752</v>
      </c>
      <c r="W1579">
        <v>0</v>
      </c>
      <c r="X1579">
        <v>0</v>
      </c>
      <c r="Y1579">
        <v>100400.88290105465</v>
      </c>
      <c r="Z1579">
        <v>6960.1165886649969</v>
      </c>
      <c r="AA1579">
        <v>107360.99948971964</v>
      </c>
      <c r="AB1579" t="s">
        <v>242</v>
      </c>
      <c r="AC1579">
        <v>2</v>
      </c>
      <c r="AD1579">
        <v>2000</v>
      </c>
      <c r="AE1579">
        <v>0</v>
      </c>
      <c r="AF1579">
        <v>0</v>
      </c>
      <c r="AG1579">
        <v>129.57496673722369</v>
      </c>
      <c r="AH1579" t="s">
        <v>58</v>
      </c>
    </row>
    <row r="1580" spans="1:34" x14ac:dyDescent="0.3">
      <c r="A1580" t="s">
        <v>798</v>
      </c>
      <c r="B1580">
        <v>52201478</v>
      </c>
      <c r="C1580">
        <v>27554409</v>
      </c>
      <c r="D1580" t="s">
        <v>158</v>
      </c>
      <c r="E1580" t="s">
        <v>438</v>
      </c>
      <c r="F1580" t="s">
        <v>431</v>
      </c>
      <c r="G1580" t="s">
        <v>82</v>
      </c>
      <c r="H1580" t="s">
        <v>83</v>
      </c>
      <c r="J1580" t="s">
        <v>52</v>
      </c>
      <c r="K1580" s="15">
        <v>1000</v>
      </c>
      <c r="L1580" s="15">
        <v>0</v>
      </c>
      <c r="M1580" s="13">
        <v>45260</v>
      </c>
      <c r="O1580">
        <v>0</v>
      </c>
      <c r="P1580">
        <v>0</v>
      </c>
      <c r="Q1580">
        <v>0</v>
      </c>
      <c r="R1580">
        <v>858.53746359389959</v>
      </c>
      <c r="S1580">
        <v>4172.2978521407676</v>
      </c>
      <c r="T1580">
        <v>0</v>
      </c>
      <c r="U1580">
        <v>0</v>
      </c>
      <c r="V1580">
        <v>34714.115647688501</v>
      </c>
      <c r="W1580">
        <v>0</v>
      </c>
      <c r="X1580">
        <v>0</v>
      </c>
      <c r="Y1580">
        <v>39744.950963423165</v>
      </c>
      <c r="Z1580">
        <v>2722.0489449880492</v>
      </c>
      <c r="AA1580">
        <v>42466.999908411213</v>
      </c>
      <c r="AB1580" t="s">
        <v>242</v>
      </c>
      <c r="AC1580">
        <v>2</v>
      </c>
      <c r="AD1580">
        <v>1500</v>
      </c>
      <c r="AE1580">
        <v>0</v>
      </c>
      <c r="AF1580">
        <v>0</v>
      </c>
      <c r="AG1580">
        <v>96.007123786516786</v>
      </c>
      <c r="AH1580" t="s">
        <v>58</v>
      </c>
    </row>
    <row r="1581" spans="1:34" x14ac:dyDescent="0.3">
      <c r="A1581" t="s">
        <v>798</v>
      </c>
      <c r="B1581">
        <v>52201571</v>
      </c>
      <c r="C1581">
        <v>25111736</v>
      </c>
      <c r="D1581" t="s">
        <v>161</v>
      </c>
      <c r="E1581" t="s">
        <v>438</v>
      </c>
      <c r="F1581" t="s">
        <v>431</v>
      </c>
      <c r="G1581" t="s">
        <v>82</v>
      </c>
      <c r="H1581" t="s">
        <v>83</v>
      </c>
      <c r="J1581" t="s">
        <v>52</v>
      </c>
      <c r="K1581" s="15">
        <v>1000</v>
      </c>
      <c r="L1581" s="15">
        <v>0</v>
      </c>
      <c r="M1581" s="13">
        <v>45260</v>
      </c>
      <c r="O1581">
        <v>0</v>
      </c>
      <c r="P1581">
        <v>0</v>
      </c>
      <c r="Q1581">
        <v>0</v>
      </c>
      <c r="R1581">
        <v>850.23167226303667</v>
      </c>
      <c r="S1581">
        <v>30719.907821144356</v>
      </c>
      <c r="T1581">
        <v>0</v>
      </c>
      <c r="U1581">
        <v>0</v>
      </c>
      <c r="V1581">
        <v>52010.71595270362</v>
      </c>
      <c r="W1581">
        <v>0</v>
      </c>
      <c r="X1581">
        <v>0</v>
      </c>
      <c r="Y1581">
        <v>83580.855446111003</v>
      </c>
      <c r="Z1581">
        <v>5791.1436641693581</v>
      </c>
      <c r="AA1581">
        <v>89371.999110280361</v>
      </c>
      <c r="AB1581" t="s">
        <v>242</v>
      </c>
      <c r="AC1581">
        <v>4</v>
      </c>
      <c r="AD1581">
        <v>4000</v>
      </c>
      <c r="AE1581">
        <v>0</v>
      </c>
      <c r="AF1581">
        <v>0</v>
      </c>
      <c r="AG1581">
        <v>259.01515612935759</v>
      </c>
      <c r="AH1581" t="s">
        <v>58</v>
      </c>
    </row>
    <row r="1582" spans="1:34" x14ac:dyDescent="0.3">
      <c r="A1582" t="s">
        <v>798</v>
      </c>
      <c r="B1582">
        <v>52201801</v>
      </c>
      <c r="C1582">
        <v>29532252</v>
      </c>
      <c r="D1582" t="s">
        <v>886</v>
      </c>
      <c r="E1582" t="s">
        <v>438</v>
      </c>
      <c r="F1582" t="s">
        <v>431</v>
      </c>
      <c r="G1582" t="s">
        <v>82</v>
      </c>
      <c r="H1582" t="s">
        <v>83</v>
      </c>
      <c r="J1582" t="s">
        <v>52</v>
      </c>
      <c r="K1582" s="15">
        <v>2000</v>
      </c>
      <c r="L1582" s="15">
        <v>0</v>
      </c>
      <c r="M1582" s="13">
        <v>45260</v>
      </c>
      <c r="O1582">
        <v>0</v>
      </c>
      <c r="P1582">
        <v>0</v>
      </c>
      <c r="Q1582">
        <v>0</v>
      </c>
      <c r="R1582">
        <v>1110.5575050375996</v>
      </c>
      <c r="S1582">
        <v>27619.105135478883</v>
      </c>
      <c r="T1582">
        <v>0</v>
      </c>
      <c r="U1582">
        <v>0</v>
      </c>
      <c r="V1582">
        <v>52336.448598130839</v>
      </c>
      <c r="W1582">
        <v>0</v>
      </c>
      <c r="X1582">
        <v>0</v>
      </c>
      <c r="Y1582">
        <v>81066.111238647325</v>
      </c>
      <c r="Z1582">
        <v>5596.8887613526813</v>
      </c>
      <c r="AA1582">
        <v>86663</v>
      </c>
      <c r="AB1582" t="s">
        <v>242</v>
      </c>
      <c r="AC1582">
        <v>1</v>
      </c>
      <c r="AD1582">
        <v>2000</v>
      </c>
      <c r="AE1582">
        <v>0</v>
      </c>
      <c r="AF1582">
        <v>0</v>
      </c>
      <c r="AG1582">
        <v>129.0458180865719</v>
      </c>
      <c r="AH1582" t="s">
        <v>72</v>
      </c>
    </row>
    <row r="1583" spans="1:34" x14ac:dyDescent="0.3">
      <c r="A1583" t="s">
        <v>798</v>
      </c>
      <c r="B1583">
        <v>52201828</v>
      </c>
      <c r="C1583">
        <v>25536725</v>
      </c>
      <c r="D1583" t="s">
        <v>166</v>
      </c>
      <c r="E1583" t="s">
        <v>438</v>
      </c>
      <c r="F1583" t="s">
        <v>431</v>
      </c>
      <c r="G1583" t="s">
        <v>82</v>
      </c>
      <c r="H1583" t="s">
        <v>83</v>
      </c>
      <c r="J1583" t="s">
        <v>52</v>
      </c>
      <c r="K1583" s="15">
        <v>1500</v>
      </c>
      <c r="L1583" s="15">
        <v>0</v>
      </c>
      <c r="M1583" s="13">
        <v>45260</v>
      </c>
      <c r="O1583">
        <v>0</v>
      </c>
      <c r="P1583">
        <v>0</v>
      </c>
      <c r="Q1583">
        <v>0</v>
      </c>
      <c r="R1583">
        <v>821.69807842400326</v>
      </c>
      <c r="S1583">
        <v>13936.601983613009</v>
      </c>
      <c r="T1583">
        <v>0</v>
      </c>
      <c r="U1583">
        <v>0</v>
      </c>
      <c r="V1583">
        <v>46273.024665951423</v>
      </c>
      <c r="W1583">
        <v>0</v>
      </c>
      <c r="X1583">
        <v>0</v>
      </c>
      <c r="Y1583">
        <v>61031.324727988438</v>
      </c>
      <c r="Z1583">
        <v>4214.6738654695109</v>
      </c>
      <c r="AA1583">
        <v>65245.998593457945</v>
      </c>
      <c r="AB1583" t="s">
        <v>242</v>
      </c>
      <c r="AC1583">
        <v>10</v>
      </c>
      <c r="AD1583">
        <v>16000</v>
      </c>
      <c r="AE1583">
        <v>0</v>
      </c>
      <c r="AF1583">
        <v>0</v>
      </c>
      <c r="AG1583">
        <v>1032.5129584015701</v>
      </c>
      <c r="AH1583" t="s">
        <v>58</v>
      </c>
    </row>
    <row r="1584" spans="1:34" x14ac:dyDescent="0.3">
      <c r="A1584" t="s">
        <v>798</v>
      </c>
      <c r="B1584">
        <v>62200005</v>
      </c>
      <c r="C1584">
        <v>19887124</v>
      </c>
      <c r="D1584" t="s">
        <v>77</v>
      </c>
      <c r="E1584" t="s">
        <v>435</v>
      </c>
      <c r="F1584" t="s">
        <v>432</v>
      </c>
      <c r="G1584" t="s">
        <v>82</v>
      </c>
      <c r="H1584" t="s">
        <v>82</v>
      </c>
      <c r="J1584" t="s">
        <v>52</v>
      </c>
      <c r="K1584" s="15">
        <v>1800</v>
      </c>
      <c r="L1584" s="15">
        <v>0</v>
      </c>
      <c r="M1584" s="13">
        <v>45260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57223.626182929671</v>
      </c>
      <c r="W1584">
        <v>0</v>
      </c>
      <c r="X1584">
        <v>0</v>
      </c>
      <c r="Y1584">
        <v>57223.626182929671</v>
      </c>
      <c r="Z1584">
        <v>0</v>
      </c>
      <c r="AA1584">
        <v>57223.626182929671</v>
      </c>
      <c r="AB1584" t="s">
        <v>242</v>
      </c>
      <c r="AC1584">
        <v>16</v>
      </c>
      <c r="AD1584">
        <v>28800</v>
      </c>
      <c r="AE1584">
        <v>0</v>
      </c>
      <c r="AF1584">
        <v>0</v>
      </c>
      <c r="AG1584">
        <v>0</v>
      </c>
      <c r="AH1584" t="s">
        <v>58</v>
      </c>
    </row>
    <row r="1585" spans="1:34" x14ac:dyDescent="0.3">
      <c r="A1585" t="s">
        <v>798</v>
      </c>
      <c r="B1585">
        <v>62200006</v>
      </c>
      <c r="C1585">
        <v>19887213</v>
      </c>
      <c r="D1585" t="s">
        <v>77</v>
      </c>
      <c r="E1585" t="s">
        <v>435</v>
      </c>
      <c r="F1585" t="s">
        <v>432</v>
      </c>
      <c r="G1585" t="s">
        <v>82</v>
      </c>
      <c r="H1585" t="s">
        <v>82</v>
      </c>
      <c r="J1585" t="s">
        <v>52</v>
      </c>
      <c r="K1585" s="15">
        <v>1800</v>
      </c>
      <c r="L1585" s="15">
        <v>0</v>
      </c>
      <c r="M1585" s="13">
        <v>45260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17295.406380183904</v>
      </c>
      <c r="W1585">
        <v>0</v>
      </c>
      <c r="X1585">
        <v>0</v>
      </c>
      <c r="Y1585">
        <v>17295.406380183904</v>
      </c>
      <c r="Z1585">
        <v>0</v>
      </c>
      <c r="AA1585">
        <v>17295.406380183904</v>
      </c>
      <c r="AB1585" t="s">
        <v>242</v>
      </c>
      <c r="AC1585">
        <v>16</v>
      </c>
      <c r="AD1585">
        <v>28800</v>
      </c>
      <c r="AE1585">
        <v>0</v>
      </c>
      <c r="AF1585">
        <v>0</v>
      </c>
      <c r="AG1585">
        <v>0</v>
      </c>
      <c r="AH1585" t="s">
        <v>58</v>
      </c>
    </row>
    <row r="1586" spans="1:34" x14ac:dyDescent="0.3">
      <c r="A1586" t="s">
        <v>798</v>
      </c>
      <c r="B1586">
        <v>62200080</v>
      </c>
      <c r="C1586">
        <v>22425262</v>
      </c>
      <c r="D1586" t="s">
        <v>80</v>
      </c>
      <c r="E1586" t="s">
        <v>435</v>
      </c>
      <c r="F1586" t="s">
        <v>432</v>
      </c>
      <c r="G1586" t="s">
        <v>82</v>
      </c>
      <c r="H1586" t="s">
        <v>82</v>
      </c>
      <c r="J1586" t="s">
        <v>52</v>
      </c>
      <c r="K1586" s="15">
        <v>500</v>
      </c>
      <c r="L1586" s="15">
        <v>0</v>
      </c>
      <c r="M1586" s="13">
        <v>45260</v>
      </c>
      <c r="O1586">
        <v>0</v>
      </c>
      <c r="P1586">
        <v>0</v>
      </c>
      <c r="Q1586">
        <v>0</v>
      </c>
      <c r="R1586">
        <v>0</v>
      </c>
      <c r="S1586">
        <v>8239.2191780821922</v>
      </c>
      <c r="T1586">
        <v>0</v>
      </c>
      <c r="U1586">
        <v>0</v>
      </c>
      <c r="V1586">
        <v>30000</v>
      </c>
      <c r="W1586">
        <v>0</v>
      </c>
      <c r="X1586">
        <v>0</v>
      </c>
      <c r="Y1586">
        <v>38239.219178082189</v>
      </c>
      <c r="Z1586">
        <v>0</v>
      </c>
      <c r="AA1586">
        <v>38239.219178082189</v>
      </c>
      <c r="AB1586" t="s">
        <v>242</v>
      </c>
      <c r="AC1586">
        <v>11</v>
      </c>
      <c r="AD1586">
        <v>5500</v>
      </c>
      <c r="AE1586">
        <v>0</v>
      </c>
      <c r="AF1586">
        <v>0</v>
      </c>
      <c r="AG1586">
        <v>0</v>
      </c>
      <c r="AH1586" t="s">
        <v>58</v>
      </c>
    </row>
    <row r="1587" spans="1:34" x14ac:dyDescent="0.3">
      <c r="A1587" t="s">
        <v>798</v>
      </c>
      <c r="B1587">
        <v>82200022</v>
      </c>
      <c r="C1587">
        <v>901020021502</v>
      </c>
      <c r="D1587" t="s">
        <v>87</v>
      </c>
      <c r="E1587" t="s">
        <v>440</v>
      </c>
      <c r="F1587" t="s">
        <v>433</v>
      </c>
      <c r="G1587" t="s">
        <v>82</v>
      </c>
      <c r="H1587" t="s">
        <v>83</v>
      </c>
      <c r="J1587" t="s">
        <v>52</v>
      </c>
      <c r="K1587" s="15">
        <v>10000</v>
      </c>
      <c r="L1587" s="15">
        <v>0</v>
      </c>
      <c r="M1587" s="13">
        <v>45260</v>
      </c>
      <c r="O1587">
        <v>0</v>
      </c>
      <c r="P1587">
        <v>0</v>
      </c>
      <c r="Q1587">
        <v>130590.70443153598</v>
      </c>
      <c r="R1587">
        <v>2328.7600000000002</v>
      </c>
      <c r="S1587">
        <v>151397.17043781682</v>
      </c>
      <c r="T1587">
        <v>0</v>
      </c>
      <c r="U1587">
        <v>0</v>
      </c>
      <c r="V1587">
        <v>1848413.79</v>
      </c>
      <c r="W1587">
        <v>0</v>
      </c>
      <c r="X1587">
        <v>0</v>
      </c>
      <c r="Y1587">
        <v>2132730.424869353</v>
      </c>
      <c r="Z1587">
        <v>139986.76723064718</v>
      </c>
      <c r="AA1587">
        <v>2272717.1921000001</v>
      </c>
      <c r="AB1587" t="s">
        <v>242</v>
      </c>
      <c r="AC1587">
        <v>2</v>
      </c>
      <c r="AD1587">
        <v>31000</v>
      </c>
      <c r="AE1587">
        <v>0</v>
      </c>
      <c r="AF1587">
        <v>0</v>
      </c>
      <c r="AG1587">
        <v>1901.5548693528217</v>
      </c>
      <c r="AH1587" t="s">
        <v>58</v>
      </c>
    </row>
    <row r="1588" spans="1:34" x14ac:dyDescent="0.3">
      <c r="A1588" t="s">
        <v>798</v>
      </c>
      <c r="B1588">
        <v>4132300425</v>
      </c>
      <c r="C1588">
        <v>1011500206</v>
      </c>
      <c r="D1588" t="s">
        <v>176</v>
      </c>
      <c r="E1588" t="s">
        <v>441</v>
      </c>
      <c r="F1588" t="s">
        <v>430</v>
      </c>
      <c r="G1588" t="s">
        <v>233</v>
      </c>
      <c r="H1588" t="s">
        <v>231</v>
      </c>
      <c r="J1588" t="s">
        <v>52</v>
      </c>
      <c r="K1588" s="15">
        <v>3000</v>
      </c>
      <c r="L1588" s="15">
        <v>0</v>
      </c>
      <c r="M1588" s="13">
        <v>45260</v>
      </c>
      <c r="O1588">
        <v>0</v>
      </c>
      <c r="P1588">
        <v>5101.8075068141097</v>
      </c>
      <c r="Q1588">
        <v>0</v>
      </c>
      <c r="R1588">
        <v>0</v>
      </c>
      <c r="S1588">
        <v>58047.945205479453</v>
      </c>
      <c r="T1588">
        <v>162827.28270391206</v>
      </c>
      <c r="U1588">
        <v>0</v>
      </c>
      <c r="V1588">
        <v>0</v>
      </c>
      <c r="W1588">
        <v>0</v>
      </c>
      <c r="X1588">
        <v>0</v>
      </c>
      <c r="Y1588">
        <v>225977.03541620562</v>
      </c>
      <c r="Z1588">
        <v>11397.909789273845</v>
      </c>
      <c r="AA1588">
        <v>237374.94520547945</v>
      </c>
      <c r="AB1588" t="s">
        <v>242</v>
      </c>
      <c r="AC1588">
        <v>3</v>
      </c>
      <c r="AD1588">
        <v>9000</v>
      </c>
      <c r="AE1588">
        <v>0</v>
      </c>
      <c r="AF1588">
        <v>0</v>
      </c>
      <c r="AG1588">
        <v>424.04348175419409</v>
      </c>
      <c r="AH1588" t="s">
        <v>58</v>
      </c>
    </row>
    <row r="1589" spans="1:34" x14ac:dyDescent="0.3">
      <c r="A1589" t="s">
        <v>798</v>
      </c>
      <c r="B1589">
        <v>4132301071</v>
      </c>
      <c r="C1589">
        <v>1120064246</v>
      </c>
      <c r="D1589" t="s">
        <v>909</v>
      </c>
      <c r="E1589" t="s">
        <v>441</v>
      </c>
      <c r="F1589" t="s">
        <v>430</v>
      </c>
      <c r="G1589" t="s">
        <v>233</v>
      </c>
      <c r="H1589" t="s">
        <v>231</v>
      </c>
      <c r="J1589" t="s">
        <v>52</v>
      </c>
      <c r="K1589" s="15">
        <v>2000</v>
      </c>
      <c r="L1589" s="15">
        <v>0</v>
      </c>
      <c r="M1589" s="13">
        <v>45260</v>
      </c>
      <c r="O1589">
        <v>0</v>
      </c>
      <c r="P1589">
        <v>2236.1578244812604</v>
      </c>
      <c r="Q1589">
        <v>0</v>
      </c>
      <c r="R1589">
        <v>0</v>
      </c>
      <c r="S1589">
        <v>4473.0308219178078</v>
      </c>
      <c r="T1589">
        <v>15059.665584596954</v>
      </c>
      <c r="U1589">
        <v>0</v>
      </c>
      <c r="V1589">
        <v>0</v>
      </c>
      <c r="W1589">
        <v>0</v>
      </c>
      <c r="X1589">
        <v>0</v>
      </c>
      <c r="Y1589">
        <v>21768.854230996025</v>
      </c>
      <c r="Z1589">
        <v>1054.176590921787</v>
      </c>
      <c r="AA1589">
        <v>22823.030821917811</v>
      </c>
      <c r="AB1589" t="s">
        <v>242</v>
      </c>
      <c r="AC1589">
        <v>3</v>
      </c>
      <c r="AD1589">
        <v>6000</v>
      </c>
      <c r="AE1589">
        <v>0</v>
      </c>
      <c r="AF1589">
        <v>0</v>
      </c>
      <c r="AG1589">
        <v>270.58976421840021</v>
      </c>
      <c r="AH1589" t="s">
        <v>58</v>
      </c>
    </row>
    <row r="1590" spans="1:34" x14ac:dyDescent="0.3">
      <c r="A1590" t="s">
        <v>798</v>
      </c>
      <c r="B1590">
        <v>4132301981</v>
      </c>
      <c r="C1590" t="s">
        <v>101</v>
      </c>
      <c r="D1590" t="s">
        <v>184</v>
      </c>
      <c r="E1590" t="s">
        <v>442</v>
      </c>
      <c r="F1590" t="s">
        <v>430</v>
      </c>
      <c r="G1590" t="s">
        <v>230</v>
      </c>
      <c r="H1590" t="s">
        <v>231</v>
      </c>
      <c r="J1590" t="s">
        <v>52</v>
      </c>
      <c r="K1590" s="15">
        <v>20000</v>
      </c>
      <c r="L1590" s="15">
        <v>0</v>
      </c>
      <c r="M1590" s="13">
        <v>45260</v>
      </c>
      <c r="O1590">
        <v>0</v>
      </c>
      <c r="P1590">
        <v>21173.611333620967</v>
      </c>
      <c r="Q1590">
        <v>0</v>
      </c>
      <c r="R1590">
        <v>0</v>
      </c>
      <c r="S1590">
        <v>23352.81</v>
      </c>
      <c r="T1590">
        <v>16052.699688204706</v>
      </c>
      <c r="U1590">
        <v>78504.672897196258</v>
      </c>
      <c r="V1590">
        <v>0</v>
      </c>
      <c r="W1590">
        <v>619149.53271028039</v>
      </c>
      <c r="X1590">
        <v>0</v>
      </c>
      <c r="Y1590">
        <v>758233.32662930235</v>
      </c>
      <c r="Z1590">
        <v>49959.483370697701</v>
      </c>
      <c r="AA1590">
        <v>808192.81</v>
      </c>
      <c r="AB1590" t="s">
        <v>242</v>
      </c>
      <c r="AC1590">
        <v>1</v>
      </c>
      <c r="AD1590">
        <v>20000</v>
      </c>
      <c r="AE1590">
        <v>0</v>
      </c>
      <c r="AF1590">
        <v>0</v>
      </c>
      <c r="AG1590">
        <v>1231.4512087415605</v>
      </c>
      <c r="AH1590" t="s">
        <v>72</v>
      </c>
    </row>
    <row r="1591" spans="1:34" x14ac:dyDescent="0.3">
      <c r="A1591" t="s">
        <v>798</v>
      </c>
      <c r="B1591">
        <v>4142300008</v>
      </c>
      <c r="C1591">
        <v>132635</v>
      </c>
      <c r="D1591" t="s">
        <v>185</v>
      </c>
      <c r="E1591" t="s">
        <v>444</v>
      </c>
      <c r="F1591" t="s">
        <v>430</v>
      </c>
      <c r="G1591" t="s">
        <v>237</v>
      </c>
      <c r="H1591" t="s">
        <v>231</v>
      </c>
      <c r="J1591" t="s">
        <v>52</v>
      </c>
      <c r="K1591" s="15">
        <v>12000</v>
      </c>
      <c r="L1591" s="15">
        <v>0</v>
      </c>
      <c r="M1591" s="13">
        <v>45260</v>
      </c>
      <c r="O1591">
        <v>0</v>
      </c>
      <c r="P1591">
        <v>42233.488203488007</v>
      </c>
      <c r="Q1591">
        <v>0</v>
      </c>
      <c r="R1591">
        <v>0</v>
      </c>
      <c r="S1591">
        <v>0</v>
      </c>
      <c r="T1591">
        <v>18245.338127581304</v>
      </c>
      <c r="U1591">
        <v>39953.271028037387</v>
      </c>
      <c r="V1591">
        <v>0</v>
      </c>
      <c r="W1591">
        <v>0</v>
      </c>
      <c r="X1591">
        <v>0</v>
      </c>
      <c r="Y1591">
        <v>100432.0973591067</v>
      </c>
      <c r="Z1591">
        <v>4073.9026408933087</v>
      </c>
      <c r="AA1591">
        <v>104506.00000000001</v>
      </c>
      <c r="AB1591" t="s">
        <v>242</v>
      </c>
      <c r="AC1591">
        <v>5</v>
      </c>
      <c r="AD1591">
        <v>44000</v>
      </c>
      <c r="AE1591">
        <v>0</v>
      </c>
      <c r="AF1591">
        <v>0</v>
      </c>
      <c r="AG1591">
        <v>1656.9384806020189</v>
      </c>
      <c r="AH1591" t="s">
        <v>58</v>
      </c>
    </row>
    <row r="1592" spans="1:34" x14ac:dyDescent="0.3">
      <c r="A1592" t="s">
        <v>798</v>
      </c>
      <c r="B1592">
        <v>4142300044</v>
      </c>
      <c r="C1592">
        <v>120810</v>
      </c>
      <c r="D1592" t="s">
        <v>186</v>
      </c>
      <c r="E1592" t="s">
        <v>444</v>
      </c>
      <c r="F1592" t="s">
        <v>430</v>
      </c>
      <c r="G1592" t="s">
        <v>233</v>
      </c>
      <c r="H1592" t="s">
        <v>231</v>
      </c>
      <c r="J1592" t="s">
        <v>52</v>
      </c>
      <c r="K1592" s="15">
        <v>1637</v>
      </c>
      <c r="L1592" s="15">
        <v>0</v>
      </c>
      <c r="M1592" s="13">
        <v>45260</v>
      </c>
      <c r="O1592">
        <v>0</v>
      </c>
      <c r="P1592">
        <v>0</v>
      </c>
      <c r="Q1592">
        <v>16226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16226</v>
      </c>
      <c r="Z1592">
        <v>0</v>
      </c>
      <c r="AA1592">
        <v>16226</v>
      </c>
      <c r="AB1592" t="s">
        <v>242</v>
      </c>
      <c r="AC1592">
        <v>4</v>
      </c>
      <c r="AD1592">
        <v>9774</v>
      </c>
      <c r="AE1592">
        <v>0</v>
      </c>
      <c r="AF1592">
        <v>0</v>
      </c>
      <c r="AG1592">
        <v>0</v>
      </c>
      <c r="AH1592" t="s">
        <v>58</v>
      </c>
    </row>
    <row r="1593" spans="1:34" x14ac:dyDescent="0.3">
      <c r="A1593" t="s">
        <v>798</v>
      </c>
      <c r="B1593">
        <v>4142300107</v>
      </c>
      <c r="C1593">
        <v>96093</v>
      </c>
      <c r="D1593" t="s">
        <v>188</v>
      </c>
      <c r="E1593" t="s">
        <v>444</v>
      </c>
      <c r="F1593" t="s">
        <v>430</v>
      </c>
      <c r="G1593" t="s">
        <v>230</v>
      </c>
      <c r="H1593" t="s">
        <v>231</v>
      </c>
      <c r="J1593" t="s">
        <v>52</v>
      </c>
      <c r="K1593" s="15">
        <v>80320</v>
      </c>
      <c r="L1593" s="15">
        <v>0</v>
      </c>
      <c r="M1593" s="13">
        <v>45260</v>
      </c>
      <c r="O1593">
        <v>0</v>
      </c>
      <c r="P1593">
        <v>3834.3494074067871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143487.52391831143</v>
      </c>
      <c r="X1593">
        <v>0</v>
      </c>
      <c r="Y1593">
        <v>147321.87332571822</v>
      </c>
      <c r="Z1593">
        <v>10044.126674281801</v>
      </c>
      <c r="AA1593">
        <v>157366.00000000003</v>
      </c>
      <c r="AB1593" t="s">
        <v>242</v>
      </c>
      <c r="AC1593">
        <v>1</v>
      </c>
      <c r="AD1593">
        <v>80320</v>
      </c>
      <c r="AE1593">
        <v>0</v>
      </c>
      <c r="AF1593">
        <v>0</v>
      </c>
      <c r="AG1593">
        <v>5112.9013631013804</v>
      </c>
      <c r="AH1593" t="s">
        <v>72</v>
      </c>
    </row>
    <row r="1594" spans="1:34" x14ac:dyDescent="0.3">
      <c r="A1594" t="s">
        <v>798</v>
      </c>
      <c r="B1594">
        <v>4142300160</v>
      </c>
      <c r="C1594">
        <v>10044677</v>
      </c>
      <c r="D1594" t="s">
        <v>190</v>
      </c>
      <c r="E1594" t="s">
        <v>445</v>
      </c>
      <c r="F1594" t="s">
        <v>430</v>
      </c>
      <c r="G1594" t="s">
        <v>230</v>
      </c>
      <c r="H1594" t="s">
        <v>234</v>
      </c>
      <c r="J1594" t="s">
        <v>52</v>
      </c>
      <c r="K1594" s="15">
        <v>1000</v>
      </c>
      <c r="L1594" s="15">
        <v>0</v>
      </c>
      <c r="M1594" s="13">
        <v>45260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61556.644859813103</v>
      </c>
      <c r="Y1594">
        <v>61556.644859813103</v>
      </c>
      <c r="Z1594">
        <v>4308.9651401869178</v>
      </c>
      <c r="AA1594">
        <v>65865.610000000015</v>
      </c>
      <c r="AB1594" t="s">
        <v>242</v>
      </c>
      <c r="AC1594">
        <v>6</v>
      </c>
      <c r="AD1594">
        <v>21000</v>
      </c>
      <c r="AE1594">
        <v>0</v>
      </c>
      <c r="AF1594">
        <v>0</v>
      </c>
      <c r="AG1594">
        <v>1373.8317757009347</v>
      </c>
      <c r="AH1594" t="s">
        <v>58</v>
      </c>
    </row>
    <row r="1595" spans="1:34" x14ac:dyDescent="0.3">
      <c r="A1595" t="s">
        <v>798</v>
      </c>
      <c r="B1595">
        <v>4142300201</v>
      </c>
      <c r="C1595">
        <v>10077114</v>
      </c>
      <c r="D1595" t="s">
        <v>193</v>
      </c>
      <c r="E1595" t="s">
        <v>445</v>
      </c>
      <c r="F1595" t="s">
        <v>430</v>
      </c>
      <c r="G1595" t="s">
        <v>237</v>
      </c>
      <c r="H1595" t="s">
        <v>234</v>
      </c>
      <c r="J1595" t="s">
        <v>52</v>
      </c>
      <c r="K1595" s="15">
        <v>3000</v>
      </c>
      <c r="L1595" s="15">
        <v>0</v>
      </c>
      <c r="M1595" s="13">
        <v>45260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42261.383177570096</v>
      </c>
      <c r="Y1595">
        <v>42261.383177570096</v>
      </c>
      <c r="Z1595">
        <v>2958.296822429907</v>
      </c>
      <c r="AA1595">
        <v>45219.68</v>
      </c>
      <c r="AB1595" t="s">
        <v>242</v>
      </c>
      <c r="AC1595">
        <v>1</v>
      </c>
      <c r="AD1595">
        <v>3000</v>
      </c>
      <c r="AE1595">
        <v>0</v>
      </c>
      <c r="AF1595">
        <v>0</v>
      </c>
      <c r="AG1595">
        <v>196.2616822429909</v>
      </c>
      <c r="AH1595" t="s">
        <v>72</v>
      </c>
    </row>
    <row r="1596" spans="1:34" x14ac:dyDescent="0.3">
      <c r="A1596" t="s">
        <v>798</v>
      </c>
      <c r="B1596">
        <v>4142300254</v>
      </c>
      <c r="C1596">
        <v>10153969</v>
      </c>
      <c r="D1596" t="s">
        <v>195</v>
      </c>
      <c r="E1596" t="s">
        <v>445</v>
      </c>
      <c r="F1596" t="s">
        <v>430</v>
      </c>
      <c r="G1596" t="s">
        <v>237</v>
      </c>
      <c r="H1596" t="s">
        <v>234</v>
      </c>
      <c r="J1596" t="s">
        <v>52</v>
      </c>
      <c r="K1596" s="15">
        <v>5000</v>
      </c>
      <c r="L1596" s="15">
        <v>0</v>
      </c>
      <c r="M1596" s="13">
        <v>45260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66925.439252336466</v>
      </c>
      <c r="Y1596">
        <v>66925.439252336466</v>
      </c>
      <c r="Z1596">
        <v>4684.7807476635535</v>
      </c>
      <c r="AA1596">
        <v>71610.220000000016</v>
      </c>
      <c r="AB1596" t="s">
        <v>242</v>
      </c>
      <c r="AC1596">
        <v>4</v>
      </c>
      <c r="AD1596">
        <v>20000</v>
      </c>
      <c r="AE1596">
        <v>0</v>
      </c>
      <c r="AF1596">
        <v>0</v>
      </c>
      <c r="AG1596">
        <v>1308.4112149532702</v>
      </c>
      <c r="AH1596" t="s">
        <v>58</v>
      </c>
    </row>
    <row r="1597" spans="1:34" x14ac:dyDescent="0.3">
      <c r="A1597" t="s">
        <v>798</v>
      </c>
      <c r="B1597">
        <v>4142300416</v>
      </c>
      <c r="C1597">
        <v>10179898</v>
      </c>
      <c r="D1597" t="s">
        <v>198</v>
      </c>
      <c r="E1597" t="s">
        <v>445</v>
      </c>
      <c r="F1597" t="s">
        <v>430</v>
      </c>
      <c r="G1597" t="s">
        <v>230</v>
      </c>
      <c r="H1597" t="s">
        <v>234</v>
      </c>
      <c r="J1597" t="s">
        <v>52</v>
      </c>
      <c r="K1597" s="15">
        <v>3200</v>
      </c>
      <c r="L1597" s="15">
        <v>0</v>
      </c>
      <c r="M1597" s="13">
        <v>45260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316595.31775700935</v>
      </c>
      <c r="Y1597">
        <v>316595.31775700935</v>
      </c>
      <c r="Z1597">
        <v>22161.672242990659</v>
      </c>
      <c r="AA1597">
        <v>338756.99</v>
      </c>
      <c r="AB1597" t="s">
        <v>242</v>
      </c>
      <c r="AC1597">
        <v>9</v>
      </c>
      <c r="AD1597">
        <v>38000</v>
      </c>
      <c r="AE1597">
        <v>0</v>
      </c>
      <c r="AF1597">
        <v>0</v>
      </c>
      <c r="AG1597">
        <v>2485.9813084112147</v>
      </c>
      <c r="AH1597" t="s">
        <v>58</v>
      </c>
    </row>
    <row r="1598" spans="1:34" x14ac:dyDescent="0.3">
      <c r="A1598" t="s">
        <v>798</v>
      </c>
      <c r="B1598">
        <v>4142300599</v>
      </c>
      <c r="C1598">
        <v>10259999</v>
      </c>
      <c r="D1598" t="s">
        <v>201</v>
      </c>
      <c r="E1598" t="s">
        <v>445</v>
      </c>
      <c r="F1598" t="s">
        <v>430</v>
      </c>
      <c r="G1598" t="s">
        <v>230</v>
      </c>
      <c r="H1598" t="s">
        <v>234</v>
      </c>
      <c r="J1598" t="s">
        <v>52</v>
      </c>
      <c r="K1598" s="15">
        <v>10000</v>
      </c>
      <c r="L1598" s="15">
        <v>0</v>
      </c>
      <c r="M1598" s="13">
        <v>45260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256392.523364486</v>
      </c>
      <c r="Y1598">
        <v>256392.523364486</v>
      </c>
      <c r="Z1598">
        <v>17947.47663551402</v>
      </c>
      <c r="AA1598">
        <v>274340</v>
      </c>
      <c r="AB1598" t="s">
        <v>242</v>
      </c>
      <c r="AC1598">
        <v>1</v>
      </c>
      <c r="AD1598">
        <v>10000</v>
      </c>
      <c r="AE1598">
        <v>0</v>
      </c>
      <c r="AF1598">
        <v>0</v>
      </c>
      <c r="AG1598">
        <v>654.20560747663512</v>
      </c>
      <c r="AH1598" t="s">
        <v>72</v>
      </c>
    </row>
    <row r="1599" spans="1:34" x14ac:dyDescent="0.3">
      <c r="A1599" t="s">
        <v>798</v>
      </c>
      <c r="B1599">
        <v>4142300720</v>
      </c>
      <c r="C1599">
        <v>10326408</v>
      </c>
      <c r="D1599" t="s">
        <v>205</v>
      </c>
      <c r="E1599" t="s">
        <v>445</v>
      </c>
      <c r="F1599" t="s">
        <v>430</v>
      </c>
      <c r="G1599" t="s">
        <v>230</v>
      </c>
      <c r="H1599" t="s">
        <v>234</v>
      </c>
      <c r="J1599" t="s">
        <v>52</v>
      </c>
      <c r="K1599" s="15">
        <v>5000</v>
      </c>
      <c r="L1599" s="15">
        <v>0</v>
      </c>
      <c r="M1599" s="13">
        <v>45260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511039.81308411213</v>
      </c>
      <c r="Y1599">
        <v>511039.81308411213</v>
      </c>
      <c r="Z1599">
        <v>35772.786915887853</v>
      </c>
      <c r="AA1599">
        <v>546812.6</v>
      </c>
      <c r="AB1599" t="s">
        <v>242</v>
      </c>
      <c r="AC1599">
        <v>4</v>
      </c>
      <c r="AD1599">
        <v>20000</v>
      </c>
      <c r="AE1599">
        <v>0</v>
      </c>
      <c r="AF1599">
        <v>0</v>
      </c>
      <c r="AG1599">
        <v>1308.4112149532702</v>
      </c>
      <c r="AH1599" t="s">
        <v>58</v>
      </c>
    </row>
    <row r="1600" spans="1:34" x14ac:dyDescent="0.3">
      <c r="A1600" t="s">
        <v>798</v>
      </c>
      <c r="B1600">
        <v>4142300798</v>
      </c>
      <c r="C1600">
        <v>10364170</v>
      </c>
      <c r="D1600" t="s">
        <v>210</v>
      </c>
      <c r="E1600" t="s">
        <v>445</v>
      </c>
      <c r="F1600" t="s">
        <v>430</v>
      </c>
      <c r="G1600" t="s">
        <v>230</v>
      </c>
      <c r="H1600" t="s">
        <v>234</v>
      </c>
      <c r="J1600" t="s">
        <v>52</v>
      </c>
      <c r="K1600" s="15">
        <v>15000</v>
      </c>
      <c r="L1600" s="15">
        <v>0</v>
      </c>
      <c r="M1600" s="13">
        <v>45260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776828.98374087829</v>
      </c>
      <c r="Y1600">
        <v>776828.98374087829</v>
      </c>
      <c r="Z1600">
        <v>54378.028861861487</v>
      </c>
      <c r="AA1600">
        <v>831207.01260273973</v>
      </c>
      <c r="AB1600" t="s">
        <v>242</v>
      </c>
      <c r="AC1600">
        <v>3</v>
      </c>
      <c r="AD1600">
        <v>140000</v>
      </c>
      <c r="AE1600">
        <v>0</v>
      </c>
      <c r="AF1600">
        <v>0</v>
      </c>
      <c r="AG1600">
        <v>9158.8785046729008</v>
      </c>
      <c r="AH1600" t="s">
        <v>58</v>
      </c>
    </row>
    <row r="1601" spans="1:34" x14ac:dyDescent="0.3">
      <c r="A1601" t="s">
        <v>798</v>
      </c>
      <c r="B1601">
        <v>4142300897</v>
      </c>
      <c r="C1601">
        <v>10425033</v>
      </c>
      <c r="D1601" t="s">
        <v>212</v>
      </c>
      <c r="E1601" t="s">
        <v>445</v>
      </c>
      <c r="F1601" t="s">
        <v>430</v>
      </c>
      <c r="G1601" t="s">
        <v>237</v>
      </c>
      <c r="H1601" t="s">
        <v>234</v>
      </c>
      <c r="J1601" t="s">
        <v>52</v>
      </c>
      <c r="K1601" s="15">
        <v>2000</v>
      </c>
      <c r="L1601" s="15">
        <v>0</v>
      </c>
      <c r="M1601" s="13">
        <v>45260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237254.99065420555</v>
      </c>
      <c r="Y1601">
        <v>237254.99065420555</v>
      </c>
      <c r="Z1601">
        <v>16607.849345794391</v>
      </c>
      <c r="AA1601">
        <v>253862.83999999994</v>
      </c>
      <c r="AB1601" t="s">
        <v>242</v>
      </c>
      <c r="AC1601">
        <v>4</v>
      </c>
      <c r="AD1601">
        <v>8000</v>
      </c>
      <c r="AE1601">
        <v>0</v>
      </c>
      <c r="AF1601">
        <v>0</v>
      </c>
      <c r="AG1601">
        <v>523.36448598130846</v>
      </c>
      <c r="AH1601" t="s">
        <v>58</v>
      </c>
    </row>
    <row r="1602" spans="1:34" x14ac:dyDescent="0.3">
      <c r="A1602" t="s">
        <v>798</v>
      </c>
      <c r="B1602">
        <v>4302300023</v>
      </c>
      <c r="C1602">
        <v>901021032288</v>
      </c>
      <c r="D1602" t="s">
        <v>225</v>
      </c>
      <c r="E1602" t="s">
        <v>447</v>
      </c>
      <c r="F1602" t="s">
        <v>433</v>
      </c>
      <c r="G1602" t="s">
        <v>82</v>
      </c>
      <c r="H1602" t="s">
        <v>83</v>
      </c>
      <c r="J1602" t="s">
        <v>52</v>
      </c>
      <c r="K1602" s="15">
        <v>5000</v>
      </c>
      <c r="L1602" s="15">
        <v>0</v>
      </c>
      <c r="M1602" s="13">
        <v>45260</v>
      </c>
      <c r="O1602">
        <v>0</v>
      </c>
      <c r="P1602">
        <v>0</v>
      </c>
      <c r="Q1602">
        <v>90158.402301308786</v>
      </c>
      <c r="R1602">
        <v>3436.24</v>
      </c>
      <c r="S1602">
        <v>28072.401026814237</v>
      </c>
      <c r="T1602">
        <v>0</v>
      </c>
      <c r="U1602">
        <v>0</v>
      </c>
      <c r="V1602">
        <v>1172874.5</v>
      </c>
      <c r="W1602">
        <v>0</v>
      </c>
      <c r="X1602">
        <v>0</v>
      </c>
      <c r="Y1602">
        <v>1294541.5433281229</v>
      </c>
      <c r="Z1602">
        <v>84066.283071876998</v>
      </c>
      <c r="AA1602">
        <v>1378607.8263999999</v>
      </c>
      <c r="AB1602" t="s">
        <v>242</v>
      </c>
      <c r="AC1602">
        <v>5</v>
      </c>
      <c r="AD1602">
        <v>73000</v>
      </c>
      <c r="AE1602">
        <v>0</v>
      </c>
      <c r="AF1602">
        <v>0</v>
      </c>
      <c r="AG1602">
        <v>4429.6433281230047</v>
      </c>
      <c r="AH1602" t="s">
        <v>58</v>
      </c>
    </row>
    <row r="1603" spans="1:34" x14ac:dyDescent="0.3">
      <c r="A1603" t="s">
        <v>798</v>
      </c>
      <c r="B1603">
        <v>4302300029</v>
      </c>
      <c r="C1603">
        <v>901014004279</v>
      </c>
      <c r="D1603" t="s">
        <v>226</v>
      </c>
      <c r="E1603" t="s">
        <v>447</v>
      </c>
      <c r="F1603" t="s">
        <v>433</v>
      </c>
      <c r="G1603" t="s">
        <v>82</v>
      </c>
      <c r="H1603" t="s">
        <v>83</v>
      </c>
      <c r="J1603" t="s">
        <v>52</v>
      </c>
      <c r="K1603" s="15">
        <v>4000</v>
      </c>
      <c r="L1603" s="15">
        <v>0</v>
      </c>
      <c r="M1603" s="13">
        <v>45260</v>
      </c>
      <c r="O1603">
        <v>0</v>
      </c>
      <c r="P1603">
        <v>0</v>
      </c>
      <c r="Q1603">
        <v>24762.323646916229</v>
      </c>
      <c r="R1603">
        <v>17136.900000000001</v>
      </c>
      <c r="S1603">
        <v>64600.987993536255</v>
      </c>
      <c r="T1603">
        <v>0</v>
      </c>
      <c r="U1603">
        <v>0</v>
      </c>
      <c r="V1603">
        <v>332423.83</v>
      </c>
      <c r="W1603">
        <v>0</v>
      </c>
      <c r="X1603">
        <v>0</v>
      </c>
      <c r="Y1603">
        <v>438924.04164045252</v>
      </c>
      <c r="Z1603">
        <v>27791.737259547539</v>
      </c>
      <c r="AA1603">
        <v>466715.77890000003</v>
      </c>
      <c r="AB1603" t="s">
        <v>242</v>
      </c>
      <c r="AC1603">
        <v>5</v>
      </c>
      <c r="AD1603">
        <v>20000</v>
      </c>
      <c r="AE1603">
        <v>0</v>
      </c>
      <c r="AF1603">
        <v>0</v>
      </c>
      <c r="AG1603">
        <v>1183.3116404524635</v>
      </c>
      <c r="AH1603" t="s">
        <v>58</v>
      </c>
    </row>
    <row r="1604" spans="1:34" x14ac:dyDescent="0.3">
      <c r="A1604" t="s">
        <v>798</v>
      </c>
      <c r="B1604">
        <v>4302300031</v>
      </c>
      <c r="C1604">
        <v>901014009726</v>
      </c>
      <c r="D1604" t="s">
        <v>226</v>
      </c>
      <c r="E1604" t="s">
        <v>447</v>
      </c>
      <c r="F1604" t="s">
        <v>433</v>
      </c>
      <c r="G1604" t="s">
        <v>82</v>
      </c>
      <c r="H1604" t="s">
        <v>83</v>
      </c>
      <c r="J1604" t="s">
        <v>52</v>
      </c>
      <c r="K1604" s="15">
        <v>4500</v>
      </c>
      <c r="L1604" s="15">
        <v>0</v>
      </c>
      <c r="M1604" s="13">
        <v>45260</v>
      </c>
      <c r="O1604">
        <v>0</v>
      </c>
      <c r="P1604">
        <v>0</v>
      </c>
      <c r="Q1604">
        <v>24738.412094686235</v>
      </c>
      <c r="R1604">
        <v>17745.22</v>
      </c>
      <c r="S1604">
        <v>66459.562995620334</v>
      </c>
      <c r="T1604">
        <v>0</v>
      </c>
      <c r="U1604">
        <v>0</v>
      </c>
      <c r="V1604">
        <v>367732.35</v>
      </c>
      <c r="W1604">
        <v>0</v>
      </c>
      <c r="X1604">
        <v>0</v>
      </c>
      <c r="Y1604">
        <v>476675.54509030655</v>
      </c>
      <c r="Z1604">
        <v>30393.433909693424</v>
      </c>
      <c r="AA1604">
        <v>507068.97899999999</v>
      </c>
      <c r="AB1604" t="s">
        <v>242</v>
      </c>
      <c r="AC1604">
        <v>5</v>
      </c>
      <c r="AD1604">
        <v>22500</v>
      </c>
      <c r="AE1604">
        <v>0</v>
      </c>
      <c r="AF1604">
        <v>0</v>
      </c>
      <c r="AG1604">
        <v>1340.5550903065764</v>
      </c>
      <c r="AH1604" t="s">
        <v>58</v>
      </c>
    </row>
    <row r="1605" spans="1:34" x14ac:dyDescent="0.3">
      <c r="A1605" t="s">
        <v>798</v>
      </c>
      <c r="B1605">
        <v>4302300032</v>
      </c>
      <c r="C1605">
        <v>901014009730</v>
      </c>
      <c r="D1605" t="s">
        <v>226</v>
      </c>
      <c r="E1605" t="s">
        <v>447</v>
      </c>
      <c r="F1605" t="s">
        <v>433</v>
      </c>
      <c r="G1605" t="s">
        <v>82</v>
      </c>
      <c r="H1605" t="s">
        <v>83</v>
      </c>
      <c r="J1605" t="s">
        <v>52</v>
      </c>
      <c r="K1605" s="15">
        <v>4500</v>
      </c>
      <c r="L1605" s="15">
        <v>0</v>
      </c>
      <c r="M1605" s="13">
        <v>45260</v>
      </c>
      <c r="O1605">
        <v>0</v>
      </c>
      <c r="P1605">
        <v>0</v>
      </c>
      <c r="Q1605">
        <v>24732.125694971863</v>
      </c>
      <c r="R1605">
        <v>16879.09</v>
      </c>
      <c r="S1605">
        <v>66484.482247689826</v>
      </c>
      <c r="T1605">
        <v>0</v>
      </c>
      <c r="U1605">
        <v>0</v>
      </c>
      <c r="V1605">
        <v>367159.58</v>
      </c>
      <c r="W1605">
        <v>0</v>
      </c>
      <c r="X1605">
        <v>0</v>
      </c>
      <c r="Y1605">
        <v>475255.27794266172</v>
      </c>
      <c r="Z1605">
        <v>30355.084357338288</v>
      </c>
      <c r="AA1605">
        <v>505610.36230000004</v>
      </c>
      <c r="AB1605" t="s">
        <v>242</v>
      </c>
      <c r="AC1605">
        <v>5</v>
      </c>
      <c r="AD1605">
        <v>22500</v>
      </c>
      <c r="AE1605">
        <v>0</v>
      </c>
      <c r="AF1605">
        <v>0</v>
      </c>
      <c r="AG1605">
        <v>1342.8679426617114</v>
      </c>
      <c r="AH1605" t="s">
        <v>58</v>
      </c>
    </row>
    <row r="1606" spans="1:34" x14ac:dyDescent="0.3">
      <c r="A1606" t="s">
        <v>798</v>
      </c>
      <c r="B1606">
        <v>4302300033</v>
      </c>
      <c r="C1606">
        <v>901015003340</v>
      </c>
      <c r="D1606" t="s">
        <v>226</v>
      </c>
      <c r="E1606" t="s">
        <v>447</v>
      </c>
      <c r="F1606" t="s">
        <v>433</v>
      </c>
      <c r="G1606" t="s">
        <v>82</v>
      </c>
      <c r="H1606" t="s">
        <v>83</v>
      </c>
      <c r="J1606" t="s">
        <v>52</v>
      </c>
      <c r="K1606" s="15">
        <v>15000</v>
      </c>
      <c r="L1606" s="15">
        <v>0</v>
      </c>
      <c r="M1606" s="13">
        <v>45260</v>
      </c>
      <c r="O1606">
        <v>0</v>
      </c>
      <c r="P1606">
        <v>0</v>
      </c>
      <c r="Q1606">
        <v>83927.051169092505</v>
      </c>
      <c r="R1606">
        <v>40974.17</v>
      </c>
      <c r="S1606">
        <v>196592.44470178269</v>
      </c>
      <c r="T1606">
        <v>0</v>
      </c>
      <c r="U1606">
        <v>0</v>
      </c>
      <c r="V1606">
        <v>1237914.08</v>
      </c>
      <c r="W1606">
        <v>0</v>
      </c>
      <c r="X1606">
        <v>0</v>
      </c>
      <c r="Y1606">
        <v>1559407.7458708752</v>
      </c>
      <c r="Z1606">
        <v>100415.45672912479</v>
      </c>
      <c r="AA1606">
        <v>1659823.2026</v>
      </c>
      <c r="AB1606" t="s">
        <v>242</v>
      </c>
      <c r="AC1606">
        <v>5</v>
      </c>
      <c r="AD1606">
        <v>75000</v>
      </c>
      <c r="AE1606">
        <v>0</v>
      </c>
      <c r="AF1606">
        <v>0</v>
      </c>
      <c r="AG1606">
        <v>4512.8758708752121</v>
      </c>
      <c r="AH1606" t="s">
        <v>58</v>
      </c>
    </row>
    <row r="1607" spans="1:34" x14ac:dyDescent="0.3">
      <c r="A1607" t="s">
        <v>798</v>
      </c>
      <c r="B1607">
        <v>4302300034</v>
      </c>
      <c r="C1607">
        <v>901015004122</v>
      </c>
      <c r="D1607" t="s">
        <v>226</v>
      </c>
      <c r="E1607" t="s">
        <v>447</v>
      </c>
      <c r="F1607" t="s">
        <v>433</v>
      </c>
      <c r="G1607" t="s">
        <v>82</v>
      </c>
      <c r="H1607" t="s">
        <v>83</v>
      </c>
      <c r="J1607" t="s">
        <v>52</v>
      </c>
      <c r="K1607" s="15">
        <v>13000</v>
      </c>
      <c r="L1607" s="15">
        <v>0</v>
      </c>
      <c r="M1607" s="13">
        <v>45260</v>
      </c>
      <c r="O1607">
        <v>0</v>
      </c>
      <c r="P1607">
        <v>0</v>
      </c>
      <c r="Q1607">
        <v>75131.921693013501</v>
      </c>
      <c r="R1607">
        <v>28517.54</v>
      </c>
      <c r="S1607">
        <v>175197.61047381916</v>
      </c>
      <c r="T1607">
        <v>0</v>
      </c>
      <c r="U1607">
        <v>0</v>
      </c>
      <c r="V1607">
        <v>1103651.04</v>
      </c>
      <c r="W1607">
        <v>0</v>
      </c>
      <c r="X1607">
        <v>0</v>
      </c>
      <c r="Y1607">
        <v>1382498.1121668327</v>
      </c>
      <c r="Z1607">
        <v>89519.405533167344</v>
      </c>
      <c r="AA1607">
        <v>1472017.5177</v>
      </c>
      <c r="AB1607" t="s">
        <v>242</v>
      </c>
      <c r="AC1607">
        <v>4</v>
      </c>
      <c r="AD1607">
        <v>52000</v>
      </c>
      <c r="AE1607">
        <v>0</v>
      </c>
      <c r="AF1607">
        <v>0</v>
      </c>
      <c r="AG1607">
        <v>3146.4621668326599</v>
      </c>
      <c r="AH1607" t="s">
        <v>58</v>
      </c>
    </row>
    <row r="1608" spans="1:34" x14ac:dyDescent="0.3">
      <c r="A1608" t="s">
        <v>798</v>
      </c>
      <c r="B1608">
        <v>4302300035</v>
      </c>
      <c r="C1608">
        <v>901015004175</v>
      </c>
      <c r="D1608" t="s">
        <v>226</v>
      </c>
      <c r="E1608" t="s">
        <v>447</v>
      </c>
      <c r="F1608" t="s">
        <v>433</v>
      </c>
      <c r="G1608" t="s">
        <v>82</v>
      </c>
      <c r="H1608" t="s">
        <v>83</v>
      </c>
      <c r="J1608" t="s">
        <v>52</v>
      </c>
      <c r="K1608" s="15">
        <v>12000</v>
      </c>
      <c r="L1608" s="15">
        <v>0</v>
      </c>
      <c r="M1608" s="13">
        <v>45260</v>
      </c>
      <c r="O1608">
        <v>0</v>
      </c>
      <c r="P1608">
        <v>0</v>
      </c>
      <c r="Q1608">
        <v>67250.85343997278</v>
      </c>
      <c r="R1608">
        <v>21447.41</v>
      </c>
      <c r="S1608">
        <v>133980.58743927776</v>
      </c>
      <c r="T1608">
        <v>0</v>
      </c>
      <c r="U1608">
        <v>0</v>
      </c>
      <c r="V1608">
        <v>988232.46</v>
      </c>
      <c r="W1608">
        <v>0</v>
      </c>
      <c r="X1608">
        <v>0</v>
      </c>
      <c r="Y1608">
        <v>1210911.3108792505</v>
      </c>
      <c r="Z1608">
        <v>78554.913320749445</v>
      </c>
      <c r="AA1608">
        <v>1289466.2242000001</v>
      </c>
      <c r="AB1608" t="s">
        <v>242</v>
      </c>
      <c r="AC1608">
        <v>5</v>
      </c>
      <c r="AD1608">
        <v>60000</v>
      </c>
      <c r="AE1608">
        <v>0</v>
      </c>
      <c r="AF1608">
        <v>0</v>
      </c>
      <c r="AG1608">
        <v>3637.2008792505549</v>
      </c>
      <c r="AH1608" t="s">
        <v>58</v>
      </c>
    </row>
    <row r="1609" spans="1:34" x14ac:dyDescent="0.3">
      <c r="A1609" t="s">
        <v>798</v>
      </c>
      <c r="B1609">
        <v>4302300037</v>
      </c>
      <c r="C1609">
        <v>901016002166</v>
      </c>
      <c r="D1609" t="s">
        <v>226</v>
      </c>
      <c r="E1609" t="s">
        <v>447</v>
      </c>
      <c r="F1609" t="s">
        <v>433</v>
      </c>
      <c r="G1609" t="s">
        <v>82</v>
      </c>
      <c r="H1609" t="s">
        <v>83</v>
      </c>
      <c r="J1609" t="s">
        <v>52</v>
      </c>
      <c r="K1609" s="15">
        <v>25000</v>
      </c>
      <c r="L1609" s="15">
        <v>0</v>
      </c>
      <c r="M1609" s="13">
        <v>45260</v>
      </c>
      <c r="O1609">
        <v>0</v>
      </c>
      <c r="P1609">
        <v>0</v>
      </c>
      <c r="Q1609">
        <v>280558.21515186864</v>
      </c>
      <c r="R1609">
        <v>131054.42</v>
      </c>
      <c r="S1609">
        <v>544373.22471787967</v>
      </c>
      <c r="T1609">
        <v>0</v>
      </c>
      <c r="U1609">
        <v>0</v>
      </c>
      <c r="V1609">
        <v>4045543.13</v>
      </c>
      <c r="W1609">
        <v>0</v>
      </c>
      <c r="X1609">
        <v>0</v>
      </c>
      <c r="Y1609">
        <v>5001528.9898697482</v>
      </c>
      <c r="Z1609">
        <v>321294.14483025158</v>
      </c>
      <c r="AA1609">
        <v>5322823.1347000003</v>
      </c>
      <c r="AB1609" t="s">
        <v>242</v>
      </c>
      <c r="AC1609">
        <v>4</v>
      </c>
      <c r="AD1609">
        <v>100000</v>
      </c>
      <c r="AE1609">
        <v>0</v>
      </c>
      <c r="AF1609">
        <v>0</v>
      </c>
      <c r="AG1609">
        <v>6003.2598697484173</v>
      </c>
      <c r="AH1609" t="s">
        <v>58</v>
      </c>
    </row>
    <row r="1610" spans="1:34" x14ac:dyDescent="0.3">
      <c r="A1610" t="s">
        <v>798</v>
      </c>
      <c r="B1610">
        <v>4302300038</v>
      </c>
      <c r="C1610">
        <v>901016002316</v>
      </c>
      <c r="D1610" t="s">
        <v>226</v>
      </c>
      <c r="E1610" t="s">
        <v>447</v>
      </c>
      <c r="F1610" t="s">
        <v>433</v>
      </c>
      <c r="G1610" t="s">
        <v>82</v>
      </c>
      <c r="H1610" t="s">
        <v>83</v>
      </c>
      <c r="J1610" t="s">
        <v>52</v>
      </c>
      <c r="K1610" s="15">
        <v>3700</v>
      </c>
      <c r="L1610" s="15">
        <v>0</v>
      </c>
      <c r="M1610" s="13">
        <v>45260</v>
      </c>
      <c r="O1610">
        <v>0</v>
      </c>
      <c r="P1610">
        <v>0</v>
      </c>
      <c r="Q1610">
        <v>19264.309626924132</v>
      </c>
      <c r="R1610">
        <v>11130.72</v>
      </c>
      <c r="S1610">
        <v>30021.190255211088</v>
      </c>
      <c r="T1610">
        <v>0</v>
      </c>
      <c r="U1610">
        <v>0</v>
      </c>
      <c r="V1610">
        <v>290550.83</v>
      </c>
      <c r="W1610">
        <v>0</v>
      </c>
      <c r="X1610">
        <v>0</v>
      </c>
      <c r="Y1610">
        <v>350967.04988213524</v>
      </c>
      <c r="Z1610">
        <v>22440.041417864781</v>
      </c>
      <c r="AA1610">
        <v>373407.09130000003</v>
      </c>
      <c r="AB1610" t="s">
        <v>242</v>
      </c>
      <c r="AC1610">
        <v>5</v>
      </c>
      <c r="AD1610">
        <v>18500</v>
      </c>
      <c r="AE1610">
        <v>0</v>
      </c>
      <c r="AF1610">
        <v>0</v>
      </c>
      <c r="AG1610">
        <v>1105.2698821352233</v>
      </c>
      <c r="AH1610" t="s">
        <v>58</v>
      </c>
    </row>
    <row r="1611" spans="1:34" x14ac:dyDescent="0.3">
      <c r="A1611" t="s">
        <v>798</v>
      </c>
      <c r="B1611">
        <v>4302300041</v>
      </c>
      <c r="C1611">
        <v>901016004670</v>
      </c>
      <c r="D1611" t="s">
        <v>226</v>
      </c>
      <c r="E1611" t="s">
        <v>447</v>
      </c>
      <c r="F1611" t="s">
        <v>433</v>
      </c>
      <c r="G1611" t="s">
        <v>82</v>
      </c>
      <c r="H1611" t="s">
        <v>83</v>
      </c>
      <c r="J1611" t="s">
        <v>52</v>
      </c>
      <c r="K1611" s="15">
        <v>12000</v>
      </c>
      <c r="L1611" s="15">
        <v>0</v>
      </c>
      <c r="M1611" s="13">
        <v>45260</v>
      </c>
      <c r="O1611">
        <v>0</v>
      </c>
      <c r="P1611">
        <v>0</v>
      </c>
      <c r="Q1611">
        <v>66664.209197175194</v>
      </c>
      <c r="R1611">
        <v>26910.12</v>
      </c>
      <c r="S1611">
        <v>107425.21691852788</v>
      </c>
      <c r="T1611">
        <v>0</v>
      </c>
      <c r="U1611">
        <v>0</v>
      </c>
      <c r="V1611">
        <v>981107.15</v>
      </c>
      <c r="W1611">
        <v>0</v>
      </c>
      <c r="X1611">
        <v>0</v>
      </c>
      <c r="Y1611">
        <v>1182106.6961157031</v>
      </c>
      <c r="Z1611">
        <v>76197.265684296959</v>
      </c>
      <c r="AA1611">
        <v>1258303.9618000002</v>
      </c>
      <c r="AB1611" t="s">
        <v>242</v>
      </c>
      <c r="AC1611">
        <v>4</v>
      </c>
      <c r="AD1611">
        <v>48000</v>
      </c>
      <c r="AE1611">
        <v>0</v>
      </c>
      <c r="AF1611">
        <v>0</v>
      </c>
      <c r="AG1611">
        <v>2891.23611570305</v>
      </c>
      <c r="AH1611" t="s">
        <v>58</v>
      </c>
    </row>
    <row r="1612" spans="1:34" x14ac:dyDescent="0.3">
      <c r="A1612" t="s">
        <v>798</v>
      </c>
      <c r="B1612">
        <v>42200850</v>
      </c>
      <c r="C1612" t="s">
        <v>345</v>
      </c>
      <c r="D1612" t="s">
        <v>384</v>
      </c>
      <c r="E1612" t="s">
        <v>439</v>
      </c>
      <c r="F1612" t="s">
        <v>430</v>
      </c>
      <c r="G1612" t="s">
        <v>233</v>
      </c>
      <c r="H1612" t="s">
        <v>234</v>
      </c>
      <c r="J1612" t="s">
        <v>52</v>
      </c>
      <c r="K1612" s="15">
        <v>12000</v>
      </c>
      <c r="L1612" s="15">
        <v>0</v>
      </c>
      <c r="M1612" s="13">
        <v>45260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21495.327102803742</v>
      </c>
      <c r="Y1612">
        <v>21495.327102803742</v>
      </c>
      <c r="Z1612">
        <v>1504.6728971962621</v>
      </c>
      <c r="AA1612">
        <v>23000.000000000004</v>
      </c>
      <c r="AB1612" t="s">
        <v>242</v>
      </c>
      <c r="AC1612">
        <v>4</v>
      </c>
      <c r="AD1612">
        <v>21500</v>
      </c>
      <c r="AE1612">
        <v>0</v>
      </c>
      <c r="AF1612">
        <v>0</v>
      </c>
      <c r="AG1612">
        <v>1406.5420560747673</v>
      </c>
      <c r="AH1612" t="s">
        <v>58</v>
      </c>
    </row>
    <row r="1613" spans="1:34" x14ac:dyDescent="0.3">
      <c r="A1613" t="s">
        <v>798</v>
      </c>
      <c r="B1613">
        <v>4132302093</v>
      </c>
      <c r="C1613" t="s">
        <v>470</v>
      </c>
      <c r="D1613" t="s">
        <v>543</v>
      </c>
      <c r="E1613" t="s">
        <v>442</v>
      </c>
      <c r="F1613" t="s">
        <v>430</v>
      </c>
      <c r="G1613" t="s">
        <v>230</v>
      </c>
      <c r="H1613" t="s">
        <v>231</v>
      </c>
      <c r="J1613" t="s">
        <v>416</v>
      </c>
      <c r="K1613" s="15">
        <v>0.37937144287655178</v>
      </c>
      <c r="L1613" s="15">
        <v>0</v>
      </c>
      <c r="M1613" s="13">
        <v>45260</v>
      </c>
      <c r="O1613">
        <v>0</v>
      </c>
      <c r="P1613">
        <v>11309.714196460598</v>
      </c>
      <c r="Q1613">
        <v>0</v>
      </c>
      <c r="R1613">
        <v>0</v>
      </c>
      <c r="S1613">
        <v>110270.26577490667</v>
      </c>
      <c r="T1613">
        <v>20300.93411151466</v>
      </c>
      <c r="U1613">
        <v>69603.202668050275</v>
      </c>
      <c r="V1613">
        <v>0</v>
      </c>
      <c r="W1613">
        <v>193665.97539672733</v>
      </c>
      <c r="X1613">
        <v>0</v>
      </c>
      <c r="Y1613">
        <v>405150.09214765951</v>
      </c>
      <c r="Z1613">
        <v>19849.907852340457</v>
      </c>
      <c r="AA1613">
        <v>424999.99999999994</v>
      </c>
      <c r="AB1613" t="s">
        <v>242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 t="s">
        <v>72</v>
      </c>
    </row>
    <row r="1614" spans="1:34" x14ac:dyDescent="0.3">
      <c r="A1614" t="s">
        <v>798</v>
      </c>
      <c r="B1614">
        <v>4132302093</v>
      </c>
      <c r="C1614" t="s">
        <v>470</v>
      </c>
      <c r="D1614" t="s">
        <v>543</v>
      </c>
      <c r="E1614" t="s">
        <v>442</v>
      </c>
      <c r="F1614" t="s">
        <v>430</v>
      </c>
      <c r="G1614" t="s">
        <v>421</v>
      </c>
      <c r="H1614" t="s">
        <v>231</v>
      </c>
      <c r="J1614" t="s">
        <v>52</v>
      </c>
      <c r="K1614" s="15">
        <v>425000</v>
      </c>
      <c r="L1614" s="15">
        <v>0</v>
      </c>
      <c r="M1614" s="13">
        <v>45260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 t="s">
        <v>242</v>
      </c>
      <c r="AC1614">
        <v>1</v>
      </c>
      <c r="AD1614">
        <v>425000</v>
      </c>
      <c r="AE1614">
        <v>0</v>
      </c>
      <c r="AF1614">
        <v>0</v>
      </c>
      <c r="AG1614">
        <v>19849.907852340431</v>
      </c>
      <c r="AH1614" t="s">
        <v>58</v>
      </c>
    </row>
    <row r="1615" spans="1:34" x14ac:dyDescent="0.3">
      <c r="A1615" t="s">
        <v>798</v>
      </c>
      <c r="B1615">
        <v>4142300444</v>
      </c>
      <c r="C1615" t="s">
        <v>491</v>
      </c>
      <c r="D1615" t="s">
        <v>563</v>
      </c>
      <c r="E1615" t="s">
        <v>445</v>
      </c>
      <c r="F1615" t="s">
        <v>430</v>
      </c>
      <c r="G1615" t="s">
        <v>230</v>
      </c>
      <c r="H1615" t="s">
        <v>234</v>
      </c>
      <c r="J1615" t="s">
        <v>52</v>
      </c>
      <c r="K1615" s="15">
        <v>100000</v>
      </c>
      <c r="L1615" s="15">
        <v>0</v>
      </c>
      <c r="M1615" s="13">
        <v>45260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186915.88785046726</v>
      </c>
      <c r="Y1615">
        <v>186915.88785046726</v>
      </c>
      <c r="Z1615">
        <v>13084.11214953271</v>
      </c>
      <c r="AA1615">
        <v>199999.99999999997</v>
      </c>
      <c r="AB1615" t="s">
        <v>242</v>
      </c>
      <c r="AC1615">
        <v>3</v>
      </c>
      <c r="AD1615">
        <v>202000</v>
      </c>
      <c r="AE1615">
        <v>0</v>
      </c>
      <c r="AF1615">
        <v>0</v>
      </c>
      <c r="AG1615">
        <v>13214.953271028036</v>
      </c>
      <c r="AH1615" t="s">
        <v>58</v>
      </c>
    </row>
    <row r="1616" spans="1:34" x14ac:dyDescent="0.3">
      <c r="A1616" t="s">
        <v>798</v>
      </c>
      <c r="B1616">
        <v>4142300737</v>
      </c>
      <c r="C1616" t="s">
        <v>358</v>
      </c>
      <c r="D1616" t="s">
        <v>397</v>
      </c>
      <c r="E1616" t="s">
        <v>445</v>
      </c>
      <c r="F1616" t="s">
        <v>430</v>
      </c>
      <c r="G1616" t="s">
        <v>237</v>
      </c>
      <c r="H1616" t="s">
        <v>234</v>
      </c>
      <c r="J1616" t="s">
        <v>52</v>
      </c>
      <c r="K1616" s="15">
        <v>12000</v>
      </c>
      <c r="L1616" s="15">
        <v>0</v>
      </c>
      <c r="M1616" s="13">
        <v>45260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16822.429906542071</v>
      </c>
      <c r="Y1616">
        <v>16822.429906542071</v>
      </c>
      <c r="Z1616">
        <v>1177.5700934579452</v>
      </c>
      <c r="AA1616">
        <v>18000.000000000015</v>
      </c>
      <c r="AB1616" t="s">
        <v>242</v>
      </c>
      <c r="AC1616">
        <v>5</v>
      </c>
      <c r="AD1616">
        <v>54000</v>
      </c>
      <c r="AE1616">
        <v>0</v>
      </c>
      <c r="AF1616">
        <v>0</v>
      </c>
      <c r="AG1616">
        <v>3532.7102803738362</v>
      </c>
      <c r="AH1616" t="s">
        <v>58</v>
      </c>
    </row>
    <row r="1617" spans="1:34" x14ac:dyDescent="0.3">
      <c r="A1617" t="s">
        <v>798</v>
      </c>
      <c r="B1617">
        <v>4142301088</v>
      </c>
      <c r="C1617" t="s">
        <v>509</v>
      </c>
      <c r="D1617" t="s">
        <v>581</v>
      </c>
      <c r="E1617" t="s">
        <v>445</v>
      </c>
      <c r="F1617" t="s">
        <v>430</v>
      </c>
      <c r="G1617" t="s">
        <v>230</v>
      </c>
      <c r="H1617" t="s">
        <v>234</v>
      </c>
      <c r="J1617" t="s">
        <v>52</v>
      </c>
      <c r="K1617" s="15">
        <v>40000</v>
      </c>
      <c r="L1617" s="15">
        <v>0</v>
      </c>
      <c r="M1617" s="13">
        <v>45260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37383.177570093474</v>
      </c>
      <c r="Y1617">
        <v>37383.177570093474</v>
      </c>
      <c r="Z1617">
        <v>2616.8224299065432</v>
      </c>
      <c r="AA1617">
        <v>40000.000000000015</v>
      </c>
      <c r="AB1617" t="s">
        <v>242</v>
      </c>
      <c r="AC1617">
        <v>5</v>
      </c>
      <c r="AD1617">
        <v>210000</v>
      </c>
      <c r="AE1617">
        <v>0</v>
      </c>
      <c r="AF1617">
        <v>0</v>
      </c>
      <c r="AG1617">
        <v>13738.317757009339</v>
      </c>
      <c r="AH1617" t="s">
        <v>58</v>
      </c>
    </row>
    <row r="1618" spans="1:34" x14ac:dyDescent="0.3">
      <c r="A1618" t="s">
        <v>798</v>
      </c>
      <c r="B1618">
        <v>4242300018</v>
      </c>
      <c r="C1618" t="s">
        <v>515</v>
      </c>
      <c r="D1618" t="s">
        <v>587</v>
      </c>
      <c r="E1618" t="s">
        <v>444</v>
      </c>
      <c r="F1618" t="s">
        <v>431</v>
      </c>
      <c r="G1618" t="s">
        <v>230</v>
      </c>
      <c r="H1618" t="s">
        <v>231</v>
      </c>
      <c r="J1618" t="s">
        <v>52</v>
      </c>
      <c r="K1618" s="15">
        <v>10000</v>
      </c>
      <c r="L1618" s="15">
        <v>0</v>
      </c>
      <c r="M1618" s="13">
        <v>45260</v>
      </c>
      <c r="O1618">
        <v>0</v>
      </c>
      <c r="P1618">
        <v>2969.5731047131544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59483.7759145983</v>
      </c>
      <c r="X1618">
        <v>0</v>
      </c>
      <c r="Y1618">
        <v>62453.349019311456</v>
      </c>
      <c r="Z1618">
        <v>4163.864314021881</v>
      </c>
      <c r="AA1618">
        <v>66617.213333333333</v>
      </c>
      <c r="AB1618" t="s">
        <v>242</v>
      </c>
      <c r="AC1618">
        <v>3</v>
      </c>
      <c r="AD1618">
        <v>100000</v>
      </c>
      <c r="AE1618">
        <v>0</v>
      </c>
      <c r="AF1618">
        <v>0</v>
      </c>
      <c r="AG1618">
        <v>6212.9627264765641</v>
      </c>
      <c r="AH1618" t="s">
        <v>58</v>
      </c>
    </row>
    <row r="1619" spans="1:34" x14ac:dyDescent="0.3">
      <c r="A1619" t="s">
        <v>798</v>
      </c>
      <c r="B1619">
        <v>4302300010</v>
      </c>
      <c r="C1619" t="s">
        <v>107</v>
      </c>
      <c r="D1619" t="s">
        <v>223</v>
      </c>
      <c r="E1619" t="s">
        <v>447</v>
      </c>
      <c r="F1619" t="s">
        <v>433</v>
      </c>
      <c r="G1619" t="s">
        <v>82</v>
      </c>
      <c r="H1619" t="s">
        <v>83</v>
      </c>
      <c r="J1619" t="s">
        <v>416</v>
      </c>
      <c r="K1619" s="15">
        <v>0.45233007964315453</v>
      </c>
      <c r="L1619" s="15">
        <v>0</v>
      </c>
      <c r="M1619" s="13">
        <v>45260</v>
      </c>
      <c r="O1619">
        <v>0</v>
      </c>
      <c r="P1619">
        <v>0</v>
      </c>
      <c r="Q1619">
        <v>40584.09304119736</v>
      </c>
      <c r="R1619">
        <v>28402.441381365388</v>
      </c>
      <c r="S1619">
        <v>92756.244685540049</v>
      </c>
      <c r="T1619">
        <v>0</v>
      </c>
      <c r="U1619">
        <v>0</v>
      </c>
      <c r="V1619">
        <v>590433.91005972843</v>
      </c>
      <c r="W1619">
        <v>0</v>
      </c>
      <c r="X1619">
        <v>0</v>
      </c>
      <c r="Y1619">
        <v>752176.68916783121</v>
      </c>
      <c r="Z1619">
        <v>47823.310832168798</v>
      </c>
      <c r="AA1619">
        <v>800000</v>
      </c>
      <c r="AB1619" t="s">
        <v>242</v>
      </c>
      <c r="AC1619">
        <v>2</v>
      </c>
      <c r="AD1619">
        <v>35000</v>
      </c>
      <c r="AE1619">
        <v>0</v>
      </c>
      <c r="AF1619">
        <v>0</v>
      </c>
      <c r="AG1619">
        <v>2079.4637599859161</v>
      </c>
      <c r="AH1619" t="s">
        <v>58</v>
      </c>
    </row>
    <row r="1620" spans="1:34" x14ac:dyDescent="0.3">
      <c r="A1620" t="s">
        <v>798</v>
      </c>
      <c r="B1620">
        <v>4302300010</v>
      </c>
      <c r="C1620" t="s">
        <v>107</v>
      </c>
      <c r="D1620" t="s">
        <v>223</v>
      </c>
      <c r="E1620" t="s">
        <v>447</v>
      </c>
      <c r="F1620" t="s">
        <v>433</v>
      </c>
      <c r="G1620" t="s">
        <v>82</v>
      </c>
      <c r="H1620" t="s">
        <v>83</v>
      </c>
      <c r="J1620" t="s">
        <v>52</v>
      </c>
      <c r="K1620" s="15">
        <v>300000</v>
      </c>
      <c r="L1620" s="15">
        <v>0</v>
      </c>
      <c r="M1620" s="13">
        <v>45260</v>
      </c>
      <c r="O1620">
        <v>0</v>
      </c>
      <c r="P1620">
        <v>0</v>
      </c>
      <c r="Q1620">
        <v>13069.334042662413</v>
      </c>
      <c r="R1620">
        <v>28402.441381365388</v>
      </c>
      <c r="S1620">
        <v>0</v>
      </c>
      <c r="T1620">
        <v>0</v>
      </c>
      <c r="U1620">
        <v>0</v>
      </c>
      <c r="V1620">
        <v>428531.05100558151</v>
      </c>
      <c r="W1620">
        <v>0</v>
      </c>
      <c r="X1620">
        <v>0</v>
      </c>
      <c r="Y1620">
        <v>470002.82642960933</v>
      </c>
      <c r="Z1620">
        <v>29997.173570390707</v>
      </c>
      <c r="AA1620">
        <v>500000.00000000006</v>
      </c>
      <c r="AB1620" t="s">
        <v>242</v>
      </c>
      <c r="AC1620">
        <v>3</v>
      </c>
      <c r="AD1620">
        <v>335000</v>
      </c>
      <c r="AE1620">
        <v>0</v>
      </c>
      <c r="AF1620">
        <v>0</v>
      </c>
      <c r="AG1620">
        <v>19905.601021764003</v>
      </c>
      <c r="AH1620" t="s">
        <v>58</v>
      </c>
    </row>
    <row r="1621" spans="1:34" x14ac:dyDescent="0.3">
      <c r="A1621" t="s">
        <v>798</v>
      </c>
      <c r="B1621">
        <v>12200042</v>
      </c>
      <c r="C1621" t="s">
        <v>625</v>
      </c>
      <c r="D1621" t="s">
        <v>624</v>
      </c>
      <c r="E1621" t="s">
        <v>435</v>
      </c>
      <c r="F1621" t="s">
        <v>427</v>
      </c>
      <c r="G1621" t="s">
        <v>230</v>
      </c>
      <c r="H1621" t="s">
        <v>230</v>
      </c>
      <c r="J1621" t="s">
        <v>52</v>
      </c>
      <c r="K1621" s="15">
        <v>2000</v>
      </c>
      <c r="M1621" s="13">
        <v>45260</v>
      </c>
      <c r="O1621">
        <v>0</v>
      </c>
      <c r="P1621">
        <v>0</v>
      </c>
      <c r="Q1621">
        <v>0</v>
      </c>
      <c r="R1621">
        <v>0</v>
      </c>
      <c r="S1621">
        <v>21173.699999999997</v>
      </c>
      <c r="T1621">
        <v>0</v>
      </c>
      <c r="U1621">
        <v>0</v>
      </c>
      <c r="V1621">
        <v>80000</v>
      </c>
      <c r="W1621">
        <v>0</v>
      </c>
      <c r="X1621">
        <v>0</v>
      </c>
      <c r="Y1621">
        <v>101173.7</v>
      </c>
      <c r="Z1621">
        <v>0</v>
      </c>
      <c r="AA1621">
        <v>101173.7</v>
      </c>
      <c r="AB1621" t="s">
        <v>242</v>
      </c>
      <c r="AC1621">
        <v>10</v>
      </c>
      <c r="AD1621">
        <v>19600</v>
      </c>
      <c r="AE1621">
        <v>0</v>
      </c>
      <c r="AF1621">
        <v>0</v>
      </c>
      <c r="AG1621">
        <v>0</v>
      </c>
      <c r="AH1621" t="s">
        <v>58</v>
      </c>
    </row>
    <row r="1622" spans="1:34" x14ac:dyDescent="0.3">
      <c r="A1622" t="s">
        <v>798</v>
      </c>
      <c r="B1622">
        <v>52201528</v>
      </c>
      <c r="C1622" t="s">
        <v>655</v>
      </c>
      <c r="D1622" t="s">
        <v>654</v>
      </c>
      <c r="E1622" t="s">
        <v>438</v>
      </c>
      <c r="F1622" t="s">
        <v>431</v>
      </c>
      <c r="G1622" t="s">
        <v>82</v>
      </c>
      <c r="H1622" t="s">
        <v>83</v>
      </c>
      <c r="J1622" t="s">
        <v>52</v>
      </c>
      <c r="K1622" s="15">
        <v>1000</v>
      </c>
      <c r="M1622" s="13">
        <v>45260</v>
      </c>
      <c r="O1622">
        <v>0</v>
      </c>
      <c r="P1622">
        <v>0</v>
      </c>
      <c r="Q1622">
        <v>0</v>
      </c>
      <c r="R1622">
        <v>1014.0160191331862</v>
      </c>
      <c r="S1622">
        <v>47733.629888660573</v>
      </c>
      <c r="T1622">
        <v>0</v>
      </c>
      <c r="U1622">
        <v>0</v>
      </c>
      <c r="V1622">
        <v>93457.943925233645</v>
      </c>
      <c r="W1622">
        <v>0</v>
      </c>
      <c r="X1622">
        <v>0</v>
      </c>
      <c r="Y1622">
        <v>142205.58983302739</v>
      </c>
      <c r="Z1622">
        <v>9883.4101669725951</v>
      </c>
      <c r="AA1622">
        <v>152089</v>
      </c>
      <c r="AB1622" t="s">
        <v>242</v>
      </c>
      <c r="AC1622">
        <v>3</v>
      </c>
      <c r="AD1622">
        <v>3500</v>
      </c>
      <c r="AE1622">
        <v>0</v>
      </c>
      <c r="AF1622">
        <v>0</v>
      </c>
      <c r="AG1622">
        <v>227.33749657880674</v>
      </c>
      <c r="AH1622" t="s">
        <v>58</v>
      </c>
    </row>
    <row r="1623" spans="1:34" x14ac:dyDescent="0.3">
      <c r="A1623" t="s">
        <v>798</v>
      </c>
      <c r="B1623">
        <v>12200001</v>
      </c>
      <c r="C1623">
        <v>11371109</v>
      </c>
      <c r="D1623" t="s">
        <v>111</v>
      </c>
      <c r="E1623" t="s">
        <v>435</v>
      </c>
      <c r="F1623" t="s">
        <v>427</v>
      </c>
      <c r="G1623" t="s">
        <v>82</v>
      </c>
      <c r="H1623" t="s">
        <v>82</v>
      </c>
      <c r="J1623" t="s">
        <v>52</v>
      </c>
      <c r="K1623" s="15">
        <v>2000</v>
      </c>
      <c r="L1623" s="15">
        <v>0</v>
      </c>
      <c r="M1623" s="13">
        <v>45261</v>
      </c>
      <c r="O1623">
        <v>0</v>
      </c>
      <c r="P1623">
        <v>0</v>
      </c>
      <c r="Q1623">
        <v>0</v>
      </c>
      <c r="R1623">
        <v>0</v>
      </c>
      <c r="S1623">
        <v>29274.413513237239</v>
      </c>
      <c r="T1623">
        <v>0</v>
      </c>
      <c r="U1623">
        <v>0</v>
      </c>
      <c r="V1623">
        <v>107144.0766813306</v>
      </c>
      <c r="W1623">
        <v>0</v>
      </c>
      <c r="X1623">
        <v>0</v>
      </c>
      <c r="Y1623">
        <v>136418.49019456783</v>
      </c>
      <c r="Z1623">
        <v>0</v>
      </c>
      <c r="AA1623">
        <v>136418.49019456783</v>
      </c>
      <c r="AB1623" t="s">
        <v>242</v>
      </c>
      <c r="AC1623">
        <v>8</v>
      </c>
      <c r="AD1623">
        <v>14000</v>
      </c>
      <c r="AE1623">
        <v>0</v>
      </c>
      <c r="AF1623">
        <v>0</v>
      </c>
      <c r="AG1623">
        <v>0</v>
      </c>
      <c r="AH1623" t="s">
        <v>58</v>
      </c>
    </row>
    <row r="1624" spans="1:34" x14ac:dyDescent="0.3">
      <c r="A1624" t="s">
        <v>798</v>
      </c>
      <c r="B1624">
        <v>12200041</v>
      </c>
      <c r="C1624">
        <v>23113175</v>
      </c>
      <c r="D1624" t="s">
        <v>78</v>
      </c>
      <c r="E1624" t="s">
        <v>435</v>
      </c>
      <c r="F1624" t="s">
        <v>427</v>
      </c>
      <c r="G1624" t="s">
        <v>82</v>
      </c>
      <c r="H1624" t="s">
        <v>82</v>
      </c>
      <c r="J1624" t="s">
        <v>52</v>
      </c>
      <c r="K1624" s="15">
        <v>5000</v>
      </c>
      <c r="L1624" s="15">
        <v>0</v>
      </c>
      <c r="M1624" s="13">
        <v>45261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147565.03142572055</v>
      </c>
      <c r="W1624">
        <v>0</v>
      </c>
      <c r="X1624">
        <v>0</v>
      </c>
      <c r="Y1624">
        <v>147565.03142572055</v>
      </c>
      <c r="Z1624">
        <v>0</v>
      </c>
      <c r="AA1624">
        <v>147565.03142572055</v>
      </c>
      <c r="AB1624" t="s">
        <v>242</v>
      </c>
      <c r="AC1624">
        <v>19</v>
      </c>
      <c r="AD1624">
        <v>75000</v>
      </c>
      <c r="AE1624">
        <v>0</v>
      </c>
      <c r="AF1624">
        <v>0</v>
      </c>
      <c r="AG1624">
        <v>0</v>
      </c>
      <c r="AH1624" t="s">
        <v>58</v>
      </c>
    </row>
    <row r="1625" spans="1:34" x14ac:dyDescent="0.3">
      <c r="A1625" t="s">
        <v>798</v>
      </c>
      <c r="B1625">
        <v>42200061</v>
      </c>
      <c r="C1625" t="s">
        <v>91</v>
      </c>
      <c r="D1625" t="s">
        <v>122</v>
      </c>
      <c r="E1625" t="s">
        <v>437</v>
      </c>
      <c r="F1625" t="s">
        <v>430</v>
      </c>
      <c r="G1625" t="s">
        <v>230</v>
      </c>
      <c r="H1625" t="s">
        <v>231</v>
      </c>
      <c r="J1625" t="s">
        <v>52</v>
      </c>
      <c r="K1625" s="15">
        <v>3000</v>
      </c>
      <c r="L1625" s="15">
        <v>0</v>
      </c>
      <c r="M1625" s="13">
        <v>45261</v>
      </c>
      <c r="O1625">
        <v>0</v>
      </c>
      <c r="P1625">
        <v>1573.7514851267936</v>
      </c>
      <c r="Q1625">
        <v>0</v>
      </c>
      <c r="R1625">
        <v>0</v>
      </c>
      <c r="S1625">
        <v>2433.4931506849316</v>
      </c>
      <c r="T1625">
        <v>1332.9425372646774</v>
      </c>
      <c r="U1625">
        <v>2803.7383177570096</v>
      </c>
      <c r="V1625">
        <v>0</v>
      </c>
      <c r="W1625">
        <v>28971.962616822431</v>
      </c>
      <c r="X1625">
        <v>0</v>
      </c>
      <c r="Y1625">
        <v>37115.888107655846</v>
      </c>
      <c r="Z1625">
        <v>2317.6050430290884</v>
      </c>
      <c r="AA1625">
        <v>39433.493150684932</v>
      </c>
      <c r="AB1625" t="s">
        <v>242</v>
      </c>
      <c r="AC1625">
        <v>2</v>
      </c>
      <c r="AD1625">
        <v>13000</v>
      </c>
      <c r="AE1625">
        <v>0</v>
      </c>
      <c r="AF1625">
        <v>0</v>
      </c>
      <c r="AG1625">
        <v>757.16131211109814</v>
      </c>
      <c r="AH1625" t="s">
        <v>58</v>
      </c>
    </row>
    <row r="1626" spans="1:34" x14ac:dyDescent="0.3">
      <c r="A1626" t="s">
        <v>798</v>
      </c>
      <c r="B1626">
        <v>4142300160</v>
      </c>
      <c r="C1626">
        <v>10044677</v>
      </c>
      <c r="D1626" t="s">
        <v>190</v>
      </c>
      <c r="E1626" t="s">
        <v>445</v>
      </c>
      <c r="F1626" t="s">
        <v>430</v>
      </c>
      <c r="G1626" t="s">
        <v>230</v>
      </c>
      <c r="H1626" t="s">
        <v>234</v>
      </c>
      <c r="J1626" t="s">
        <v>52</v>
      </c>
      <c r="K1626" s="15">
        <v>1000</v>
      </c>
      <c r="L1626" s="15">
        <v>0</v>
      </c>
      <c r="M1626" s="13">
        <v>45261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60622.065420560764</v>
      </c>
      <c r="Y1626">
        <v>60622.065420560764</v>
      </c>
      <c r="Z1626">
        <v>4243.5445794392535</v>
      </c>
      <c r="AA1626">
        <v>64865.610000000015</v>
      </c>
      <c r="AB1626" t="s">
        <v>242</v>
      </c>
      <c r="AC1626">
        <v>7</v>
      </c>
      <c r="AD1626">
        <v>22000</v>
      </c>
      <c r="AE1626">
        <v>0</v>
      </c>
      <c r="AF1626">
        <v>0</v>
      </c>
      <c r="AG1626">
        <v>1439.2523364485983</v>
      </c>
      <c r="AH1626" t="s">
        <v>58</v>
      </c>
    </row>
    <row r="1627" spans="1:34" x14ac:dyDescent="0.3">
      <c r="A1627" t="s">
        <v>798</v>
      </c>
      <c r="B1627">
        <v>4142300766</v>
      </c>
      <c r="C1627">
        <v>10354207</v>
      </c>
      <c r="D1627" t="s">
        <v>207</v>
      </c>
      <c r="E1627" t="s">
        <v>445</v>
      </c>
      <c r="F1627" t="s">
        <v>430</v>
      </c>
      <c r="G1627" t="s">
        <v>230</v>
      </c>
      <c r="H1627" t="s">
        <v>234</v>
      </c>
      <c r="J1627" t="s">
        <v>52</v>
      </c>
      <c r="K1627" s="15">
        <v>5000</v>
      </c>
      <c r="L1627" s="15">
        <v>0</v>
      </c>
      <c r="M1627" s="13">
        <v>45261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305871.58878504677</v>
      </c>
      <c r="Y1627">
        <v>305871.58878504677</v>
      </c>
      <c r="Z1627">
        <v>21411.011214953276</v>
      </c>
      <c r="AA1627">
        <v>327282.60000000003</v>
      </c>
      <c r="AB1627" t="s">
        <v>242</v>
      </c>
      <c r="AC1627">
        <v>6</v>
      </c>
      <c r="AD1627">
        <v>46000</v>
      </c>
      <c r="AE1627">
        <v>0</v>
      </c>
      <c r="AF1627">
        <v>0</v>
      </c>
      <c r="AG1627">
        <v>3009.3457943925232</v>
      </c>
      <c r="AH1627" t="s">
        <v>58</v>
      </c>
    </row>
    <row r="1628" spans="1:34" x14ac:dyDescent="0.3">
      <c r="A1628" t="s">
        <v>798</v>
      </c>
      <c r="B1628">
        <v>82200013</v>
      </c>
      <c r="C1628" t="s">
        <v>108</v>
      </c>
      <c r="D1628" t="s">
        <v>533</v>
      </c>
      <c r="E1628" t="s">
        <v>440</v>
      </c>
      <c r="F1628" t="s">
        <v>433</v>
      </c>
      <c r="G1628" t="s">
        <v>417</v>
      </c>
      <c r="H1628" t="s">
        <v>83</v>
      </c>
      <c r="J1628" t="s">
        <v>52</v>
      </c>
      <c r="K1628" s="15">
        <v>520000</v>
      </c>
      <c r="L1628" s="15">
        <v>0</v>
      </c>
      <c r="M1628" s="13">
        <v>45261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 t="s">
        <v>242</v>
      </c>
      <c r="AC1628">
        <v>1</v>
      </c>
      <c r="AD1628">
        <v>520000</v>
      </c>
      <c r="AE1628">
        <v>0</v>
      </c>
      <c r="AF1628">
        <v>0</v>
      </c>
      <c r="AG1628">
        <v>31674.19467308966</v>
      </c>
      <c r="AH1628" t="s">
        <v>58</v>
      </c>
    </row>
    <row r="1629" spans="1:34" x14ac:dyDescent="0.3">
      <c r="A1629" t="s">
        <v>798</v>
      </c>
      <c r="B1629">
        <v>4132300350</v>
      </c>
      <c r="C1629" t="s">
        <v>466</v>
      </c>
      <c r="D1629" t="s">
        <v>539</v>
      </c>
      <c r="E1629" t="s">
        <v>441</v>
      </c>
      <c r="F1629" t="s">
        <v>430</v>
      </c>
      <c r="G1629" t="s">
        <v>230</v>
      </c>
      <c r="H1629" t="s">
        <v>231</v>
      </c>
      <c r="J1629" t="s">
        <v>52</v>
      </c>
      <c r="K1629" s="15">
        <v>2000</v>
      </c>
      <c r="L1629" s="15">
        <v>0</v>
      </c>
      <c r="M1629" s="13">
        <v>45261</v>
      </c>
      <c r="O1629">
        <v>0</v>
      </c>
      <c r="P1629">
        <v>0</v>
      </c>
      <c r="Q1629">
        <v>0</v>
      </c>
      <c r="R1629">
        <v>0</v>
      </c>
      <c r="S1629">
        <v>1529.812696039661</v>
      </c>
      <c r="T1629">
        <v>0</v>
      </c>
      <c r="U1629">
        <v>0</v>
      </c>
      <c r="V1629">
        <v>0</v>
      </c>
      <c r="W1629">
        <v>3826.0104108194191</v>
      </c>
      <c r="X1629">
        <v>0</v>
      </c>
      <c r="Y1629">
        <v>5355.8231068590803</v>
      </c>
      <c r="Z1629">
        <v>267.82072875735935</v>
      </c>
      <c r="AA1629">
        <v>5623.6438356164399</v>
      </c>
      <c r="AB1629" t="s">
        <v>242</v>
      </c>
      <c r="AC1629">
        <v>6</v>
      </c>
      <c r="AD1629">
        <v>20000</v>
      </c>
      <c r="AE1629">
        <v>0</v>
      </c>
      <c r="AF1629">
        <v>0</v>
      </c>
      <c r="AG1629">
        <v>911.51571984077145</v>
      </c>
      <c r="AH1629" t="s">
        <v>58</v>
      </c>
    </row>
    <row r="1630" spans="1:34" x14ac:dyDescent="0.3">
      <c r="A1630" t="s">
        <v>798</v>
      </c>
      <c r="B1630">
        <v>62200092</v>
      </c>
      <c r="C1630" t="s">
        <v>659</v>
      </c>
      <c r="D1630" t="s">
        <v>658</v>
      </c>
      <c r="E1630" t="s">
        <v>435</v>
      </c>
      <c r="F1630" t="s">
        <v>432</v>
      </c>
      <c r="G1630" t="s">
        <v>235</v>
      </c>
      <c r="H1630" t="s">
        <v>235</v>
      </c>
      <c r="J1630" t="s">
        <v>52</v>
      </c>
      <c r="K1630" s="15">
        <v>3000</v>
      </c>
      <c r="M1630" s="13">
        <v>45261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42618.739999999991</v>
      </c>
      <c r="W1630">
        <v>0</v>
      </c>
      <c r="X1630">
        <v>0</v>
      </c>
      <c r="Y1630">
        <v>42618.739999999991</v>
      </c>
      <c r="Z1630">
        <v>0</v>
      </c>
      <c r="AA1630">
        <v>42618.739999999991</v>
      </c>
      <c r="AB1630" t="s">
        <v>242</v>
      </c>
      <c r="AC1630">
        <v>7</v>
      </c>
      <c r="AD1630">
        <v>21000</v>
      </c>
      <c r="AE1630">
        <v>0</v>
      </c>
      <c r="AF1630">
        <v>0</v>
      </c>
      <c r="AG1630">
        <v>0</v>
      </c>
      <c r="AH1630" t="s">
        <v>58</v>
      </c>
    </row>
    <row r="1631" spans="1:34" x14ac:dyDescent="0.3">
      <c r="A1631" t="s">
        <v>798</v>
      </c>
      <c r="B1631">
        <v>2200015</v>
      </c>
      <c r="C1631">
        <v>20972229</v>
      </c>
      <c r="D1631" t="s">
        <v>76</v>
      </c>
      <c r="E1631" t="s">
        <v>435</v>
      </c>
      <c r="F1631" t="s">
        <v>426</v>
      </c>
      <c r="G1631" t="s">
        <v>82</v>
      </c>
      <c r="H1631" t="s">
        <v>82</v>
      </c>
      <c r="J1631" t="s">
        <v>52</v>
      </c>
      <c r="K1631" s="15">
        <v>1000</v>
      </c>
      <c r="L1631" s="15">
        <v>0</v>
      </c>
      <c r="M1631" s="13">
        <v>45262</v>
      </c>
      <c r="O1631">
        <v>0</v>
      </c>
      <c r="P1631">
        <v>0</v>
      </c>
      <c r="Q1631">
        <v>0</v>
      </c>
      <c r="R1631">
        <v>0</v>
      </c>
      <c r="S1631">
        <v>3809.5975322232734</v>
      </c>
      <c r="T1631">
        <v>0</v>
      </c>
      <c r="U1631">
        <v>0</v>
      </c>
      <c r="V1631">
        <v>122323.98354815517</v>
      </c>
      <c r="W1631">
        <v>0</v>
      </c>
      <c r="X1631">
        <v>0</v>
      </c>
      <c r="Y1631">
        <v>126133.58108037844</v>
      </c>
      <c r="Z1631">
        <v>0</v>
      </c>
      <c r="AA1631">
        <v>126133.58108037844</v>
      </c>
      <c r="AB1631" t="s">
        <v>242</v>
      </c>
      <c r="AC1631">
        <v>16</v>
      </c>
      <c r="AD1631">
        <v>16000</v>
      </c>
      <c r="AE1631">
        <v>0</v>
      </c>
      <c r="AF1631">
        <v>0</v>
      </c>
      <c r="AG1631">
        <v>0</v>
      </c>
      <c r="AH1631" t="s">
        <v>58</v>
      </c>
    </row>
    <row r="1632" spans="1:34" x14ac:dyDescent="0.3">
      <c r="A1632" t="s">
        <v>798</v>
      </c>
      <c r="B1632">
        <v>62200013</v>
      </c>
      <c r="C1632">
        <v>20972385</v>
      </c>
      <c r="D1632" t="s">
        <v>76</v>
      </c>
      <c r="E1632" t="s">
        <v>435</v>
      </c>
      <c r="F1632" t="s">
        <v>432</v>
      </c>
      <c r="G1632" t="s">
        <v>82</v>
      </c>
      <c r="H1632" t="s">
        <v>82</v>
      </c>
      <c r="J1632" t="s">
        <v>52</v>
      </c>
      <c r="K1632" s="15">
        <v>4000</v>
      </c>
      <c r="L1632" s="15">
        <v>0</v>
      </c>
      <c r="M1632" s="13">
        <v>45262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23665.191359418066</v>
      </c>
      <c r="W1632">
        <v>0</v>
      </c>
      <c r="X1632">
        <v>0</v>
      </c>
      <c r="Y1632">
        <v>23665.191359418066</v>
      </c>
      <c r="Z1632">
        <v>0</v>
      </c>
      <c r="AA1632">
        <v>23665.191359418066</v>
      </c>
      <c r="AB1632" t="s">
        <v>242</v>
      </c>
      <c r="AC1632">
        <v>16</v>
      </c>
      <c r="AD1632">
        <v>64000</v>
      </c>
      <c r="AE1632">
        <v>0</v>
      </c>
      <c r="AF1632">
        <v>0</v>
      </c>
      <c r="AG1632">
        <v>0</v>
      </c>
      <c r="AH1632" t="s">
        <v>58</v>
      </c>
    </row>
    <row r="1633" spans="1:34" x14ac:dyDescent="0.3">
      <c r="A1633" t="s">
        <v>798</v>
      </c>
      <c r="B1633">
        <v>4302300014</v>
      </c>
      <c r="C1633">
        <v>901022013503</v>
      </c>
      <c r="D1633" t="s">
        <v>291</v>
      </c>
      <c r="E1633" t="s">
        <v>447</v>
      </c>
      <c r="F1633" t="s">
        <v>433</v>
      </c>
      <c r="G1633" t="s">
        <v>327</v>
      </c>
      <c r="H1633" t="s">
        <v>83</v>
      </c>
      <c r="J1633" t="s">
        <v>425</v>
      </c>
      <c r="K1633" s="15">
        <v>650000</v>
      </c>
      <c r="L1633" s="15">
        <v>10623</v>
      </c>
      <c r="M1633" s="13">
        <v>45264</v>
      </c>
      <c r="O1633">
        <v>10623</v>
      </c>
      <c r="P1633">
        <v>0</v>
      </c>
      <c r="Q1633">
        <v>165974.12</v>
      </c>
      <c r="R1633">
        <v>670.43</v>
      </c>
      <c r="S1633">
        <v>48436.542567056989</v>
      </c>
      <c r="T1633">
        <v>0</v>
      </c>
      <c r="U1633">
        <v>0</v>
      </c>
      <c r="V1633">
        <v>1200830.6074329431</v>
      </c>
      <c r="W1633">
        <v>0</v>
      </c>
      <c r="X1633">
        <v>0</v>
      </c>
      <c r="Y1633">
        <v>1426534.7</v>
      </c>
      <c r="Z1633">
        <v>87448.700500000021</v>
      </c>
      <c r="AA1633">
        <v>1513983.4005</v>
      </c>
      <c r="AB1633" t="s">
        <v>242</v>
      </c>
      <c r="AC1633">
        <v>0</v>
      </c>
      <c r="AD1633">
        <v>0</v>
      </c>
      <c r="AE1633">
        <v>0</v>
      </c>
      <c r="AF1633">
        <v>695500</v>
      </c>
      <c r="AG1633">
        <v>45500</v>
      </c>
      <c r="AH1633" t="s">
        <v>72</v>
      </c>
    </row>
    <row r="1634" spans="1:34" x14ac:dyDescent="0.3">
      <c r="A1634" t="s">
        <v>798</v>
      </c>
      <c r="B1634">
        <v>52201645</v>
      </c>
      <c r="C1634">
        <v>26580827</v>
      </c>
      <c r="D1634" t="s">
        <v>163</v>
      </c>
      <c r="E1634" t="s">
        <v>438</v>
      </c>
      <c r="F1634" t="s">
        <v>431</v>
      </c>
      <c r="G1634" t="s">
        <v>82</v>
      </c>
      <c r="H1634" t="s">
        <v>83</v>
      </c>
      <c r="J1634" t="s">
        <v>52</v>
      </c>
      <c r="K1634" s="15">
        <v>2405</v>
      </c>
      <c r="L1634" s="15">
        <v>0</v>
      </c>
      <c r="M1634" s="13">
        <v>45264</v>
      </c>
      <c r="O1634">
        <v>0</v>
      </c>
      <c r="P1634">
        <v>0</v>
      </c>
      <c r="Q1634">
        <v>0</v>
      </c>
      <c r="R1634">
        <v>726.6394517691806</v>
      </c>
      <c r="S1634">
        <v>39343.633301524678</v>
      </c>
      <c r="T1634">
        <v>0</v>
      </c>
      <c r="U1634">
        <v>0</v>
      </c>
      <c r="V1634">
        <v>88638.947347097012</v>
      </c>
      <c r="W1634">
        <v>0</v>
      </c>
      <c r="X1634">
        <v>0</v>
      </c>
      <c r="Y1634">
        <v>128709.22010039087</v>
      </c>
      <c r="Z1634">
        <v>8958.7806454035199</v>
      </c>
      <c r="AA1634">
        <v>137668.00074579439</v>
      </c>
      <c r="AB1634" t="s">
        <v>242</v>
      </c>
      <c r="AC1634">
        <v>7</v>
      </c>
      <c r="AD1634">
        <v>28810</v>
      </c>
      <c r="AE1634">
        <v>0</v>
      </c>
      <c r="AF1634">
        <v>0</v>
      </c>
      <c r="AG1634">
        <v>1874.0137959101344</v>
      </c>
      <c r="AH1634" t="s">
        <v>58</v>
      </c>
    </row>
    <row r="1635" spans="1:34" x14ac:dyDescent="0.3">
      <c r="A1635" t="s">
        <v>798</v>
      </c>
      <c r="B1635">
        <v>2200002</v>
      </c>
      <c r="C1635" t="s">
        <v>645</v>
      </c>
      <c r="D1635" t="s">
        <v>407</v>
      </c>
      <c r="E1635" t="s">
        <v>435</v>
      </c>
      <c r="F1635" t="s">
        <v>426</v>
      </c>
      <c r="G1635" t="s">
        <v>235</v>
      </c>
      <c r="H1635" t="s">
        <v>235</v>
      </c>
      <c r="J1635" t="s">
        <v>52</v>
      </c>
      <c r="K1635" s="15">
        <v>5000</v>
      </c>
      <c r="M1635" s="13">
        <v>45265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88625</v>
      </c>
      <c r="W1635">
        <v>0</v>
      </c>
      <c r="X1635">
        <v>0</v>
      </c>
      <c r="Y1635">
        <v>88625</v>
      </c>
      <c r="Z1635">
        <v>0</v>
      </c>
      <c r="AA1635">
        <v>88625</v>
      </c>
      <c r="AB1635" t="s">
        <v>242</v>
      </c>
      <c r="AC1635">
        <v>8</v>
      </c>
      <c r="AD1635">
        <v>40000</v>
      </c>
      <c r="AE1635">
        <v>0</v>
      </c>
      <c r="AF1635">
        <v>0</v>
      </c>
      <c r="AG1635">
        <v>0</v>
      </c>
      <c r="AH1635" t="s">
        <v>58</v>
      </c>
    </row>
    <row r="1636" spans="1:34" x14ac:dyDescent="0.3">
      <c r="A1636" t="s">
        <v>798</v>
      </c>
      <c r="B1636">
        <v>2200003</v>
      </c>
      <c r="C1636" t="s">
        <v>646</v>
      </c>
      <c r="D1636" t="s">
        <v>407</v>
      </c>
      <c r="E1636" t="s">
        <v>435</v>
      </c>
      <c r="F1636" t="s">
        <v>426</v>
      </c>
      <c r="G1636" t="s">
        <v>235</v>
      </c>
      <c r="H1636" t="s">
        <v>235</v>
      </c>
      <c r="J1636" t="s">
        <v>52</v>
      </c>
      <c r="K1636" s="15">
        <v>5000</v>
      </c>
      <c r="M1636" s="13">
        <v>45265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98250</v>
      </c>
      <c r="W1636">
        <v>0</v>
      </c>
      <c r="X1636">
        <v>0</v>
      </c>
      <c r="Y1636">
        <v>98250</v>
      </c>
      <c r="Z1636">
        <v>0</v>
      </c>
      <c r="AA1636">
        <v>98250</v>
      </c>
      <c r="AB1636" t="s">
        <v>242</v>
      </c>
      <c r="AC1636">
        <v>8</v>
      </c>
      <c r="AD1636">
        <v>40000</v>
      </c>
      <c r="AE1636">
        <v>0</v>
      </c>
      <c r="AF1636">
        <v>0</v>
      </c>
      <c r="AG1636">
        <v>0</v>
      </c>
      <c r="AH1636" t="s">
        <v>58</v>
      </c>
    </row>
    <row r="1637" spans="1:34" x14ac:dyDescent="0.3">
      <c r="A1637" t="s">
        <v>798</v>
      </c>
      <c r="B1637">
        <v>52200185</v>
      </c>
      <c r="C1637">
        <v>24837727</v>
      </c>
      <c r="D1637" t="s">
        <v>133</v>
      </c>
      <c r="E1637" t="s">
        <v>436</v>
      </c>
      <c r="F1637" t="s">
        <v>431</v>
      </c>
      <c r="G1637" t="s">
        <v>82</v>
      </c>
      <c r="H1637" t="s">
        <v>83</v>
      </c>
      <c r="J1637" t="s">
        <v>52</v>
      </c>
      <c r="K1637" s="15">
        <v>2000</v>
      </c>
      <c r="L1637" s="15">
        <v>0</v>
      </c>
      <c r="M1637" s="13">
        <v>45266</v>
      </c>
      <c r="O1637">
        <v>0</v>
      </c>
      <c r="P1637">
        <v>0</v>
      </c>
      <c r="Q1637">
        <v>0</v>
      </c>
      <c r="R1637">
        <v>857.15403929913271</v>
      </c>
      <c r="S1637">
        <v>12073.325766398748</v>
      </c>
      <c r="T1637">
        <v>0</v>
      </c>
      <c r="U1637">
        <v>0</v>
      </c>
      <c r="V1637">
        <v>51964.847111538125</v>
      </c>
      <c r="W1637">
        <v>0</v>
      </c>
      <c r="X1637">
        <v>0</v>
      </c>
      <c r="Y1637">
        <v>64895.326917236001</v>
      </c>
      <c r="Z1637">
        <v>4482.6721014555815</v>
      </c>
      <c r="AA1637">
        <v>69377.999018691582</v>
      </c>
      <c r="AB1637" t="s">
        <v>242</v>
      </c>
      <c r="AC1637">
        <v>5</v>
      </c>
      <c r="AD1637">
        <v>10000</v>
      </c>
      <c r="AE1637">
        <v>0</v>
      </c>
      <c r="AF1637">
        <v>0</v>
      </c>
      <c r="AG1637">
        <v>645.51475023452281</v>
      </c>
      <c r="AH1637" t="s">
        <v>58</v>
      </c>
    </row>
    <row r="1638" spans="1:34" x14ac:dyDescent="0.3">
      <c r="A1638" t="s">
        <v>798</v>
      </c>
      <c r="B1638">
        <v>52200750</v>
      </c>
      <c r="C1638">
        <v>26151957</v>
      </c>
      <c r="D1638" t="s">
        <v>141</v>
      </c>
      <c r="E1638" t="s">
        <v>438</v>
      </c>
      <c r="F1638" t="s">
        <v>431</v>
      </c>
      <c r="G1638" t="s">
        <v>82</v>
      </c>
      <c r="H1638" t="s">
        <v>83</v>
      </c>
      <c r="J1638" t="s">
        <v>52</v>
      </c>
      <c r="K1638" s="15">
        <v>1000</v>
      </c>
      <c r="L1638" s="15">
        <v>0</v>
      </c>
      <c r="M1638" s="13">
        <v>45266</v>
      </c>
      <c r="O1638">
        <v>0</v>
      </c>
      <c r="P1638">
        <v>0</v>
      </c>
      <c r="Q1638">
        <v>0</v>
      </c>
      <c r="R1638">
        <v>833.5132358770262</v>
      </c>
      <c r="S1638">
        <v>21086.371700538595</v>
      </c>
      <c r="T1638">
        <v>0</v>
      </c>
      <c r="U1638">
        <v>0</v>
      </c>
      <c r="V1638">
        <v>47756.1392450563</v>
      </c>
      <c r="W1638">
        <v>0</v>
      </c>
      <c r="X1638">
        <v>0</v>
      </c>
      <c r="Y1638">
        <v>69676.024181471919</v>
      </c>
      <c r="Z1638">
        <v>4818.9757661916437</v>
      </c>
      <c r="AA1638">
        <v>74494.999947663557</v>
      </c>
      <c r="AB1638" t="s">
        <v>242</v>
      </c>
      <c r="AC1638">
        <v>12</v>
      </c>
      <c r="AD1638">
        <v>13000</v>
      </c>
      <c r="AE1638">
        <v>0</v>
      </c>
      <c r="AF1638">
        <v>0</v>
      </c>
      <c r="AG1638">
        <v>840.22983786111411</v>
      </c>
      <c r="AH1638" t="s">
        <v>58</v>
      </c>
    </row>
    <row r="1639" spans="1:34" x14ac:dyDescent="0.3">
      <c r="A1639" t="s">
        <v>798</v>
      </c>
      <c r="B1639">
        <v>4142300513</v>
      </c>
      <c r="C1639">
        <v>10222706</v>
      </c>
      <c r="D1639" t="s">
        <v>200</v>
      </c>
      <c r="E1639" t="s">
        <v>445</v>
      </c>
      <c r="F1639" t="s">
        <v>430</v>
      </c>
      <c r="G1639" t="s">
        <v>230</v>
      </c>
      <c r="H1639" t="s">
        <v>234</v>
      </c>
      <c r="J1639" t="s">
        <v>52</v>
      </c>
      <c r="K1639" s="15">
        <v>5000</v>
      </c>
      <c r="L1639" s="15">
        <v>0</v>
      </c>
      <c r="M1639" s="13">
        <v>45266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384173.24299065419</v>
      </c>
      <c r="Y1639">
        <v>384173.24299065419</v>
      </c>
      <c r="Z1639">
        <v>26892.127009345797</v>
      </c>
      <c r="AA1639">
        <v>411065.37</v>
      </c>
      <c r="AB1639" t="s">
        <v>242</v>
      </c>
      <c r="AC1639">
        <v>3</v>
      </c>
      <c r="AD1639">
        <v>45000</v>
      </c>
      <c r="AE1639">
        <v>0</v>
      </c>
      <c r="AF1639">
        <v>0</v>
      </c>
      <c r="AG1639">
        <v>2943.9252336448608</v>
      </c>
      <c r="AH1639" t="s">
        <v>58</v>
      </c>
    </row>
    <row r="1640" spans="1:34" x14ac:dyDescent="0.3">
      <c r="A1640" t="s">
        <v>798</v>
      </c>
      <c r="B1640">
        <v>42200001</v>
      </c>
      <c r="C1640" t="s">
        <v>109</v>
      </c>
      <c r="D1640" t="s">
        <v>518</v>
      </c>
      <c r="E1640" t="s">
        <v>440</v>
      </c>
      <c r="F1640" t="s">
        <v>430</v>
      </c>
      <c r="G1640" t="s">
        <v>82</v>
      </c>
      <c r="H1640" t="s">
        <v>83</v>
      </c>
      <c r="J1640" t="s">
        <v>416</v>
      </c>
      <c r="K1640" s="15">
        <v>0.28063788688872293</v>
      </c>
      <c r="L1640" s="15">
        <v>0</v>
      </c>
      <c r="M1640" s="13">
        <v>45266</v>
      </c>
      <c r="O1640">
        <v>0</v>
      </c>
      <c r="P1640">
        <v>0</v>
      </c>
      <c r="Q1640">
        <v>3403.0287995264694</v>
      </c>
      <c r="R1640">
        <v>2698.2553500690892</v>
      </c>
      <c r="S1640">
        <v>2297.5274913393214</v>
      </c>
      <c r="T1640">
        <v>0</v>
      </c>
      <c r="U1640">
        <v>0</v>
      </c>
      <c r="V1640">
        <v>26673.234985674175</v>
      </c>
      <c r="W1640">
        <v>0</v>
      </c>
      <c r="X1640">
        <v>0</v>
      </c>
      <c r="Y1640">
        <v>35072.046626609052</v>
      </c>
      <c r="Z1640">
        <v>2027.953373390945</v>
      </c>
      <c r="AA1640">
        <v>37100</v>
      </c>
      <c r="AB1640" t="s">
        <v>242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 t="s">
        <v>72</v>
      </c>
    </row>
    <row r="1641" spans="1:34" x14ac:dyDescent="0.3">
      <c r="A1641" t="s">
        <v>798</v>
      </c>
      <c r="B1641">
        <v>42200001</v>
      </c>
      <c r="C1641" t="s">
        <v>109</v>
      </c>
      <c r="D1641" t="s">
        <v>518</v>
      </c>
      <c r="E1641" t="s">
        <v>440</v>
      </c>
      <c r="F1641" t="s">
        <v>430</v>
      </c>
      <c r="G1641" t="s">
        <v>417</v>
      </c>
      <c r="H1641" t="s">
        <v>83</v>
      </c>
      <c r="J1641" t="s">
        <v>52</v>
      </c>
      <c r="K1641" s="15">
        <v>37100</v>
      </c>
      <c r="L1641" s="15">
        <v>0</v>
      </c>
      <c r="M1641" s="13">
        <v>45266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 t="s">
        <v>242</v>
      </c>
      <c r="AC1641">
        <v>1</v>
      </c>
      <c r="AD1641">
        <v>37100</v>
      </c>
      <c r="AE1641">
        <v>0</v>
      </c>
      <c r="AF1641">
        <v>0</v>
      </c>
      <c r="AG1641">
        <v>2027.9533733909448</v>
      </c>
      <c r="AH1641" t="s">
        <v>58</v>
      </c>
    </row>
    <row r="1642" spans="1:34" x14ac:dyDescent="0.3">
      <c r="A1642" t="s">
        <v>798</v>
      </c>
      <c r="B1642">
        <v>4132300866</v>
      </c>
      <c r="C1642" t="s">
        <v>352</v>
      </c>
      <c r="D1642" t="s">
        <v>391</v>
      </c>
      <c r="E1642" t="s">
        <v>441</v>
      </c>
      <c r="F1642" t="s">
        <v>430</v>
      </c>
      <c r="G1642" t="s">
        <v>233</v>
      </c>
      <c r="H1642" t="s">
        <v>231</v>
      </c>
      <c r="J1642" t="s">
        <v>416</v>
      </c>
      <c r="K1642" s="15">
        <v>0.38594527193940609</v>
      </c>
      <c r="L1642" s="15">
        <v>0</v>
      </c>
      <c r="M1642" s="13">
        <v>45266</v>
      </c>
      <c r="O1642">
        <v>0</v>
      </c>
      <c r="P1642">
        <v>2517.6243850484352</v>
      </c>
      <c r="Q1642">
        <v>0</v>
      </c>
      <c r="R1642">
        <v>0</v>
      </c>
      <c r="S1642">
        <v>6306.1317644672099</v>
      </c>
      <c r="T1642">
        <v>23529.199860265748</v>
      </c>
      <c r="U1642">
        <v>0</v>
      </c>
      <c r="V1642">
        <v>0</v>
      </c>
      <c r="W1642">
        <v>0</v>
      </c>
      <c r="X1642">
        <v>0</v>
      </c>
      <c r="Y1642">
        <v>32352.956009781392</v>
      </c>
      <c r="Z1642">
        <v>1647.0439902186024</v>
      </c>
      <c r="AA1642">
        <v>33999.999999999993</v>
      </c>
      <c r="AB1642" t="s">
        <v>242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 t="s">
        <v>72</v>
      </c>
    </row>
    <row r="1643" spans="1:34" x14ac:dyDescent="0.3">
      <c r="A1643" t="s">
        <v>798</v>
      </c>
      <c r="B1643">
        <v>52200012</v>
      </c>
      <c r="C1643" t="s">
        <v>638</v>
      </c>
      <c r="D1643" t="s">
        <v>637</v>
      </c>
      <c r="E1643" t="s">
        <v>435</v>
      </c>
      <c r="F1643" t="s">
        <v>431</v>
      </c>
      <c r="G1643" t="s">
        <v>230</v>
      </c>
      <c r="H1643" t="s">
        <v>231</v>
      </c>
      <c r="J1643" t="s">
        <v>52</v>
      </c>
      <c r="K1643" s="15">
        <v>2500</v>
      </c>
      <c r="M1643" s="13">
        <v>45266</v>
      </c>
      <c r="O1643">
        <v>4208.7381986294577</v>
      </c>
      <c r="P1643">
        <v>0</v>
      </c>
      <c r="Q1643">
        <v>0</v>
      </c>
      <c r="R1643">
        <v>0</v>
      </c>
      <c r="S1643">
        <v>0</v>
      </c>
      <c r="T1643">
        <v>16477.814767636013</v>
      </c>
      <c r="U1643">
        <v>0</v>
      </c>
      <c r="V1643">
        <v>0</v>
      </c>
      <c r="W1643">
        <v>42990.654205607476</v>
      </c>
      <c r="X1643">
        <v>0</v>
      </c>
      <c r="Y1643">
        <v>63677.207171872942</v>
      </c>
      <c r="Z1643">
        <v>4162.7928281270451</v>
      </c>
      <c r="AA1643">
        <v>67839.999999999985</v>
      </c>
      <c r="AB1643" t="s">
        <v>242</v>
      </c>
      <c r="AC1643">
        <v>10</v>
      </c>
      <c r="AD1643">
        <v>23800</v>
      </c>
      <c r="AE1643">
        <v>0</v>
      </c>
      <c r="AF1643">
        <v>0</v>
      </c>
      <c r="AG1643">
        <v>1452.9081064523943</v>
      </c>
      <c r="AH1643" t="s">
        <v>58</v>
      </c>
    </row>
    <row r="1644" spans="1:34" x14ac:dyDescent="0.3">
      <c r="A1644" t="s">
        <v>798</v>
      </c>
      <c r="B1644">
        <v>62200095</v>
      </c>
      <c r="C1644" t="s">
        <v>640</v>
      </c>
      <c r="D1644" t="s">
        <v>639</v>
      </c>
      <c r="E1644" t="s">
        <v>435</v>
      </c>
      <c r="F1644" t="s">
        <v>432</v>
      </c>
      <c r="G1644" t="s">
        <v>235</v>
      </c>
      <c r="H1644" t="s">
        <v>235</v>
      </c>
      <c r="J1644" t="s">
        <v>52</v>
      </c>
      <c r="K1644" s="15">
        <v>2000</v>
      </c>
      <c r="M1644" s="13">
        <v>45266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38352.790000000008</v>
      </c>
      <c r="W1644">
        <v>0</v>
      </c>
      <c r="X1644">
        <v>0</v>
      </c>
      <c r="Y1644">
        <v>38352.790000000008</v>
      </c>
      <c r="Z1644">
        <v>0</v>
      </c>
      <c r="AA1644">
        <v>38352.790000000008</v>
      </c>
      <c r="AB1644" t="s">
        <v>242</v>
      </c>
      <c r="AC1644">
        <v>9</v>
      </c>
      <c r="AD1644">
        <v>18000</v>
      </c>
      <c r="AE1644">
        <v>0</v>
      </c>
      <c r="AF1644">
        <v>0</v>
      </c>
      <c r="AG1644">
        <v>0</v>
      </c>
      <c r="AH1644" t="s">
        <v>58</v>
      </c>
    </row>
    <row r="1645" spans="1:34" x14ac:dyDescent="0.3">
      <c r="A1645" t="s">
        <v>798</v>
      </c>
      <c r="B1645">
        <v>12200176</v>
      </c>
      <c r="C1645">
        <v>28068851</v>
      </c>
      <c r="D1645" t="s">
        <v>119</v>
      </c>
      <c r="E1645" t="s">
        <v>438</v>
      </c>
      <c r="F1645" t="s">
        <v>427</v>
      </c>
      <c r="G1645" t="s">
        <v>82</v>
      </c>
      <c r="H1645" t="s">
        <v>82</v>
      </c>
      <c r="J1645" t="s">
        <v>52</v>
      </c>
      <c r="K1645" s="15">
        <v>3000</v>
      </c>
      <c r="L1645" s="15">
        <v>0</v>
      </c>
      <c r="M1645" s="13">
        <v>45268</v>
      </c>
      <c r="O1645">
        <v>0</v>
      </c>
      <c r="P1645">
        <v>0</v>
      </c>
      <c r="Q1645">
        <v>0</v>
      </c>
      <c r="R1645">
        <v>0</v>
      </c>
      <c r="S1645">
        <v>583.2107127017407</v>
      </c>
      <c r="T1645">
        <v>0</v>
      </c>
      <c r="U1645">
        <v>0</v>
      </c>
      <c r="V1645">
        <v>144142.15908220914</v>
      </c>
      <c r="W1645">
        <v>0</v>
      </c>
      <c r="X1645">
        <v>0</v>
      </c>
      <c r="Y1645">
        <v>144725.36979491089</v>
      </c>
      <c r="Z1645">
        <v>0</v>
      </c>
      <c r="AA1645">
        <v>144725.36979491089</v>
      </c>
      <c r="AB1645" t="s">
        <v>242</v>
      </c>
      <c r="AC1645">
        <v>5</v>
      </c>
      <c r="AD1645">
        <v>21000</v>
      </c>
      <c r="AE1645">
        <v>0</v>
      </c>
      <c r="AF1645">
        <v>0</v>
      </c>
      <c r="AG1645">
        <v>0</v>
      </c>
      <c r="AH1645" t="s">
        <v>58</v>
      </c>
    </row>
    <row r="1646" spans="1:34" x14ac:dyDescent="0.3">
      <c r="A1646" t="s">
        <v>798</v>
      </c>
      <c r="B1646">
        <v>52201584</v>
      </c>
      <c r="C1646">
        <v>26111646</v>
      </c>
      <c r="D1646" t="s">
        <v>882</v>
      </c>
      <c r="E1646" t="s">
        <v>438</v>
      </c>
      <c r="F1646" t="s">
        <v>431</v>
      </c>
      <c r="G1646" t="s">
        <v>82</v>
      </c>
      <c r="H1646" t="s">
        <v>83</v>
      </c>
      <c r="J1646" t="s">
        <v>52</v>
      </c>
      <c r="K1646" s="15">
        <v>2000</v>
      </c>
      <c r="L1646" s="15">
        <v>0</v>
      </c>
      <c r="M1646" s="13">
        <v>45268</v>
      </c>
      <c r="O1646">
        <v>0</v>
      </c>
      <c r="P1646">
        <v>0</v>
      </c>
      <c r="Q1646">
        <v>0</v>
      </c>
      <c r="R1646">
        <v>850.84125199423897</v>
      </c>
      <c r="S1646">
        <v>15852.232599708223</v>
      </c>
      <c r="T1646">
        <v>0</v>
      </c>
      <c r="U1646">
        <v>0</v>
      </c>
      <c r="V1646">
        <v>47007.728681946217</v>
      </c>
      <c r="W1646">
        <v>0</v>
      </c>
      <c r="X1646">
        <v>0</v>
      </c>
      <c r="Y1646">
        <v>63710.802533648675</v>
      </c>
      <c r="Z1646">
        <v>4400.1972897158112</v>
      </c>
      <c r="AA1646">
        <v>68110.999823364487</v>
      </c>
      <c r="AB1646" t="s">
        <v>242</v>
      </c>
      <c r="AC1646">
        <v>2</v>
      </c>
      <c r="AD1646">
        <v>3000</v>
      </c>
      <c r="AE1646">
        <v>0</v>
      </c>
      <c r="AF1646">
        <v>0</v>
      </c>
      <c r="AG1646">
        <v>193.63447442952963</v>
      </c>
      <c r="AH1646" t="s">
        <v>58</v>
      </c>
    </row>
    <row r="1647" spans="1:34" x14ac:dyDescent="0.3">
      <c r="A1647" t="s">
        <v>798</v>
      </c>
      <c r="B1647">
        <v>4132301665</v>
      </c>
      <c r="C1647" t="s">
        <v>99</v>
      </c>
      <c r="D1647" t="s">
        <v>182</v>
      </c>
      <c r="E1647" t="s">
        <v>442</v>
      </c>
      <c r="F1647" t="s">
        <v>430</v>
      </c>
      <c r="G1647" t="s">
        <v>230</v>
      </c>
      <c r="H1647" t="s">
        <v>231</v>
      </c>
      <c r="J1647" t="s">
        <v>52</v>
      </c>
      <c r="K1647" s="15">
        <v>1000</v>
      </c>
      <c r="L1647" s="15">
        <v>0</v>
      </c>
      <c r="M1647" s="13">
        <v>45268</v>
      </c>
      <c r="O1647">
        <v>0</v>
      </c>
      <c r="P1647">
        <v>27507.907985695947</v>
      </c>
      <c r="Q1647">
        <v>0</v>
      </c>
      <c r="R1647">
        <v>0</v>
      </c>
      <c r="S1647">
        <v>492316.5</v>
      </c>
      <c r="T1647">
        <v>12014.104686265469</v>
      </c>
      <c r="U1647">
        <v>67289.719626168226</v>
      </c>
      <c r="V1647">
        <v>0</v>
      </c>
      <c r="W1647">
        <v>794392.52336448594</v>
      </c>
      <c r="X1647">
        <v>0</v>
      </c>
      <c r="Y1647">
        <v>1393520.7556626156</v>
      </c>
      <c r="Z1647">
        <v>61158.744337384385</v>
      </c>
      <c r="AA1647">
        <v>1454679.5</v>
      </c>
      <c r="AB1647" t="s">
        <v>242</v>
      </c>
      <c r="AC1647">
        <v>2</v>
      </c>
      <c r="AD1647">
        <v>2000</v>
      </c>
      <c r="AE1647">
        <v>0</v>
      </c>
      <c r="AF1647">
        <v>0</v>
      </c>
      <c r="AG1647">
        <v>82.031363550202286</v>
      </c>
      <c r="AH1647" t="s">
        <v>58</v>
      </c>
    </row>
    <row r="1648" spans="1:34" x14ac:dyDescent="0.3">
      <c r="A1648" t="s">
        <v>798</v>
      </c>
      <c r="B1648">
        <v>4132301700</v>
      </c>
      <c r="C1648" t="s">
        <v>100</v>
      </c>
      <c r="D1648" t="s">
        <v>183</v>
      </c>
      <c r="E1648" t="s">
        <v>442</v>
      </c>
      <c r="F1648" t="s">
        <v>430</v>
      </c>
      <c r="G1648" t="s">
        <v>230</v>
      </c>
      <c r="H1648" t="s">
        <v>231</v>
      </c>
      <c r="J1648" t="s">
        <v>52</v>
      </c>
      <c r="K1648" s="15">
        <v>500</v>
      </c>
      <c r="L1648" s="15">
        <v>0</v>
      </c>
      <c r="M1648" s="13">
        <v>45268</v>
      </c>
      <c r="O1648">
        <v>0</v>
      </c>
      <c r="P1648">
        <v>17312.228180754606</v>
      </c>
      <c r="Q1648">
        <v>0</v>
      </c>
      <c r="R1648">
        <v>0</v>
      </c>
      <c r="S1648">
        <v>0</v>
      </c>
      <c r="T1648">
        <v>0</v>
      </c>
      <c r="U1648">
        <v>121526.88955069664</v>
      </c>
      <c r="V1648">
        <v>0</v>
      </c>
      <c r="W1648">
        <v>373831.77570093458</v>
      </c>
      <c r="X1648">
        <v>0</v>
      </c>
      <c r="Y1648">
        <v>512670.89343238581</v>
      </c>
      <c r="Z1648">
        <v>34675.106567614188</v>
      </c>
      <c r="AA1648">
        <v>547346</v>
      </c>
      <c r="AB1648" t="s">
        <v>242</v>
      </c>
      <c r="AC1648">
        <v>2</v>
      </c>
      <c r="AD1648">
        <v>1000</v>
      </c>
      <c r="AE1648">
        <v>0</v>
      </c>
      <c r="AF1648">
        <v>0</v>
      </c>
      <c r="AG1648">
        <v>63.211189395161171</v>
      </c>
      <c r="AH1648" t="s">
        <v>58</v>
      </c>
    </row>
    <row r="1649" spans="1:34" x14ac:dyDescent="0.3">
      <c r="A1649" t="s">
        <v>798</v>
      </c>
      <c r="B1649">
        <v>4302300048</v>
      </c>
      <c r="C1649">
        <v>901020006420</v>
      </c>
      <c r="D1649" t="s">
        <v>228</v>
      </c>
      <c r="E1649" t="s">
        <v>447</v>
      </c>
      <c r="F1649" t="s">
        <v>433</v>
      </c>
      <c r="G1649" t="s">
        <v>82</v>
      </c>
      <c r="H1649" t="s">
        <v>83</v>
      </c>
      <c r="J1649" t="s">
        <v>52</v>
      </c>
      <c r="K1649" s="15">
        <v>10701</v>
      </c>
      <c r="L1649" s="15">
        <v>0</v>
      </c>
      <c r="M1649" s="13">
        <v>45268</v>
      </c>
      <c r="O1649">
        <v>0</v>
      </c>
      <c r="P1649">
        <v>0</v>
      </c>
      <c r="Q1649">
        <v>21470.5087560672</v>
      </c>
      <c r="R1649">
        <v>2772.12</v>
      </c>
      <c r="S1649">
        <v>0</v>
      </c>
      <c r="T1649">
        <v>0</v>
      </c>
      <c r="U1649">
        <v>0</v>
      </c>
      <c r="V1649">
        <v>329693.854340124</v>
      </c>
      <c r="W1649">
        <v>0</v>
      </c>
      <c r="X1649">
        <v>0</v>
      </c>
      <c r="Y1649">
        <v>353936.48309619119</v>
      </c>
      <c r="Z1649">
        <v>23078.569803808681</v>
      </c>
      <c r="AA1649">
        <v>377015.05289999989</v>
      </c>
      <c r="AB1649" t="s">
        <v>242</v>
      </c>
      <c r="AC1649">
        <v>8</v>
      </c>
      <c r="AD1649">
        <v>184206</v>
      </c>
      <c r="AE1649">
        <v>0</v>
      </c>
      <c r="AF1649">
        <v>0</v>
      </c>
      <c r="AG1649">
        <v>11212.153096191309</v>
      </c>
      <c r="AH1649" t="s">
        <v>58</v>
      </c>
    </row>
    <row r="1650" spans="1:34" x14ac:dyDescent="0.3">
      <c r="A1650" t="s">
        <v>798</v>
      </c>
      <c r="B1650">
        <v>4132300866</v>
      </c>
      <c r="C1650" t="s">
        <v>352</v>
      </c>
      <c r="D1650" t="s">
        <v>391</v>
      </c>
      <c r="E1650" t="s">
        <v>441</v>
      </c>
      <c r="F1650" t="s">
        <v>430</v>
      </c>
      <c r="G1650" t="s">
        <v>419</v>
      </c>
      <c r="H1650" t="s">
        <v>231</v>
      </c>
      <c r="J1650" t="s">
        <v>52</v>
      </c>
      <c r="K1650" s="15">
        <v>34000</v>
      </c>
      <c r="L1650" s="15">
        <v>0</v>
      </c>
      <c r="M1650" s="13">
        <v>45268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 t="s">
        <v>242</v>
      </c>
      <c r="AC1650">
        <v>1</v>
      </c>
      <c r="AD1650">
        <v>34000</v>
      </c>
      <c r="AE1650">
        <v>0</v>
      </c>
      <c r="AF1650">
        <v>0</v>
      </c>
      <c r="AG1650">
        <v>1647.0439902186044</v>
      </c>
      <c r="AH1650" t="s">
        <v>58</v>
      </c>
    </row>
    <row r="1651" spans="1:34" x14ac:dyDescent="0.3">
      <c r="A1651" t="s">
        <v>798</v>
      </c>
      <c r="B1651">
        <v>42200052</v>
      </c>
      <c r="C1651" t="s">
        <v>90</v>
      </c>
      <c r="D1651" t="s">
        <v>121</v>
      </c>
      <c r="E1651" t="s">
        <v>437</v>
      </c>
      <c r="F1651" t="s">
        <v>430</v>
      </c>
      <c r="G1651" t="s">
        <v>230</v>
      </c>
      <c r="H1651" t="s">
        <v>231</v>
      </c>
      <c r="J1651" t="s">
        <v>52</v>
      </c>
      <c r="K1651" s="15">
        <v>3000</v>
      </c>
      <c r="L1651" s="15">
        <v>0</v>
      </c>
      <c r="M1651" s="13">
        <v>45269</v>
      </c>
      <c r="O1651">
        <v>0</v>
      </c>
      <c r="P1651">
        <v>2162.4702778212213</v>
      </c>
      <c r="Q1651">
        <v>0</v>
      </c>
      <c r="R1651">
        <v>0</v>
      </c>
      <c r="S1651">
        <v>5574.6712328767117</v>
      </c>
      <c r="T1651">
        <v>9661.2427310082094</v>
      </c>
      <c r="U1651">
        <v>14018.691588785046</v>
      </c>
      <c r="V1651">
        <v>0</v>
      </c>
      <c r="W1651">
        <v>135514.01869158878</v>
      </c>
      <c r="X1651">
        <v>0</v>
      </c>
      <c r="Y1651">
        <v>166931.09452207998</v>
      </c>
      <c r="Z1651">
        <v>11143.576710796742</v>
      </c>
      <c r="AA1651">
        <v>178074.67123287672</v>
      </c>
      <c r="AB1651" t="s">
        <v>242</v>
      </c>
      <c r="AC1651">
        <v>6</v>
      </c>
      <c r="AD1651">
        <v>18000</v>
      </c>
      <c r="AE1651">
        <v>0</v>
      </c>
      <c r="AF1651">
        <v>0</v>
      </c>
      <c r="AG1651">
        <v>1122.7784293901739</v>
      </c>
      <c r="AH1651" t="s">
        <v>58</v>
      </c>
    </row>
    <row r="1652" spans="1:34" x14ac:dyDescent="0.3">
      <c r="A1652" t="s">
        <v>798</v>
      </c>
      <c r="B1652">
        <v>52201351</v>
      </c>
      <c r="C1652">
        <v>22940816</v>
      </c>
      <c r="D1652" t="s">
        <v>155</v>
      </c>
      <c r="E1652" t="s">
        <v>438</v>
      </c>
      <c r="F1652" t="s">
        <v>431</v>
      </c>
      <c r="G1652" t="s">
        <v>82</v>
      </c>
      <c r="H1652" t="s">
        <v>83</v>
      </c>
      <c r="J1652" t="s">
        <v>52</v>
      </c>
      <c r="K1652" s="15">
        <v>500</v>
      </c>
      <c r="L1652" s="15">
        <v>0</v>
      </c>
      <c r="M1652" s="13">
        <v>45269</v>
      </c>
      <c r="O1652">
        <v>0</v>
      </c>
      <c r="P1652">
        <v>0</v>
      </c>
      <c r="Q1652">
        <v>0</v>
      </c>
      <c r="R1652">
        <v>816.05440322239417</v>
      </c>
      <c r="S1652">
        <v>22572.077050000069</v>
      </c>
      <c r="T1652">
        <v>0</v>
      </c>
      <c r="U1652">
        <v>0</v>
      </c>
      <c r="V1652">
        <v>73829.741339665459</v>
      </c>
      <c r="W1652">
        <v>0</v>
      </c>
      <c r="X1652">
        <v>0</v>
      </c>
      <c r="Y1652">
        <v>97217.872792887923</v>
      </c>
      <c r="Z1652">
        <v>6748.1272872765876</v>
      </c>
      <c r="AA1652">
        <v>103966.00008016451</v>
      </c>
      <c r="AB1652" t="s">
        <v>242</v>
      </c>
      <c r="AC1652">
        <v>12</v>
      </c>
      <c r="AD1652">
        <v>8900</v>
      </c>
      <c r="AE1652">
        <v>0</v>
      </c>
      <c r="AF1652">
        <v>0</v>
      </c>
      <c r="AG1652">
        <v>577.34000768744659</v>
      </c>
      <c r="AH1652" t="s">
        <v>58</v>
      </c>
    </row>
    <row r="1653" spans="1:34" x14ac:dyDescent="0.3">
      <c r="A1653" t="s">
        <v>798</v>
      </c>
      <c r="B1653">
        <v>4142300879</v>
      </c>
      <c r="C1653">
        <v>10436897</v>
      </c>
      <c r="D1653" t="s">
        <v>925</v>
      </c>
      <c r="E1653" t="s">
        <v>445</v>
      </c>
      <c r="F1653" t="s">
        <v>430</v>
      </c>
      <c r="G1653" t="s">
        <v>230</v>
      </c>
      <c r="H1653" t="s">
        <v>234</v>
      </c>
      <c r="J1653" t="s">
        <v>52</v>
      </c>
      <c r="K1653" s="15">
        <v>10000</v>
      </c>
      <c r="L1653" s="15">
        <v>0</v>
      </c>
      <c r="M1653" s="13">
        <v>45271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309320.56074766355</v>
      </c>
      <c r="Y1653">
        <v>309320.56074766355</v>
      </c>
      <c r="Z1653">
        <v>21652.439252336451</v>
      </c>
      <c r="AA1653">
        <v>330973</v>
      </c>
      <c r="AB1653" t="s">
        <v>242</v>
      </c>
      <c r="AC1653">
        <v>1</v>
      </c>
      <c r="AD1653">
        <v>10000</v>
      </c>
      <c r="AE1653">
        <v>0</v>
      </c>
      <c r="AF1653">
        <v>0</v>
      </c>
      <c r="AG1653">
        <v>654.20560747663512</v>
      </c>
      <c r="AH1653" t="s">
        <v>72</v>
      </c>
    </row>
    <row r="1654" spans="1:34" x14ac:dyDescent="0.3">
      <c r="A1654" t="s">
        <v>798</v>
      </c>
      <c r="B1654">
        <v>4302300010</v>
      </c>
      <c r="C1654" t="s">
        <v>107</v>
      </c>
      <c r="D1654" t="s">
        <v>223</v>
      </c>
      <c r="E1654" t="s">
        <v>447</v>
      </c>
      <c r="F1654" t="s">
        <v>433</v>
      </c>
      <c r="G1654" t="s">
        <v>417</v>
      </c>
      <c r="H1654" t="s">
        <v>83</v>
      </c>
      <c r="J1654" t="s">
        <v>52</v>
      </c>
      <c r="K1654" s="15">
        <v>500000</v>
      </c>
      <c r="L1654" s="15">
        <v>0</v>
      </c>
      <c r="M1654" s="13">
        <v>45271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 t="s">
        <v>242</v>
      </c>
      <c r="AC1654">
        <v>4</v>
      </c>
      <c r="AD1654">
        <v>835000</v>
      </c>
      <c r="AE1654">
        <v>0</v>
      </c>
      <c r="AF1654">
        <v>0</v>
      </c>
      <c r="AG1654">
        <v>49902.774592154732</v>
      </c>
      <c r="AH1654" t="s">
        <v>58</v>
      </c>
    </row>
    <row r="1655" spans="1:34" x14ac:dyDescent="0.3">
      <c r="A1655" t="s">
        <v>798</v>
      </c>
      <c r="B1655">
        <v>4142300501</v>
      </c>
      <c r="C1655">
        <v>10216704</v>
      </c>
      <c r="D1655" t="s">
        <v>292</v>
      </c>
      <c r="E1655" t="s">
        <v>445</v>
      </c>
      <c r="F1655" t="s">
        <v>430</v>
      </c>
      <c r="G1655" t="s">
        <v>237</v>
      </c>
      <c r="H1655" t="s">
        <v>234</v>
      </c>
      <c r="J1655" t="s">
        <v>425</v>
      </c>
      <c r="K1655" s="15">
        <v>96000</v>
      </c>
      <c r="L1655" s="15">
        <v>82</v>
      </c>
      <c r="M1655" s="13">
        <v>45272</v>
      </c>
      <c r="O1655">
        <v>82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350451.39738317759</v>
      </c>
      <c r="Y1655">
        <v>350533.39738317759</v>
      </c>
      <c r="Z1655">
        <v>24531.597816822436</v>
      </c>
      <c r="AA1655">
        <v>375064.9952</v>
      </c>
      <c r="AB1655" t="s">
        <v>242</v>
      </c>
      <c r="AC1655">
        <v>0</v>
      </c>
      <c r="AD1655">
        <v>0</v>
      </c>
      <c r="AE1655">
        <v>0</v>
      </c>
      <c r="AF1655">
        <v>102720</v>
      </c>
      <c r="AG1655">
        <v>6720</v>
      </c>
      <c r="AH1655" t="s">
        <v>72</v>
      </c>
    </row>
    <row r="1656" spans="1:34" x14ac:dyDescent="0.3">
      <c r="A1656" t="s">
        <v>798</v>
      </c>
      <c r="B1656">
        <v>4142300962</v>
      </c>
      <c r="C1656">
        <v>10465007</v>
      </c>
      <c r="D1656" t="s">
        <v>293</v>
      </c>
      <c r="E1656" t="s">
        <v>445</v>
      </c>
      <c r="F1656" t="s">
        <v>430</v>
      </c>
      <c r="G1656" t="s">
        <v>237</v>
      </c>
      <c r="H1656" t="s">
        <v>234</v>
      </c>
      <c r="J1656" t="s">
        <v>425</v>
      </c>
      <c r="K1656" s="15">
        <v>10000</v>
      </c>
      <c r="L1656" s="15">
        <v>4065</v>
      </c>
      <c r="M1656" s="13">
        <v>45272</v>
      </c>
      <c r="O1656">
        <v>4065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351561.02803738316</v>
      </c>
      <c r="Y1656">
        <v>355626.02803738316</v>
      </c>
      <c r="Z1656">
        <v>24609.271962616825</v>
      </c>
      <c r="AA1656">
        <v>380235.3</v>
      </c>
      <c r="AB1656" t="s">
        <v>242</v>
      </c>
      <c r="AC1656">
        <v>0</v>
      </c>
      <c r="AD1656">
        <v>0</v>
      </c>
      <c r="AE1656">
        <v>0</v>
      </c>
      <c r="AF1656">
        <v>10700</v>
      </c>
      <c r="AG1656">
        <v>700</v>
      </c>
      <c r="AH1656" t="s">
        <v>72</v>
      </c>
    </row>
    <row r="1657" spans="1:34" x14ac:dyDescent="0.3">
      <c r="A1657" t="s">
        <v>798</v>
      </c>
      <c r="B1657">
        <v>4142301062</v>
      </c>
      <c r="C1657">
        <v>10569878</v>
      </c>
      <c r="D1657" t="s">
        <v>294</v>
      </c>
      <c r="E1657" t="s">
        <v>445</v>
      </c>
      <c r="F1657" t="s">
        <v>430</v>
      </c>
      <c r="G1657" t="s">
        <v>237</v>
      </c>
      <c r="H1657" t="s">
        <v>234</v>
      </c>
      <c r="J1657" t="s">
        <v>425</v>
      </c>
      <c r="K1657" s="15">
        <v>130000</v>
      </c>
      <c r="L1657" s="15">
        <v>105</v>
      </c>
      <c r="M1657" s="13">
        <v>45272</v>
      </c>
      <c r="O1657">
        <v>105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347144.76635514019</v>
      </c>
      <c r="Y1657">
        <v>347249.76635514019</v>
      </c>
      <c r="Z1657">
        <v>24300.133644859816</v>
      </c>
      <c r="AA1657">
        <v>371549.9</v>
      </c>
      <c r="AB1657" t="s">
        <v>242</v>
      </c>
      <c r="AC1657">
        <v>0</v>
      </c>
      <c r="AD1657">
        <v>0</v>
      </c>
      <c r="AE1657">
        <v>0</v>
      </c>
      <c r="AF1657">
        <v>139100</v>
      </c>
      <c r="AG1657">
        <v>9100</v>
      </c>
      <c r="AH1657" t="s">
        <v>72</v>
      </c>
    </row>
    <row r="1658" spans="1:34" x14ac:dyDescent="0.3">
      <c r="A1658" t="s">
        <v>798</v>
      </c>
      <c r="B1658">
        <v>12200158</v>
      </c>
      <c r="C1658">
        <v>27163703</v>
      </c>
      <c r="D1658" t="s">
        <v>115</v>
      </c>
      <c r="E1658" t="s">
        <v>438</v>
      </c>
      <c r="F1658" t="s">
        <v>427</v>
      </c>
      <c r="G1658" t="s">
        <v>82</v>
      </c>
      <c r="H1658" t="s">
        <v>82</v>
      </c>
      <c r="J1658" t="s">
        <v>52</v>
      </c>
      <c r="K1658" s="15">
        <v>500</v>
      </c>
      <c r="L1658" s="15">
        <v>0</v>
      </c>
      <c r="M1658" s="13">
        <v>45272</v>
      </c>
      <c r="O1658">
        <v>0</v>
      </c>
      <c r="P1658">
        <v>0</v>
      </c>
      <c r="Q1658">
        <v>0</v>
      </c>
      <c r="R1658">
        <v>935</v>
      </c>
      <c r="S1658">
        <v>14229.490127684747</v>
      </c>
      <c r="T1658">
        <v>0</v>
      </c>
      <c r="U1658">
        <v>0</v>
      </c>
      <c r="V1658">
        <v>68571.057534246575</v>
      </c>
      <c r="W1658">
        <v>0</v>
      </c>
      <c r="X1658">
        <v>0</v>
      </c>
      <c r="Y1658">
        <v>83735.547661931327</v>
      </c>
      <c r="Z1658">
        <v>0</v>
      </c>
      <c r="AA1658">
        <v>83735.547661931327</v>
      </c>
      <c r="AB1658" t="s">
        <v>242</v>
      </c>
      <c r="AC1658">
        <v>1</v>
      </c>
      <c r="AD1658">
        <v>500</v>
      </c>
      <c r="AE1658">
        <v>0</v>
      </c>
      <c r="AF1658">
        <v>0</v>
      </c>
      <c r="AG1658">
        <v>0</v>
      </c>
      <c r="AH1658" t="s">
        <v>72</v>
      </c>
    </row>
    <row r="1659" spans="1:34" x14ac:dyDescent="0.3">
      <c r="A1659" t="s">
        <v>798</v>
      </c>
      <c r="B1659">
        <v>22200050</v>
      </c>
      <c r="C1659">
        <v>20757954</v>
      </c>
      <c r="D1659" t="s">
        <v>120</v>
      </c>
      <c r="E1659" t="s">
        <v>435</v>
      </c>
      <c r="F1659" t="s">
        <v>428</v>
      </c>
      <c r="G1659" t="s">
        <v>82</v>
      </c>
      <c r="H1659" t="s">
        <v>82</v>
      </c>
      <c r="J1659" t="s">
        <v>52</v>
      </c>
      <c r="K1659" s="15">
        <v>500</v>
      </c>
      <c r="L1659" s="15">
        <v>0</v>
      </c>
      <c r="M1659" s="13">
        <v>45272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13516.287969863013</v>
      </c>
      <c r="W1659">
        <v>0</v>
      </c>
      <c r="X1659">
        <v>0</v>
      </c>
      <c r="Y1659">
        <v>13516.287969863013</v>
      </c>
      <c r="Z1659">
        <v>0</v>
      </c>
      <c r="AA1659">
        <v>13516.287969863013</v>
      </c>
      <c r="AB1659" t="s">
        <v>242</v>
      </c>
      <c r="AC1659">
        <v>11</v>
      </c>
      <c r="AD1659">
        <v>6500</v>
      </c>
      <c r="AE1659">
        <v>0</v>
      </c>
      <c r="AF1659">
        <v>0</v>
      </c>
      <c r="AG1659">
        <v>0</v>
      </c>
      <c r="AH1659" t="s">
        <v>58</v>
      </c>
    </row>
    <row r="1660" spans="1:34" x14ac:dyDescent="0.3">
      <c r="A1660" t="s">
        <v>798</v>
      </c>
      <c r="B1660">
        <v>32200045</v>
      </c>
      <c r="C1660">
        <v>20758058</v>
      </c>
      <c r="D1660" t="s">
        <v>120</v>
      </c>
      <c r="E1660" t="s">
        <v>435</v>
      </c>
      <c r="F1660" t="s">
        <v>429</v>
      </c>
      <c r="G1660" t="s">
        <v>82</v>
      </c>
      <c r="H1660" t="s">
        <v>82</v>
      </c>
      <c r="J1660" t="s">
        <v>52</v>
      </c>
      <c r="K1660" s="15">
        <v>500</v>
      </c>
      <c r="L1660" s="15">
        <v>0</v>
      </c>
      <c r="M1660" s="13">
        <v>45272</v>
      </c>
      <c r="O1660">
        <v>0</v>
      </c>
      <c r="P1660">
        <v>0</v>
      </c>
      <c r="Q1660">
        <v>0</v>
      </c>
      <c r="R1660">
        <v>0</v>
      </c>
      <c r="S1660">
        <v>2924.0488810958905</v>
      </c>
      <c r="T1660">
        <v>0</v>
      </c>
      <c r="U1660">
        <v>0</v>
      </c>
      <c r="V1660">
        <v>18314.54</v>
      </c>
      <c r="W1660">
        <v>0</v>
      </c>
      <c r="X1660">
        <v>0</v>
      </c>
      <c r="Y1660">
        <v>21238.588881095893</v>
      </c>
      <c r="Z1660">
        <v>0</v>
      </c>
      <c r="AA1660">
        <v>21238.588881095893</v>
      </c>
      <c r="AB1660" t="s">
        <v>242</v>
      </c>
      <c r="AC1660">
        <v>9</v>
      </c>
      <c r="AD1660">
        <v>4500</v>
      </c>
      <c r="AE1660">
        <v>0</v>
      </c>
      <c r="AF1660">
        <v>0</v>
      </c>
      <c r="AG1660">
        <v>0</v>
      </c>
      <c r="AH1660" t="s">
        <v>58</v>
      </c>
    </row>
    <row r="1661" spans="1:34" x14ac:dyDescent="0.3">
      <c r="A1661" t="s">
        <v>798</v>
      </c>
      <c r="B1661">
        <v>4132300335</v>
      </c>
      <c r="C1661">
        <v>9040049760</v>
      </c>
      <c r="D1661" s="38" t="s">
        <v>295</v>
      </c>
      <c r="E1661" t="s">
        <v>441</v>
      </c>
      <c r="F1661" t="s">
        <v>430</v>
      </c>
      <c r="G1661" t="s">
        <v>237</v>
      </c>
      <c r="H1661" t="s">
        <v>231</v>
      </c>
      <c r="J1661" s="37" t="s">
        <v>425</v>
      </c>
      <c r="K1661">
        <v>94000</v>
      </c>
      <c r="L1661" s="15">
        <v>2088</v>
      </c>
      <c r="M1661" s="13">
        <v>45273</v>
      </c>
      <c r="O1661">
        <v>2088</v>
      </c>
      <c r="P1661">
        <v>12062</v>
      </c>
      <c r="Q1661">
        <v>0</v>
      </c>
      <c r="R1661">
        <v>0</v>
      </c>
      <c r="S1661">
        <v>14902.54109589041</v>
      </c>
      <c r="T1661">
        <v>125140.18691588785</v>
      </c>
      <c r="U1661">
        <v>0</v>
      </c>
      <c r="V1661">
        <v>0</v>
      </c>
      <c r="W1661">
        <v>267682.24299065419</v>
      </c>
      <c r="X1661">
        <v>0</v>
      </c>
      <c r="Y1661">
        <v>421874.97100243246</v>
      </c>
      <c r="Z1661">
        <v>27497.570093457947</v>
      </c>
      <c r="AA1661">
        <v>449372.5410958904</v>
      </c>
      <c r="AB1661" t="s">
        <v>331</v>
      </c>
      <c r="AC1661">
        <v>0</v>
      </c>
      <c r="AD1661">
        <v>0</v>
      </c>
      <c r="AE1661">
        <v>0</v>
      </c>
      <c r="AF1661">
        <v>100580</v>
      </c>
      <c r="AG1661">
        <v>6580</v>
      </c>
      <c r="AH1661" t="s">
        <v>72</v>
      </c>
    </row>
    <row r="1662" spans="1:34" x14ac:dyDescent="0.3">
      <c r="A1662" t="s">
        <v>798</v>
      </c>
      <c r="B1662">
        <v>4142300570</v>
      </c>
      <c r="C1662">
        <v>10246673</v>
      </c>
      <c r="D1662" t="s">
        <v>296</v>
      </c>
      <c r="E1662" t="s">
        <v>445</v>
      </c>
      <c r="F1662" t="s">
        <v>430</v>
      </c>
      <c r="G1662" t="s">
        <v>237</v>
      </c>
      <c r="H1662" t="s">
        <v>234</v>
      </c>
      <c r="J1662" t="s">
        <v>425</v>
      </c>
      <c r="K1662" s="15">
        <v>85000</v>
      </c>
      <c r="L1662" s="15">
        <v>5126</v>
      </c>
      <c r="M1662" s="13">
        <v>45273</v>
      </c>
      <c r="O1662">
        <v>5126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271539.49558315193</v>
      </c>
      <c r="Y1662">
        <v>276665.49558315193</v>
      </c>
      <c r="Z1662">
        <v>19007.764690820637</v>
      </c>
      <c r="AA1662">
        <v>295673.26027397258</v>
      </c>
      <c r="AB1662" t="s">
        <v>242</v>
      </c>
      <c r="AC1662">
        <v>0</v>
      </c>
      <c r="AD1662">
        <v>0</v>
      </c>
      <c r="AE1662">
        <v>0</v>
      </c>
      <c r="AF1662">
        <v>90950</v>
      </c>
      <c r="AG1662">
        <v>5950</v>
      </c>
      <c r="AH1662" t="s">
        <v>72</v>
      </c>
    </row>
    <row r="1663" spans="1:34" x14ac:dyDescent="0.3">
      <c r="A1663" t="s">
        <v>798</v>
      </c>
      <c r="B1663">
        <v>42200737</v>
      </c>
      <c r="C1663">
        <v>2754011893</v>
      </c>
      <c r="D1663" t="s">
        <v>126</v>
      </c>
      <c r="E1663" t="s">
        <v>439</v>
      </c>
      <c r="F1663" t="s">
        <v>430</v>
      </c>
      <c r="G1663" t="s">
        <v>233</v>
      </c>
      <c r="H1663" t="s">
        <v>234</v>
      </c>
      <c r="J1663" t="s">
        <v>52</v>
      </c>
      <c r="K1663" s="15">
        <v>1000</v>
      </c>
      <c r="L1663" s="15">
        <v>0</v>
      </c>
      <c r="M1663" s="13">
        <v>45273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571972.80373831745</v>
      </c>
      <c r="Y1663">
        <v>571972.80373831745</v>
      </c>
      <c r="Z1663">
        <v>40038.096261682229</v>
      </c>
      <c r="AA1663">
        <v>612010.89999999967</v>
      </c>
      <c r="AB1663" t="s">
        <v>242</v>
      </c>
      <c r="AC1663">
        <v>7</v>
      </c>
      <c r="AD1663">
        <v>7000</v>
      </c>
      <c r="AE1663">
        <v>0</v>
      </c>
      <c r="AF1663">
        <v>0</v>
      </c>
      <c r="AG1663">
        <v>457.9439252336449</v>
      </c>
      <c r="AH1663" t="s">
        <v>58</v>
      </c>
    </row>
    <row r="1664" spans="1:34" x14ac:dyDescent="0.3">
      <c r="A1664" t="s">
        <v>798</v>
      </c>
      <c r="B1664">
        <v>42200889</v>
      </c>
      <c r="C1664">
        <v>2754011907</v>
      </c>
      <c r="D1664" t="s">
        <v>126</v>
      </c>
      <c r="E1664" t="s">
        <v>439</v>
      </c>
      <c r="F1664" t="s">
        <v>430</v>
      </c>
      <c r="G1664" t="s">
        <v>233</v>
      </c>
      <c r="H1664" t="s">
        <v>234</v>
      </c>
      <c r="J1664" t="s">
        <v>52</v>
      </c>
      <c r="K1664" s="15">
        <v>1000</v>
      </c>
      <c r="L1664" s="15">
        <v>0</v>
      </c>
      <c r="M1664" s="13">
        <v>45273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382000.93457943934</v>
      </c>
      <c r="Y1664">
        <v>382000.93457943934</v>
      </c>
      <c r="Z1664">
        <v>26740.065420560757</v>
      </c>
      <c r="AA1664">
        <v>408741.00000000012</v>
      </c>
      <c r="AB1664" t="s">
        <v>242</v>
      </c>
      <c r="AC1664">
        <v>5</v>
      </c>
      <c r="AD1664">
        <v>5000</v>
      </c>
      <c r="AE1664">
        <v>0</v>
      </c>
      <c r="AF1664">
        <v>0</v>
      </c>
      <c r="AG1664">
        <v>327.10280373831779</v>
      </c>
      <c r="AH1664" t="s">
        <v>58</v>
      </c>
    </row>
    <row r="1665" spans="1:34" x14ac:dyDescent="0.3">
      <c r="A1665" t="s">
        <v>798</v>
      </c>
      <c r="B1665">
        <v>52201708</v>
      </c>
      <c r="C1665" t="s">
        <v>678</v>
      </c>
      <c r="D1665" t="s">
        <v>728</v>
      </c>
      <c r="E1665" t="s">
        <v>438</v>
      </c>
      <c r="F1665" t="s">
        <v>431</v>
      </c>
      <c r="G1665" t="s">
        <v>235</v>
      </c>
      <c r="H1665" t="s">
        <v>236</v>
      </c>
      <c r="J1665" t="s">
        <v>672</v>
      </c>
      <c r="L1665" s="15" t="s">
        <v>423</v>
      </c>
      <c r="M1665" s="13">
        <v>45274</v>
      </c>
      <c r="O1665">
        <v>700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214697.19626168226</v>
      </c>
      <c r="W1665">
        <v>0</v>
      </c>
      <c r="X1665">
        <v>0</v>
      </c>
      <c r="Y1665">
        <v>215397.19626168226</v>
      </c>
      <c r="Z1665">
        <v>15028.80373831776</v>
      </c>
      <c r="AA1665">
        <v>230426.00000000003</v>
      </c>
      <c r="AB1665" t="s">
        <v>242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 t="s">
        <v>72</v>
      </c>
    </row>
    <row r="1666" spans="1:34" x14ac:dyDescent="0.3">
      <c r="A1666" t="s">
        <v>798</v>
      </c>
      <c r="B1666">
        <v>4302300015</v>
      </c>
      <c r="C1666">
        <v>901022018950</v>
      </c>
      <c r="D1666" t="s">
        <v>291</v>
      </c>
      <c r="E1666" t="s">
        <v>447</v>
      </c>
      <c r="F1666" t="s">
        <v>433</v>
      </c>
      <c r="G1666" t="s">
        <v>327</v>
      </c>
      <c r="H1666" t="s">
        <v>83</v>
      </c>
      <c r="J1666" t="s">
        <v>450</v>
      </c>
      <c r="K1666" s="15">
        <v>40000</v>
      </c>
      <c r="L1666" s="15">
        <v>0</v>
      </c>
      <c r="M1666" s="13">
        <v>45275</v>
      </c>
      <c r="O1666">
        <v>0</v>
      </c>
      <c r="P1666">
        <v>0</v>
      </c>
      <c r="Q1666">
        <v>144404.52000000002</v>
      </c>
      <c r="R1666">
        <v>606.36</v>
      </c>
      <c r="S1666">
        <v>59029.661163730765</v>
      </c>
      <c r="T1666">
        <v>0</v>
      </c>
      <c r="U1666">
        <v>0</v>
      </c>
      <c r="V1666">
        <v>1542990.1212661758</v>
      </c>
      <c r="W1666">
        <v>0</v>
      </c>
      <c r="X1666">
        <v>0</v>
      </c>
      <c r="Y1666">
        <v>1747030.6624299064</v>
      </c>
      <c r="Z1666">
        <v>112141.38477009347</v>
      </c>
      <c r="AA1666">
        <v>1859172.0471999999</v>
      </c>
      <c r="AB1666" t="s">
        <v>242</v>
      </c>
      <c r="AC1666">
        <v>0</v>
      </c>
      <c r="AD1666">
        <v>0</v>
      </c>
      <c r="AE1666">
        <v>0</v>
      </c>
      <c r="AF1666">
        <v>40000</v>
      </c>
      <c r="AG1666">
        <v>2616.8224299065405</v>
      </c>
      <c r="AH1666" t="s">
        <v>72</v>
      </c>
    </row>
    <row r="1667" spans="1:34" x14ac:dyDescent="0.3">
      <c r="A1667" t="s">
        <v>798</v>
      </c>
      <c r="B1667">
        <v>52200619</v>
      </c>
      <c r="C1667">
        <v>6102060118</v>
      </c>
      <c r="D1667" t="s">
        <v>138</v>
      </c>
      <c r="E1667" t="s">
        <v>437</v>
      </c>
      <c r="F1667" t="s">
        <v>431</v>
      </c>
      <c r="G1667" t="s">
        <v>82</v>
      </c>
      <c r="H1667" t="s">
        <v>83</v>
      </c>
      <c r="J1667" t="s">
        <v>52</v>
      </c>
      <c r="K1667" s="15">
        <v>800</v>
      </c>
      <c r="L1667" s="15">
        <v>0</v>
      </c>
      <c r="M1667" s="13">
        <v>45275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7603.9065420560764</v>
      </c>
      <c r="W1667">
        <v>0</v>
      </c>
      <c r="X1667">
        <v>0</v>
      </c>
      <c r="Y1667">
        <v>7603.9065420560764</v>
      </c>
      <c r="Z1667">
        <v>532.27345794392545</v>
      </c>
      <c r="AA1667">
        <v>8136.1800000000021</v>
      </c>
      <c r="AB1667" t="s">
        <v>242</v>
      </c>
      <c r="AC1667">
        <v>15</v>
      </c>
      <c r="AD1667">
        <v>9800</v>
      </c>
      <c r="AE1667">
        <v>0</v>
      </c>
      <c r="AF1667">
        <v>0</v>
      </c>
      <c r="AG1667">
        <v>641.12149532710282</v>
      </c>
      <c r="AH1667" t="s">
        <v>58</v>
      </c>
    </row>
    <row r="1668" spans="1:34" x14ac:dyDescent="0.3">
      <c r="A1668" t="s">
        <v>798</v>
      </c>
      <c r="B1668">
        <v>52201823</v>
      </c>
      <c r="C1668">
        <v>26207055</v>
      </c>
      <c r="D1668" t="s">
        <v>165</v>
      </c>
      <c r="E1668" t="s">
        <v>438</v>
      </c>
      <c r="F1668" t="s">
        <v>431</v>
      </c>
      <c r="G1668" t="s">
        <v>82</v>
      </c>
      <c r="H1668" t="s">
        <v>83</v>
      </c>
      <c r="J1668" t="s">
        <v>52</v>
      </c>
      <c r="K1668" s="15">
        <v>1000</v>
      </c>
      <c r="L1668" s="15">
        <v>0</v>
      </c>
      <c r="M1668" s="13">
        <v>45275</v>
      </c>
      <c r="O1668">
        <v>0</v>
      </c>
      <c r="P1668">
        <v>0</v>
      </c>
      <c r="Q1668">
        <v>0</v>
      </c>
      <c r="R1668">
        <v>850.23808401456154</v>
      </c>
      <c r="S1668">
        <v>31474.807032652905</v>
      </c>
      <c r="T1668">
        <v>0</v>
      </c>
      <c r="U1668">
        <v>0</v>
      </c>
      <c r="V1668">
        <v>82604.409809083882</v>
      </c>
      <c r="W1668">
        <v>0</v>
      </c>
      <c r="X1668">
        <v>0</v>
      </c>
      <c r="Y1668">
        <v>114929.45492575134</v>
      </c>
      <c r="Z1668">
        <v>7985.5451789215749</v>
      </c>
      <c r="AA1668">
        <v>122915.00010467292</v>
      </c>
      <c r="AB1668" t="s">
        <v>242</v>
      </c>
      <c r="AC1668">
        <v>6</v>
      </c>
      <c r="AD1668">
        <v>5500</v>
      </c>
      <c r="AE1668">
        <v>0</v>
      </c>
      <c r="AF1668">
        <v>0</v>
      </c>
      <c r="AG1668">
        <v>357.14641671123292</v>
      </c>
      <c r="AH1668" t="s">
        <v>58</v>
      </c>
    </row>
    <row r="1669" spans="1:34" x14ac:dyDescent="0.3">
      <c r="A1669" t="s">
        <v>798</v>
      </c>
      <c r="B1669">
        <v>82200022</v>
      </c>
      <c r="C1669">
        <v>901020021502</v>
      </c>
      <c r="D1669" t="s">
        <v>87</v>
      </c>
      <c r="E1669" t="s">
        <v>440</v>
      </c>
      <c r="F1669" t="s">
        <v>433</v>
      </c>
      <c r="G1669" t="s">
        <v>82</v>
      </c>
      <c r="H1669" t="s">
        <v>83</v>
      </c>
      <c r="J1669" t="s">
        <v>52</v>
      </c>
      <c r="K1669" s="15">
        <v>15000</v>
      </c>
      <c r="L1669" s="15">
        <v>0</v>
      </c>
      <c r="M1669" s="13">
        <v>45275</v>
      </c>
      <c r="O1669">
        <v>0</v>
      </c>
      <c r="P1669">
        <v>0</v>
      </c>
      <c r="Q1669">
        <v>129655.85024498534</v>
      </c>
      <c r="R1669">
        <v>2328.7600000000002</v>
      </c>
      <c r="S1669">
        <v>138252.17435048099</v>
      </c>
      <c r="T1669">
        <v>0</v>
      </c>
      <c r="U1669">
        <v>0</v>
      </c>
      <c r="V1669">
        <v>1848413.79</v>
      </c>
      <c r="W1669">
        <v>0</v>
      </c>
      <c r="X1669">
        <v>0</v>
      </c>
      <c r="Y1669">
        <v>2118650.5745954663</v>
      </c>
      <c r="Z1669">
        <v>139066.6175045337</v>
      </c>
      <c r="AA1669">
        <v>2257717.1921000001</v>
      </c>
      <c r="AB1669" t="s">
        <v>242</v>
      </c>
      <c r="AC1669">
        <v>3</v>
      </c>
      <c r="AD1669">
        <v>46000</v>
      </c>
      <c r="AE1669">
        <v>0</v>
      </c>
      <c r="AF1669">
        <v>0</v>
      </c>
      <c r="AG1669">
        <v>2821.7045954663317</v>
      </c>
      <c r="AH1669" t="s">
        <v>58</v>
      </c>
    </row>
    <row r="1670" spans="1:34" x14ac:dyDescent="0.3">
      <c r="A1670" t="s">
        <v>798</v>
      </c>
      <c r="B1670">
        <v>4142300600</v>
      </c>
      <c r="C1670">
        <v>10261717</v>
      </c>
      <c r="D1670" t="s">
        <v>202</v>
      </c>
      <c r="E1670" t="s">
        <v>445</v>
      </c>
      <c r="F1670" t="s">
        <v>430</v>
      </c>
      <c r="G1670" t="s">
        <v>230</v>
      </c>
      <c r="H1670" t="s">
        <v>234</v>
      </c>
      <c r="J1670" t="s">
        <v>52</v>
      </c>
      <c r="K1670" s="15">
        <v>10000</v>
      </c>
      <c r="L1670" s="15">
        <v>0</v>
      </c>
      <c r="M1670" s="13">
        <v>45275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198723.08411214958</v>
      </c>
      <c r="Y1670">
        <v>198723.08411214958</v>
      </c>
      <c r="Z1670">
        <v>13910.615887850472</v>
      </c>
      <c r="AA1670">
        <v>212633.70000000004</v>
      </c>
      <c r="AB1670" t="s">
        <v>242</v>
      </c>
      <c r="AC1670">
        <v>6</v>
      </c>
      <c r="AD1670">
        <v>150000</v>
      </c>
      <c r="AE1670">
        <v>0</v>
      </c>
      <c r="AF1670">
        <v>0</v>
      </c>
      <c r="AG1670">
        <v>9813.0841121495305</v>
      </c>
      <c r="AH1670" t="s">
        <v>58</v>
      </c>
    </row>
    <row r="1671" spans="1:34" x14ac:dyDescent="0.3">
      <c r="A1671" t="s">
        <v>798</v>
      </c>
      <c r="B1671">
        <v>4302300006</v>
      </c>
      <c r="C1671">
        <v>901021066959</v>
      </c>
      <c r="D1671" t="s">
        <v>222</v>
      </c>
      <c r="E1671" t="s">
        <v>447</v>
      </c>
      <c r="F1671" t="s">
        <v>433</v>
      </c>
      <c r="G1671" t="s">
        <v>82</v>
      </c>
      <c r="H1671" t="s">
        <v>83</v>
      </c>
      <c r="J1671" t="s">
        <v>52</v>
      </c>
      <c r="K1671" s="15">
        <v>50617</v>
      </c>
      <c r="L1671" s="15">
        <v>0</v>
      </c>
      <c r="M1671" s="13">
        <v>45275</v>
      </c>
      <c r="O1671">
        <v>0</v>
      </c>
      <c r="P1671">
        <v>0</v>
      </c>
      <c r="Q1671">
        <v>216747.45675173358</v>
      </c>
      <c r="R1671">
        <v>2049.62</v>
      </c>
      <c r="S1671">
        <v>0</v>
      </c>
      <c r="T1671">
        <v>0</v>
      </c>
      <c r="U1671">
        <v>0</v>
      </c>
      <c r="V1671">
        <v>2617648.2546245479</v>
      </c>
      <c r="W1671">
        <v>0</v>
      </c>
      <c r="X1671">
        <v>0</v>
      </c>
      <c r="Y1671">
        <v>2836445.3313762816</v>
      </c>
      <c r="Z1671">
        <v>183235.37782371836</v>
      </c>
      <c r="AA1671">
        <v>3019680.7091999999</v>
      </c>
      <c r="AB1671" t="s">
        <v>242</v>
      </c>
      <c r="AC1671">
        <v>3</v>
      </c>
      <c r="AD1671">
        <v>151851</v>
      </c>
      <c r="AE1671">
        <v>0</v>
      </c>
      <c r="AF1671">
        <v>0</v>
      </c>
      <c r="AG1671">
        <v>9166.2413762816359</v>
      </c>
      <c r="AH1671" t="s">
        <v>58</v>
      </c>
    </row>
    <row r="1672" spans="1:34" x14ac:dyDescent="0.3">
      <c r="A1672" t="s">
        <v>798</v>
      </c>
      <c r="B1672">
        <v>52201220</v>
      </c>
      <c r="C1672">
        <v>25378599</v>
      </c>
      <c r="D1672" t="s">
        <v>150</v>
      </c>
      <c r="E1672" t="s">
        <v>438</v>
      </c>
      <c r="F1672" t="s">
        <v>431</v>
      </c>
      <c r="G1672" t="s">
        <v>82</v>
      </c>
      <c r="H1672" t="s">
        <v>83</v>
      </c>
      <c r="J1672" t="s">
        <v>52</v>
      </c>
      <c r="K1672" s="15">
        <v>1000</v>
      </c>
      <c r="L1672" s="15">
        <v>0</v>
      </c>
      <c r="M1672" s="13">
        <v>45276</v>
      </c>
      <c r="O1672">
        <v>0</v>
      </c>
      <c r="P1672">
        <v>0</v>
      </c>
      <c r="Q1672">
        <v>0</v>
      </c>
      <c r="R1672">
        <v>674.31457052103701</v>
      </c>
      <c r="S1672">
        <v>11836.465033147868</v>
      </c>
      <c r="T1672">
        <v>0</v>
      </c>
      <c r="U1672">
        <v>0</v>
      </c>
      <c r="V1672">
        <v>79718.38097920474</v>
      </c>
      <c r="W1672">
        <v>0</v>
      </c>
      <c r="X1672">
        <v>0</v>
      </c>
      <c r="Y1672">
        <v>92229.16058287365</v>
      </c>
      <c r="Z1672">
        <v>6408.8392208646828</v>
      </c>
      <c r="AA1672">
        <v>98637.999803738334</v>
      </c>
      <c r="AB1672" t="s">
        <v>242</v>
      </c>
      <c r="AC1672">
        <v>10</v>
      </c>
      <c r="AD1672">
        <v>16000</v>
      </c>
      <c r="AE1672">
        <v>0</v>
      </c>
      <c r="AF1672">
        <v>0</v>
      </c>
      <c r="AG1672">
        <v>1039.0299251742736</v>
      </c>
      <c r="AH1672" t="s">
        <v>58</v>
      </c>
    </row>
    <row r="1673" spans="1:34" x14ac:dyDescent="0.3">
      <c r="A1673" t="s">
        <v>798</v>
      </c>
      <c r="B1673">
        <v>4132300318</v>
      </c>
      <c r="C1673">
        <v>9010158483</v>
      </c>
      <c r="D1673" s="38" t="s">
        <v>297</v>
      </c>
      <c r="E1673" t="s">
        <v>441</v>
      </c>
      <c r="F1673" t="s">
        <v>430</v>
      </c>
      <c r="G1673" t="s">
        <v>237</v>
      </c>
      <c r="H1673" t="s">
        <v>231</v>
      </c>
      <c r="J1673" s="37" t="s">
        <v>425</v>
      </c>
      <c r="K1673">
        <v>96000</v>
      </c>
      <c r="L1673" s="15">
        <v>42</v>
      </c>
      <c r="M1673" s="13">
        <v>45278</v>
      </c>
      <c r="O1673">
        <v>42</v>
      </c>
      <c r="P1673">
        <v>15033</v>
      </c>
      <c r="Q1673">
        <v>0</v>
      </c>
      <c r="R1673">
        <v>0</v>
      </c>
      <c r="S1673">
        <v>16523.445205479453</v>
      </c>
      <c r="T1673">
        <v>145948.59813084113</v>
      </c>
      <c r="U1673">
        <v>0</v>
      </c>
      <c r="V1673">
        <v>0</v>
      </c>
      <c r="W1673">
        <v>184373.83177570091</v>
      </c>
      <c r="X1673">
        <v>0</v>
      </c>
      <c r="Y1673">
        <v>361920.87511202146</v>
      </c>
      <c r="Z1673">
        <v>23122.570093457947</v>
      </c>
      <c r="AA1673">
        <v>385043.44520547939</v>
      </c>
      <c r="AB1673" t="s">
        <v>331</v>
      </c>
      <c r="AC1673">
        <v>0</v>
      </c>
      <c r="AD1673">
        <v>0</v>
      </c>
      <c r="AE1673">
        <v>0</v>
      </c>
      <c r="AF1673">
        <v>102720</v>
      </c>
      <c r="AG1673">
        <v>6720</v>
      </c>
      <c r="AH1673" t="s">
        <v>72</v>
      </c>
    </row>
    <row r="1674" spans="1:34" x14ac:dyDescent="0.3">
      <c r="A1674" t="s">
        <v>798</v>
      </c>
      <c r="B1674">
        <v>4142300129</v>
      </c>
      <c r="C1674">
        <v>10018900</v>
      </c>
      <c r="D1674" t="s">
        <v>266</v>
      </c>
      <c r="E1674" t="s">
        <v>445</v>
      </c>
      <c r="F1674" t="s">
        <v>430</v>
      </c>
      <c r="G1674" t="s">
        <v>237</v>
      </c>
      <c r="H1674" t="s">
        <v>234</v>
      </c>
      <c r="J1674" t="s">
        <v>425</v>
      </c>
      <c r="K1674" s="15">
        <v>70000</v>
      </c>
      <c r="L1674" s="15">
        <v>21</v>
      </c>
      <c r="M1674" s="13">
        <v>45278</v>
      </c>
      <c r="O1674">
        <v>21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21</v>
      </c>
      <c r="Z1674">
        <v>0</v>
      </c>
      <c r="AA1674">
        <v>21</v>
      </c>
      <c r="AB1674" t="s">
        <v>242</v>
      </c>
      <c r="AC1674">
        <v>3</v>
      </c>
      <c r="AD1674">
        <v>33000</v>
      </c>
      <c r="AE1674">
        <v>0</v>
      </c>
      <c r="AF1674">
        <v>74900</v>
      </c>
      <c r="AG1674">
        <v>7058.8785046728981</v>
      </c>
      <c r="AH1674" t="s">
        <v>58</v>
      </c>
    </row>
    <row r="1675" spans="1:34" x14ac:dyDescent="0.3">
      <c r="A1675" t="s">
        <v>798</v>
      </c>
      <c r="B1675">
        <v>4142300795</v>
      </c>
      <c r="C1675">
        <v>10364811</v>
      </c>
      <c r="D1675" t="s">
        <v>298</v>
      </c>
      <c r="E1675" t="s">
        <v>445</v>
      </c>
      <c r="F1675" t="s">
        <v>430</v>
      </c>
      <c r="G1675" t="s">
        <v>237</v>
      </c>
      <c r="H1675" t="s">
        <v>234</v>
      </c>
      <c r="J1675" t="s">
        <v>425</v>
      </c>
      <c r="K1675" s="15">
        <v>75000</v>
      </c>
      <c r="L1675" s="15">
        <v>65</v>
      </c>
      <c r="M1675" s="13">
        <v>45278</v>
      </c>
      <c r="O1675">
        <v>65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239687.74766355142</v>
      </c>
      <c r="Y1675">
        <v>239752.74766355142</v>
      </c>
      <c r="Z1675">
        <v>16778.1423364486</v>
      </c>
      <c r="AA1675">
        <v>256530.89</v>
      </c>
      <c r="AB1675" t="s">
        <v>242</v>
      </c>
      <c r="AC1675">
        <v>0</v>
      </c>
      <c r="AD1675">
        <v>0</v>
      </c>
      <c r="AE1675">
        <v>0</v>
      </c>
      <c r="AF1675">
        <v>80250</v>
      </c>
      <c r="AG1675">
        <v>5250</v>
      </c>
      <c r="AH1675" t="s">
        <v>72</v>
      </c>
    </row>
    <row r="1676" spans="1:34" x14ac:dyDescent="0.3">
      <c r="A1676" t="s">
        <v>798</v>
      </c>
      <c r="B1676">
        <v>4302300015</v>
      </c>
      <c r="C1676">
        <v>901022018950</v>
      </c>
      <c r="D1676" t="s">
        <v>291</v>
      </c>
      <c r="E1676" t="s">
        <v>447</v>
      </c>
      <c r="F1676" t="s">
        <v>433</v>
      </c>
      <c r="G1676" t="s">
        <v>327</v>
      </c>
      <c r="H1676" t="s">
        <v>83</v>
      </c>
      <c r="J1676" t="s">
        <v>450</v>
      </c>
      <c r="K1676" s="15">
        <v>388000</v>
      </c>
      <c r="L1676" s="15">
        <v>9700</v>
      </c>
      <c r="M1676" s="13">
        <v>45278</v>
      </c>
      <c r="O1676">
        <v>9700</v>
      </c>
      <c r="P1676">
        <v>0</v>
      </c>
      <c r="Q1676">
        <v>144404.52000000002</v>
      </c>
      <c r="R1676">
        <v>606.36</v>
      </c>
      <c r="S1676">
        <v>45668.310451919155</v>
      </c>
      <c r="T1676">
        <v>0</v>
      </c>
      <c r="U1676">
        <v>0</v>
      </c>
      <c r="V1676">
        <v>1193734.6495480807</v>
      </c>
      <c r="W1676">
        <v>0</v>
      </c>
      <c r="X1676">
        <v>0</v>
      </c>
      <c r="Y1676">
        <v>1394113.8399999999</v>
      </c>
      <c r="Z1676">
        <v>86758.207200000004</v>
      </c>
      <c r="AA1676">
        <v>1480872.0471999999</v>
      </c>
      <c r="AB1676" t="s">
        <v>242</v>
      </c>
      <c r="AC1676">
        <v>0</v>
      </c>
      <c r="AD1676">
        <v>0</v>
      </c>
      <c r="AE1676">
        <v>0</v>
      </c>
      <c r="AF1676">
        <v>428000</v>
      </c>
      <c r="AG1676">
        <v>28000.000000000022</v>
      </c>
      <c r="AH1676" t="s">
        <v>58</v>
      </c>
    </row>
    <row r="1677" spans="1:34" x14ac:dyDescent="0.3">
      <c r="A1677" t="s">
        <v>798</v>
      </c>
      <c r="B1677">
        <v>52200733</v>
      </c>
      <c r="C1677">
        <v>29713647</v>
      </c>
      <c r="D1677" t="s">
        <v>140</v>
      </c>
      <c r="E1677" t="s">
        <v>438</v>
      </c>
      <c r="F1677" t="s">
        <v>431</v>
      </c>
      <c r="G1677" t="s">
        <v>82</v>
      </c>
      <c r="H1677" t="s">
        <v>83</v>
      </c>
      <c r="J1677" t="s">
        <v>52</v>
      </c>
      <c r="K1677" s="15">
        <v>2500</v>
      </c>
      <c r="L1677" s="15">
        <v>0</v>
      </c>
      <c r="M1677" s="13">
        <v>45278</v>
      </c>
      <c r="O1677">
        <v>0</v>
      </c>
      <c r="P1677">
        <v>0</v>
      </c>
      <c r="Q1677">
        <v>0</v>
      </c>
      <c r="R1677">
        <v>800.9293258558472</v>
      </c>
      <c r="S1677">
        <v>216.8884805085595</v>
      </c>
      <c r="T1677">
        <v>0</v>
      </c>
      <c r="U1677">
        <v>0</v>
      </c>
      <c r="V1677">
        <v>58878.504672897187</v>
      </c>
      <c r="W1677">
        <v>0</v>
      </c>
      <c r="X1677">
        <v>0</v>
      </c>
      <c r="Y1677">
        <v>59896.322479261595</v>
      </c>
      <c r="Z1677">
        <v>4136.6775207384026</v>
      </c>
      <c r="AA1677">
        <v>64033</v>
      </c>
      <c r="AB1677" t="s">
        <v>242</v>
      </c>
      <c r="AC1677">
        <v>7</v>
      </c>
      <c r="AD1677">
        <v>24837</v>
      </c>
      <c r="AE1677">
        <v>0</v>
      </c>
      <c r="AF1677">
        <v>0</v>
      </c>
      <c r="AG1677">
        <v>1602.7991147756156</v>
      </c>
      <c r="AH1677" t="s">
        <v>58</v>
      </c>
    </row>
    <row r="1678" spans="1:34" x14ac:dyDescent="0.3">
      <c r="A1678" t="s">
        <v>798</v>
      </c>
      <c r="B1678">
        <v>52200970</v>
      </c>
      <c r="C1678">
        <v>26133770</v>
      </c>
      <c r="D1678" t="s">
        <v>145</v>
      </c>
      <c r="E1678" t="s">
        <v>438</v>
      </c>
      <c r="F1678" t="s">
        <v>431</v>
      </c>
      <c r="G1678" t="s">
        <v>82</v>
      </c>
      <c r="H1678" t="s">
        <v>83</v>
      </c>
      <c r="J1678" t="s">
        <v>52</v>
      </c>
      <c r="K1678" s="15">
        <v>3000</v>
      </c>
      <c r="L1678" s="15">
        <v>0</v>
      </c>
      <c r="M1678" s="13">
        <v>45278</v>
      </c>
      <c r="O1678">
        <v>0</v>
      </c>
      <c r="P1678">
        <v>0</v>
      </c>
      <c r="Q1678">
        <v>0</v>
      </c>
      <c r="R1678">
        <v>722.18814485850203</v>
      </c>
      <c r="S1678">
        <v>10701.015010402571</v>
      </c>
      <c r="T1678">
        <v>0</v>
      </c>
      <c r="U1678">
        <v>0</v>
      </c>
      <c r="V1678">
        <v>38829.650696647303</v>
      </c>
      <c r="W1678">
        <v>0</v>
      </c>
      <c r="X1678">
        <v>0</v>
      </c>
      <c r="Y1678">
        <v>50252.853851908374</v>
      </c>
      <c r="Z1678">
        <v>3467.1465994934915</v>
      </c>
      <c r="AA1678">
        <v>53720.000451401866</v>
      </c>
      <c r="AB1678" t="s">
        <v>242</v>
      </c>
      <c r="AC1678">
        <v>2</v>
      </c>
      <c r="AD1678">
        <v>4835</v>
      </c>
      <c r="AE1678">
        <v>0</v>
      </c>
      <c r="AF1678">
        <v>0</v>
      </c>
      <c r="AG1678">
        <v>311.74128050476202</v>
      </c>
      <c r="AH1678" t="s">
        <v>58</v>
      </c>
    </row>
    <row r="1679" spans="1:34" x14ac:dyDescent="0.3">
      <c r="A1679" t="s">
        <v>798</v>
      </c>
      <c r="B1679">
        <v>52201351</v>
      </c>
      <c r="C1679">
        <v>22940816</v>
      </c>
      <c r="D1679" t="s">
        <v>155</v>
      </c>
      <c r="E1679" t="s">
        <v>438</v>
      </c>
      <c r="F1679" t="s">
        <v>431</v>
      </c>
      <c r="G1679" t="s">
        <v>82</v>
      </c>
      <c r="H1679" t="s">
        <v>83</v>
      </c>
      <c r="J1679" t="s">
        <v>52</v>
      </c>
      <c r="K1679" s="15">
        <v>500</v>
      </c>
      <c r="L1679" s="15">
        <v>0</v>
      </c>
      <c r="M1679" s="13">
        <v>45278</v>
      </c>
      <c r="O1679">
        <v>0</v>
      </c>
      <c r="P1679">
        <v>0</v>
      </c>
      <c r="Q1679">
        <v>0</v>
      </c>
      <c r="R1679">
        <v>811.85736424294169</v>
      </c>
      <c r="S1679">
        <v>22108.709796709838</v>
      </c>
      <c r="T1679">
        <v>0</v>
      </c>
      <c r="U1679">
        <v>0</v>
      </c>
      <c r="V1679">
        <v>73829.741339665459</v>
      </c>
      <c r="W1679">
        <v>0</v>
      </c>
      <c r="X1679">
        <v>0</v>
      </c>
      <c r="Y1679">
        <v>96750.308500618237</v>
      </c>
      <c r="Z1679">
        <v>6715.6915795462719</v>
      </c>
      <c r="AA1679">
        <v>103466.00008016451</v>
      </c>
      <c r="AB1679" t="s">
        <v>242</v>
      </c>
      <c r="AC1679">
        <v>13</v>
      </c>
      <c r="AD1679">
        <v>9400</v>
      </c>
      <c r="AE1679">
        <v>0</v>
      </c>
      <c r="AF1679">
        <v>0</v>
      </c>
      <c r="AG1679">
        <v>609.77571541776274</v>
      </c>
      <c r="AH1679" t="s">
        <v>58</v>
      </c>
    </row>
    <row r="1680" spans="1:34" x14ac:dyDescent="0.3">
      <c r="A1680" t="s">
        <v>798</v>
      </c>
      <c r="B1680">
        <v>4142301025</v>
      </c>
      <c r="C1680">
        <v>10501272</v>
      </c>
      <c r="D1680" t="s">
        <v>215</v>
      </c>
      <c r="E1680" t="s">
        <v>445</v>
      </c>
      <c r="F1680" t="s">
        <v>430</v>
      </c>
      <c r="G1680" t="s">
        <v>230</v>
      </c>
      <c r="H1680" t="s">
        <v>234</v>
      </c>
      <c r="J1680" t="s">
        <v>52</v>
      </c>
      <c r="K1680" s="15">
        <v>5000</v>
      </c>
      <c r="L1680" s="15">
        <v>0</v>
      </c>
      <c r="M1680" s="13">
        <v>45278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554592.36448598118</v>
      </c>
      <c r="Y1680">
        <v>554592.36448598118</v>
      </c>
      <c r="Z1680">
        <v>38821.465514018688</v>
      </c>
      <c r="AA1680">
        <v>593413.82999999984</v>
      </c>
      <c r="AB1680" t="s">
        <v>242</v>
      </c>
      <c r="AC1680">
        <v>4</v>
      </c>
      <c r="AD1680">
        <v>54500</v>
      </c>
      <c r="AE1680">
        <v>0</v>
      </c>
      <c r="AF1680">
        <v>0</v>
      </c>
      <c r="AG1680">
        <v>3565.4205607476624</v>
      </c>
      <c r="AH1680" t="s">
        <v>58</v>
      </c>
    </row>
    <row r="1681" spans="1:34" x14ac:dyDescent="0.3">
      <c r="A1681" t="s">
        <v>798</v>
      </c>
      <c r="B1681">
        <v>4142301121</v>
      </c>
      <c r="C1681">
        <v>10039558</v>
      </c>
      <c r="D1681" t="s">
        <v>299</v>
      </c>
      <c r="E1681" t="s">
        <v>445</v>
      </c>
      <c r="F1681" t="s">
        <v>430</v>
      </c>
      <c r="G1681" t="s">
        <v>237</v>
      </c>
      <c r="H1681" t="s">
        <v>234</v>
      </c>
      <c r="J1681" t="s">
        <v>425</v>
      </c>
      <c r="K1681" s="15">
        <v>210000</v>
      </c>
      <c r="L1681" s="15">
        <v>1075</v>
      </c>
      <c r="M1681" s="13">
        <v>45279</v>
      </c>
      <c r="O1681">
        <v>1075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393264.48598130839</v>
      </c>
      <c r="Y1681">
        <v>394339.48598130839</v>
      </c>
      <c r="Z1681">
        <v>27528.514018691589</v>
      </c>
      <c r="AA1681">
        <v>421868</v>
      </c>
      <c r="AB1681" t="s">
        <v>242</v>
      </c>
      <c r="AC1681">
        <v>0</v>
      </c>
      <c r="AD1681">
        <v>0</v>
      </c>
      <c r="AE1681">
        <v>0</v>
      </c>
      <c r="AF1681">
        <v>224700</v>
      </c>
      <c r="AG1681">
        <v>14700</v>
      </c>
      <c r="AH1681" t="s">
        <v>72</v>
      </c>
    </row>
    <row r="1682" spans="1:34" x14ac:dyDescent="0.3">
      <c r="A1682" t="s">
        <v>798</v>
      </c>
      <c r="B1682">
        <v>52201063</v>
      </c>
      <c r="C1682">
        <v>23710909</v>
      </c>
      <c r="D1682" t="s">
        <v>147</v>
      </c>
      <c r="E1682" t="s">
        <v>438</v>
      </c>
      <c r="F1682" t="s">
        <v>431</v>
      </c>
      <c r="G1682" t="s">
        <v>82</v>
      </c>
      <c r="H1682" t="s">
        <v>83</v>
      </c>
      <c r="J1682" t="s">
        <v>52</v>
      </c>
      <c r="K1682" s="15">
        <v>1000</v>
      </c>
      <c r="L1682" s="15">
        <v>0</v>
      </c>
      <c r="M1682" s="13">
        <v>45279</v>
      </c>
      <c r="O1682">
        <v>0</v>
      </c>
      <c r="P1682">
        <v>0</v>
      </c>
      <c r="Q1682">
        <v>0</v>
      </c>
      <c r="R1682">
        <v>813.14757488235591</v>
      </c>
      <c r="S1682">
        <v>22585.460237780066</v>
      </c>
      <c r="T1682">
        <v>0</v>
      </c>
      <c r="U1682">
        <v>0</v>
      </c>
      <c r="V1682">
        <v>49966.73843998649</v>
      </c>
      <c r="W1682">
        <v>0</v>
      </c>
      <c r="X1682">
        <v>0</v>
      </c>
      <c r="Y1682">
        <v>73365.346252648917</v>
      </c>
      <c r="Z1682">
        <v>5078.6539074436596</v>
      </c>
      <c r="AA1682">
        <v>78444.000160092575</v>
      </c>
      <c r="AB1682" t="s">
        <v>242</v>
      </c>
      <c r="AC1682">
        <v>7</v>
      </c>
      <c r="AD1682">
        <v>7000</v>
      </c>
      <c r="AE1682">
        <v>0</v>
      </c>
      <c r="AF1682">
        <v>0</v>
      </c>
      <c r="AG1682">
        <v>452.85077592688322</v>
      </c>
      <c r="AH1682" t="s">
        <v>58</v>
      </c>
    </row>
    <row r="1683" spans="1:34" x14ac:dyDescent="0.3">
      <c r="A1683" t="s">
        <v>798</v>
      </c>
      <c r="B1683">
        <v>4142300300</v>
      </c>
      <c r="C1683">
        <v>10131172</v>
      </c>
      <c r="D1683" t="s">
        <v>196</v>
      </c>
      <c r="E1683" t="s">
        <v>445</v>
      </c>
      <c r="F1683" t="s">
        <v>430</v>
      </c>
      <c r="G1683" t="s">
        <v>230</v>
      </c>
      <c r="H1683" t="s">
        <v>234</v>
      </c>
      <c r="J1683" t="s">
        <v>52</v>
      </c>
      <c r="K1683" s="15">
        <v>5000</v>
      </c>
      <c r="L1683" s="15">
        <v>0</v>
      </c>
      <c r="M1683" s="13">
        <v>45279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652933.78504672914</v>
      </c>
      <c r="Y1683">
        <v>652933.78504672914</v>
      </c>
      <c r="Z1683">
        <v>45705.364953271048</v>
      </c>
      <c r="AA1683">
        <v>698639.15000000014</v>
      </c>
      <c r="AB1683" t="s">
        <v>242</v>
      </c>
      <c r="AC1683">
        <v>8</v>
      </c>
      <c r="AD1683">
        <v>110000</v>
      </c>
      <c r="AE1683">
        <v>0</v>
      </c>
      <c r="AF1683">
        <v>0</v>
      </c>
      <c r="AG1683">
        <v>7196.26168224299</v>
      </c>
      <c r="AH1683" t="s">
        <v>58</v>
      </c>
    </row>
    <row r="1684" spans="1:34" x14ac:dyDescent="0.3">
      <c r="A1684" t="s">
        <v>798</v>
      </c>
      <c r="B1684">
        <v>4142300866</v>
      </c>
      <c r="C1684">
        <v>10412528</v>
      </c>
      <c r="D1684" t="s">
        <v>300</v>
      </c>
      <c r="E1684" t="s">
        <v>445</v>
      </c>
      <c r="F1684" t="s">
        <v>430</v>
      </c>
      <c r="G1684" t="s">
        <v>237</v>
      </c>
      <c r="H1684" t="s">
        <v>234</v>
      </c>
      <c r="J1684" t="s">
        <v>425</v>
      </c>
      <c r="K1684" s="15">
        <v>170000</v>
      </c>
      <c r="L1684" s="15">
        <v>69</v>
      </c>
      <c r="M1684" s="13">
        <v>45280</v>
      </c>
      <c r="O1684">
        <v>69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193528.35514018696</v>
      </c>
      <c r="Y1684">
        <v>193597.35514018696</v>
      </c>
      <c r="Z1684">
        <v>13546.984859813088</v>
      </c>
      <c r="AA1684">
        <v>207144.34000000005</v>
      </c>
      <c r="AB1684" t="s">
        <v>242</v>
      </c>
      <c r="AC1684">
        <v>0</v>
      </c>
      <c r="AD1684">
        <v>0</v>
      </c>
      <c r="AE1684">
        <v>0</v>
      </c>
      <c r="AF1684">
        <v>181900</v>
      </c>
      <c r="AG1684">
        <v>11900</v>
      </c>
      <c r="AH1684" t="s">
        <v>72</v>
      </c>
    </row>
    <row r="1685" spans="1:34" x14ac:dyDescent="0.3">
      <c r="A1685" t="s">
        <v>798</v>
      </c>
      <c r="B1685">
        <v>42200052</v>
      </c>
      <c r="C1685" t="s">
        <v>90</v>
      </c>
      <c r="D1685" t="s">
        <v>121</v>
      </c>
      <c r="E1685" t="s">
        <v>437</v>
      </c>
      <c r="F1685" t="s">
        <v>430</v>
      </c>
      <c r="G1685" t="s">
        <v>230</v>
      </c>
      <c r="H1685" t="s">
        <v>231</v>
      </c>
      <c r="J1685" t="s">
        <v>52</v>
      </c>
      <c r="K1685" s="15">
        <v>2000</v>
      </c>
      <c r="L1685" s="15">
        <v>0</v>
      </c>
      <c r="M1685" s="13">
        <v>45280</v>
      </c>
      <c r="O1685">
        <v>0</v>
      </c>
      <c r="P1685">
        <v>2069.771652285347</v>
      </c>
      <c r="Q1685">
        <v>0</v>
      </c>
      <c r="R1685">
        <v>0</v>
      </c>
      <c r="S1685">
        <v>5574.6712328767117</v>
      </c>
      <c r="T1685">
        <v>7878.7180819763162</v>
      </c>
      <c r="U1685">
        <v>14018.691588785046</v>
      </c>
      <c r="V1685">
        <v>0</v>
      </c>
      <c r="W1685">
        <v>135514.01869158878</v>
      </c>
      <c r="X1685">
        <v>0</v>
      </c>
      <c r="Y1685">
        <v>165055.8712475122</v>
      </c>
      <c r="Z1685">
        <v>11018.799985364512</v>
      </c>
      <c r="AA1685">
        <v>176074.67123287672</v>
      </c>
      <c r="AB1685" t="s">
        <v>242</v>
      </c>
      <c r="AC1685">
        <v>7</v>
      </c>
      <c r="AD1685">
        <v>20000</v>
      </c>
      <c r="AE1685">
        <v>0</v>
      </c>
      <c r="AF1685">
        <v>0</v>
      </c>
      <c r="AG1685">
        <v>1247.5551548224064</v>
      </c>
      <c r="AH1685" t="s">
        <v>58</v>
      </c>
    </row>
    <row r="1686" spans="1:34" x14ac:dyDescent="0.3">
      <c r="A1686" t="s">
        <v>798</v>
      </c>
      <c r="B1686">
        <v>4132300331</v>
      </c>
      <c r="C1686">
        <v>9040040746</v>
      </c>
      <c r="D1686" t="s">
        <v>174</v>
      </c>
      <c r="E1686" t="s">
        <v>441</v>
      </c>
      <c r="F1686" t="s">
        <v>430</v>
      </c>
      <c r="G1686" t="s">
        <v>230</v>
      </c>
      <c r="H1686" t="s">
        <v>231</v>
      </c>
      <c r="J1686" t="s">
        <v>52</v>
      </c>
      <c r="K1686" s="15">
        <v>1000</v>
      </c>
      <c r="L1686" s="15">
        <v>0</v>
      </c>
      <c r="M1686" s="13">
        <v>45280</v>
      </c>
      <c r="O1686">
        <v>0</v>
      </c>
      <c r="P1686">
        <v>9030.7189914037135</v>
      </c>
      <c r="Q1686">
        <v>0</v>
      </c>
      <c r="R1686">
        <v>0</v>
      </c>
      <c r="S1686">
        <v>7733.8356164383558</v>
      </c>
      <c r="T1686">
        <v>37246.991596818967</v>
      </c>
      <c r="U1686">
        <v>0</v>
      </c>
      <c r="V1686">
        <v>0</v>
      </c>
      <c r="W1686">
        <v>168224.29906542055</v>
      </c>
      <c r="X1686">
        <v>0</v>
      </c>
      <c r="Y1686">
        <v>222235.8452700816</v>
      </c>
      <c r="Z1686">
        <v>14382.990346356766</v>
      </c>
      <c r="AA1686">
        <v>236618.83561643836</v>
      </c>
      <c r="AB1686" t="s">
        <v>242</v>
      </c>
      <c r="AC1686">
        <v>5</v>
      </c>
      <c r="AD1686">
        <v>8000</v>
      </c>
      <c r="AE1686">
        <v>0</v>
      </c>
      <c r="AF1686">
        <v>0</v>
      </c>
      <c r="AG1686">
        <v>483.83208354977558</v>
      </c>
      <c r="AH1686" t="s">
        <v>58</v>
      </c>
    </row>
    <row r="1687" spans="1:34" x14ac:dyDescent="0.3">
      <c r="A1687" t="s">
        <v>798</v>
      </c>
      <c r="B1687">
        <v>4142300097</v>
      </c>
      <c r="C1687">
        <v>82365</v>
      </c>
      <c r="D1687" t="s">
        <v>187</v>
      </c>
      <c r="E1687" t="s">
        <v>444</v>
      </c>
      <c r="F1687" t="s">
        <v>430</v>
      </c>
      <c r="G1687" t="s">
        <v>230</v>
      </c>
      <c r="H1687" t="s">
        <v>231</v>
      </c>
      <c r="J1687" t="s">
        <v>52</v>
      </c>
      <c r="K1687" s="15">
        <v>6000</v>
      </c>
      <c r="L1687" s="15">
        <v>0</v>
      </c>
      <c r="M1687" s="13">
        <v>45280</v>
      </c>
      <c r="O1687">
        <v>0</v>
      </c>
      <c r="P1687">
        <v>3317.3543894176255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68471.005243534935</v>
      </c>
      <c r="X1687">
        <v>0</v>
      </c>
      <c r="Y1687">
        <v>71788.359632952561</v>
      </c>
      <c r="Z1687">
        <v>4792.9703670474455</v>
      </c>
      <c r="AA1687">
        <v>76581.33</v>
      </c>
      <c r="AB1687" t="s">
        <v>242</v>
      </c>
      <c r="AC1687">
        <v>4</v>
      </c>
      <c r="AD1687">
        <v>24000</v>
      </c>
      <c r="AE1687">
        <v>0</v>
      </c>
      <c r="AF1687">
        <v>0</v>
      </c>
      <c r="AG1687">
        <v>1496.6493525787237</v>
      </c>
      <c r="AH1687" t="s">
        <v>58</v>
      </c>
    </row>
    <row r="1688" spans="1:34" x14ac:dyDescent="0.3">
      <c r="A1688" t="s">
        <v>798</v>
      </c>
      <c r="B1688">
        <v>4142300116</v>
      </c>
      <c r="C1688">
        <v>10205921</v>
      </c>
      <c r="D1688" t="s">
        <v>189</v>
      </c>
      <c r="E1688" t="s">
        <v>445</v>
      </c>
      <c r="F1688" t="s">
        <v>430</v>
      </c>
      <c r="G1688" t="s">
        <v>233</v>
      </c>
      <c r="H1688" t="s">
        <v>234</v>
      </c>
      <c r="J1688" t="s">
        <v>52</v>
      </c>
      <c r="K1688" s="15">
        <v>101688.32000000001</v>
      </c>
      <c r="L1688" s="15">
        <v>0</v>
      </c>
      <c r="M1688" s="13">
        <v>45280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142553.72897196256</v>
      </c>
      <c r="Y1688">
        <v>142553.72897196256</v>
      </c>
      <c r="Z1688">
        <v>9978.7610280373792</v>
      </c>
      <c r="AA1688">
        <v>152532.48999999993</v>
      </c>
      <c r="AB1688" t="s">
        <v>242</v>
      </c>
      <c r="AC1688">
        <v>6</v>
      </c>
      <c r="AD1688">
        <v>405064.96000000002</v>
      </c>
      <c r="AE1688">
        <v>0</v>
      </c>
      <c r="AF1688">
        <v>0</v>
      </c>
      <c r="AG1688">
        <v>26499.576822429895</v>
      </c>
      <c r="AH1688" t="s">
        <v>58</v>
      </c>
    </row>
    <row r="1689" spans="1:34" x14ac:dyDescent="0.3">
      <c r="A1689" t="s">
        <v>798</v>
      </c>
      <c r="B1689">
        <v>4142300218</v>
      </c>
      <c r="C1689">
        <v>10215180</v>
      </c>
      <c r="D1689" t="s">
        <v>914</v>
      </c>
      <c r="E1689" t="s">
        <v>445</v>
      </c>
      <c r="F1689" t="s">
        <v>430</v>
      </c>
      <c r="G1689" t="s">
        <v>230</v>
      </c>
      <c r="H1689" t="s">
        <v>234</v>
      </c>
      <c r="J1689" t="s">
        <v>52</v>
      </c>
      <c r="K1689" s="15">
        <v>95000</v>
      </c>
      <c r="L1689" s="15">
        <v>0</v>
      </c>
      <c r="M1689" s="13">
        <v>45280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1063749.3271028039</v>
      </c>
      <c r="Y1689">
        <v>1063749.3271028039</v>
      </c>
      <c r="Z1689">
        <v>74462.452897196272</v>
      </c>
      <c r="AA1689">
        <v>1138211.78</v>
      </c>
      <c r="AB1689" t="s">
        <v>242</v>
      </c>
      <c r="AC1689">
        <v>1</v>
      </c>
      <c r="AD1689">
        <v>95000</v>
      </c>
      <c r="AE1689">
        <v>0</v>
      </c>
      <c r="AF1689">
        <v>0</v>
      </c>
      <c r="AG1689">
        <v>6214.9532710280328</v>
      </c>
      <c r="AH1689" t="s">
        <v>72</v>
      </c>
    </row>
    <row r="1690" spans="1:34" x14ac:dyDescent="0.3">
      <c r="A1690" t="s">
        <v>798</v>
      </c>
      <c r="B1690">
        <v>4142300218</v>
      </c>
      <c r="C1690">
        <v>10215180</v>
      </c>
      <c r="D1690" t="s">
        <v>914</v>
      </c>
      <c r="E1690" t="s">
        <v>445</v>
      </c>
      <c r="F1690" t="s">
        <v>430</v>
      </c>
      <c r="G1690" t="s">
        <v>230</v>
      </c>
      <c r="H1690" t="s">
        <v>234</v>
      </c>
      <c r="J1690" t="s">
        <v>52</v>
      </c>
      <c r="K1690" s="15">
        <v>5000</v>
      </c>
      <c r="L1690" s="15">
        <v>0</v>
      </c>
      <c r="M1690" s="13">
        <v>45280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1059076.4299065422</v>
      </c>
      <c r="Y1690">
        <v>1059076.4299065422</v>
      </c>
      <c r="Z1690">
        <v>74135.350093457964</v>
      </c>
      <c r="AA1690">
        <v>1133211.7800000003</v>
      </c>
      <c r="AB1690" t="s">
        <v>242</v>
      </c>
      <c r="AC1690">
        <v>2</v>
      </c>
      <c r="AD1690">
        <v>100000</v>
      </c>
      <c r="AE1690">
        <v>0</v>
      </c>
      <c r="AF1690">
        <v>0</v>
      </c>
      <c r="AG1690">
        <v>6542.0560747663503</v>
      </c>
      <c r="AH1690" t="s">
        <v>58</v>
      </c>
    </row>
    <row r="1691" spans="1:34" x14ac:dyDescent="0.3">
      <c r="A1691" t="s">
        <v>798</v>
      </c>
      <c r="B1691">
        <v>4142300416</v>
      </c>
      <c r="C1691">
        <v>10179898</v>
      </c>
      <c r="D1691" t="s">
        <v>198</v>
      </c>
      <c r="E1691" t="s">
        <v>445</v>
      </c>
      <c r="F1691" t="s">
        <v>430</v>
      </c>
      <c r="G1691" t="s">
        <v>230</v>
      </c>
      <c r="H1691" t="s">
        <v>234</v>
      </c>
      <c r="J1691" t="s">
        <v>52</v>
      </c>
      <c r="K1691" s="15">
        <v>4000</v>
      </c>
      <c r="L1691" s="15">
        <v>0</v>
      </c>
      <c r="M1691" s="13">
        <v>45280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312857</v>
      </c>
      <c r="Y1691">
        <v>312857</v>
      </c>
      <c r="Z1691">
        <v>21899.99</v>
      </c>
      <c r="AA1691">
        <v>334756.99</v>
      </c>
      <c r="AB1691" t="s">
        <v>242</v>
      </c>
      <c r="AC1691">
        <v>10</v>
      </c>
      <c r="AD1691">
        <v>42000</v>
      </c>
      <c r="AE1691">
        <v>0</v>
      </c>
      <c r="AF1691">
        <v>0</v>
      </c>
      <c r="AG1691">
        <v>2747.663551401869</v>
      </c>
      <c r="AH1691" t="s">
        <v>58</v>
      </c>
    </row>
    <row r="1692" spans="1:34" x14ac:dyDescent="0.3">
      <c r="A1692" t="s">
        <v>798</v>
      </c>
      <c r="B1692">
        <v>4132302146</v>
      </c>
      <c r="C1692" t="s">
        <v>471</v>
      </c>
      <c r="D1692" t="s">
        <v>544</v>
      </c>
      <c r="E1692" t="s">
        <v>443</v>
      </c>
      <c r="F1692" t="s">
        <v>430</v>
      </c>
      <c r="G1692" t="s">
        <v>230</v>
      </c>
      <c r="H1692" t="s">
        <v>231</v>
      </c>
      <c r="J1692" t="s">
        <v>416</v>
      </c>
      <c r="K1692" s="15">
        <v>0.309254327563249</v>
      </c>
      <c r="L1692" s="15">
        <v>0</v>
      </c>
      <c r="M1692" s="13">
        <v>45280</v>
      </c>
      <c r="O1692">
        <v>0</v>
      </c>
      <c r="P1692">
        <v>18373.834886817574</v>
      </c>
      <c r="Q1692">
        <v>0</v>
      </c>
      <c r="R1692">
        <v>0</v>
      </c>
      <c r="S1692">
        <v>0</v>
      </c>
      <c r="T1692">
        <v>19366.701096357505</v>
      </c>
      <c r="U1692">
        <v>19366.701096357505</v>
      </c>
      <c r="V1692">
        <v>0</v>
      </c>
      <c r="W1692">
        <v>719795.72408128716</v>
      </c>
      <c r="X1692">
        <v>0</v>
      </c>
      <c r="Y1692">
        <v>776902.96116081974</v>
      </c>
      <c r="Z1692">
        <v>53097.038839180153</v>
      </c>
      <c r="AA1692">
        <v>829999.99999999988</v>
      </c>
      <c r="AB1692" t="s">
        <v>242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 t="s">
        <v>72</v>
      </c>
    </row>
    <row r="1693" spans="1:34" x14ac:dyDescent="0.3">
      <c r="A1693" t="s">
        <v>798</v>
      </c>
      <c r="B1693">
        <v>4142300671</v>
      </c>
      <c r="C1693">
        <v>10295174</v>
      </c>
      <c r="D1693" t="s">
        <v>301</v>
      </c>
      <c r="E1693" t="s">
        <v>445</v>
      </c>
      <c r="F1693" t="s">
        <v>430</v>
      </c>
      <c r="G1693" t="s">
        <v>237</v>
      </c>
      <c r="H1693" t="s">
        <v>234</v>
      </c>
      <c r="J1693" t="s">
        <v>425</v>
      </c>
      <c r="K1693" s="15">
        <v>99000</v>
      </c>
      <c r="L1693" s="15">
        <v>54</v>
      </c>
      <c r="M1693" s="13">
        <v>45281</v>
      </c>
      <c r="O1693">
        <v>54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180768.91588785045</v>
      </c>
      <c r="Y1693">
        <v>180822.91588785045</v>
      </c>
      <c r="Z1693">
        <v>12653.824112149532</v>
      </c>
      <c r="AA1693">
        <v>193476.74</v>
      </c>
      <c r="AB1693" t="s">
        <v>242</v>
      </c>
      <c r="AC1693">
        <v>0</v>
      </c>
      <c r="AD1693">
        <v>0</v>
      </c>
      <c r="AE1693">
        <v>0</v>
      </c>
      <c r="AF1693">
        <v>105930</v>
      </c>
      <c r="AG1693">
        <v>6930</v>
      </c>
      <c r="AH1693" t="s">
        <v>72</v>
      </c>
    </row>
    <row r="1694" spans="1:34" x14ac:dyDescent="0.3">
      <c r="A1694" t="s">
        <v>798</v>
      </c>
      <c r="B1694">
        <v>4302300016</v>
      </c>
      <c r="C1694">
        <v>901022030525</v>
      </c>
      <c r="D1694" t="s">
        <v>291</v>
      </c>
      <c r="E1694" t="s">
        <v>447</v>
      </c>
      <c r="F1694" t="s">
        <v>433</v>
      </c>
      <c r="G1694" t="s">
        <v>327</v>
      </c>
      <c r="H1694" t="s">
        <v>83</v>
      </c>
      <c r="J1694" t="s">
        <v>425</v>
      </c>
      <c r="K1694" s="15">
        <v>144000</v>
      </c>
      <c r="L1694" s="15">
        <v>12084</v>
      </c>
      <c r="M1694" s="13">
        <v>45281</v>
      </c>
      <c r="O1694">
        <v>12084</v>
      </c>
      <c r="P1694">
        <v>0</v>
      </c>
      <c r="Q1694">
        <v>79131.12999999999</v>
      </c>
      <c r="R1694">
        <v>226.86</v>
      </c>
      <c r="S1694">
        <v>23386.582969021063</v>
      </c>
      <c r="T1694">
        <v>0</v>
      </c>
      <c r="U1694">
        <v>0</v>
      </c>
      <c r="V1694">
        <v>730660.02703097893</v>
      </c>
      <c r="W1694">
        <v>0</v>
      </c>
      <c r="X1694">
        <v>0</v>
      </c>
      <c r="Y1694">
        <v>845488.6</v>
      </c>
      <c r="Z1694">
        <v>52783.262700000007</v>
      </c>
      <c r="AA1694">
        <v>898271.86269999994</v>
      </c>
      <c r="AB1694" t="s">
        <v>242</v>
      </c>
      <c r="AC1694">
        <v>0</v>
      </c>
      <c r="AD1694">
        <v>0</v>
      </c>
      <c r="AE1694">
        <v>0</v>
      </c>
      <c r="AF1694">
        <v>154080</v>
      </c>
      <c r="AG1694">
        <v>10080</v>
      </c>
      <c r="AH1694" t="s">
        <v>72</v>
      </c>
    </row>
    <row r="1695" spans="1:34" x14ac:dyDescent="0.3">
      <c r="A1695" t="s">
        <v>798</v>
      </c>
      <c r="B1695">
        <v>12200153</v>
      </c>
      <c r="C1695">
        <v>19444639</v>
      </c>
      <c r="D1695" t="s">
        <v>114</v>
      </c>
      <c r="E1695" t="s">
        <v>438</v>
      </c>
      <c r="F1695" t="s">
        <v>427</v>
      </c>
      <c r="G1695" t="s">
        <v>82</v>
      </c>
      <c r="H1695" t="s">
        <v>82</v>
      </c>
      <c r="J1695" t="s">
        <v>52</v>
      </c>
      <c r="K1695" s="15">
        <v>3000</v>
      </c>
      <c r="L1695" s="15">
        <v>0</v>
      </c>
      <c r="M1695" s="13">
        <v>45281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128162.72740332247</v>
      </c>
      <c r="W1695">
        <v>0</v>
      </c>
      <c r="X1695">
        <v>0</v>
      </c>
      <c r="Y1695">
        <v>128162.72740332247</v>
      </c>
      <c r="Z1695">
        <v>0</v>
      </c>
      <c r="AA1695">
        <v>128162.72740332247</v>
      </c>
      <c r="AB1695" t="s">
        <v>242</v>
      </c>
      <c r="AC1695">
        <v>8</v>
      </c>
      <c r="AD1695">
        <v>46390</v>
      </c>
      <c r="AE1695">
        <v>0</v>
      </c>
      <c r="AF1695">
        <v>0</v>
      </c>
      <c r="AG1695">
        <v>0</v>
      </c>
      <c r="AH1695" t="s">
        <v>58</v>
      </c>
    </row>
    <row r="1696" spans="1:34" x14ac:dyDescent="0.3">
      <c r="A1696" t="s">
        <v>798</v>
      </c>
      <c r="B1696">
        <v>52201589</v>
      </c>
      <c r="C1696">
        <v>25928923</v>
      </c>
      <c r="D1696" t="s">
        <v>162</v>
      </c>
      <c r="E1696" t="s">
        <v>438</v>
      </c>
      <c r="F1696" t="s">
        <v>431</v>
      </c>
      <c r="G1696" t="s">
        <v>82</v>
      </c>
      <c r="H1696" t="s">
        <v>83</v>
      </c>
      <c r="J1696" t="s">
        <v>52</v>
      </c>
      <c r="K1696" s="15">
        <v>1000</v>
      </c>
      <c r="L1696" s="15">
        <v>0</v>
      </c>
      <c r="M1696" s="13">
        <v>45281</v>
      </c>
      <c r="O1696">
        <v>0</v>
      </c>
      <c r="P1696">
        <v>0</v>
      </c>
      <c r="Q1696">
        <v>0</v>
      </c>
      <c r="R1696">
        <v>1009.5309594658144</v>
      </c>
      <c r="S1696">
        <v>12945.532654704841</v>
      </c>
      <c r="T1696">
        <v>0</v>
      </c>
      <c r="U1696">
        <v>0</v>
      </c>
      <c r="V1696">
        <v>54655.854112149529</v>
      </c>
      <c r="W1696">
        <v>0</v>
      </c>
      <c r="X1696">
        <v>0</v>
      </c>
      <c r="Y1696">
        <v>68610.917726320185</v>
      </c>
      <c r="Z1696">
        <v>4732.0970736798063</v>
      </c>
      <c r="AA1696">
        <v>73343.01479999999</v>
      </c>
      <c r="AB1696" t="s">
        <v>242</v>
      </c>
      <c r="AC1696">
        <v>2</v>
      </c>
      <c r="AD1696">
        <v>2000</v>
      </c>
      <c r="AE1696">
        <v>0</v>
      </c>
      <c r="AF1696">
        <v>0</v>
      </c>
      <c r="AG1696">
        <v>128.91324033888509</v>
      </c>
      <c r="AH1696" t="s">
        <v>58</v>
      </c>
    </row>
    <row r="1697" spans="1:34" x14ac:dyDescent="0.3">
      <c r="A1697" t="s">
        <v>798</v>
      </c>
      <c r="B1697">
        <v>52201830</v>
      </c>
      <c r="C1697">
        <v>25560817</v>
      </c>
      <c r="D1697" t="s">
        <v>167</v>
      </c>
      <c r="E1697" t="s">
        <v>438</v>
      </c>
      <c r="F1697" t="s">
        <v>431</v>
      </c>
      <c r="G1697" t="s">
        <v>82</v>
      </c>
      <c r="H1697" t="s">
        <v>83</v>
      </c>
      <c r="J1697" t="s">
        <v>52</v>
      </c>
      <c r="K1697" s="15">
        <v>1000</v>
      </c>
      <c r="L1697" s="15">
        <v>0</v>
      </c>
      <c r="M1697" s="13">
        <v>45281</v>
      </c>
      <c r="O1697">
        <v>0</v>
      </c>
      <c r="P1697">
        <v>0</v>
      </c>
      <c r="Q1697">
        <v>0</v>
      </c>
      <c r="R1697">
        <v>816.2139899145543</v>
      </c>
      <c r="S1697">
        <v>21403.30328162343</v>
      </c>
      <c r="T1697">
        <v>0</v>
      </c>
      <c r="U1697">
        <v>0</v>
      </c>
      <c r="V1697">
        <v>53474.06748157987</v>
      </c>
      <c r="W1697">
        <v>0</v>
      </c>
      <c r="X1697">
        <v>0</v>
      </c>
      <c r="Y1697">
        <v>75693.584753117859</v>
      </c>
      <c r="Z1697">
        <v>5241.4159534242317</v>
      </c>
      <c r="AA1697">
        <v>80935.000706542094</v>
      </c>
      <c r="AB1697" t="s">
        <v>242</v>
      </c>
      <c r="AC1697">
        <v>9</v>
      </c>
      <c r="AD1697">
        <v>16000</v>
      </c>
      <c r="AE1697">
        <v>0</v>
      </c>
      <c r="AF1697">
        <v>0</v>
      </c>
      <c r="AG1697">
        <v>1035.3597937327277</v>
      </c>
      <c r="AH1697" t="s">
        <v>58</v>
      </c>
    </row>
    <row r="1698" spans="1:34" x14ac:dyDescent="0.3">
      <c r="A1698" t="s">
        <v>798</v>
      </c>
      <c r="B1698">
        <v>4132300266</v>
      </c>
      <c r="C1698">
        <v>1100168312</v>
      </c>
      <c r="D1698" t="s">
        <v>173</v>
      </c>
      <c r="E1698" t="s">
        <v>441</v>
      </c>
      <c r="F1698" t="s">
        <v>430</v>
      </c>
      <c r="G1698" t="s">
        <v>235</v>
      </c>
      <c r="H1698" t="s">
        <v>236</v>
      </c>
      <c r="J1698" t="s">
        <v>52</v>
      </c>
      <c r="K1698" s="15">
        <v>2000</v>
      </c>
      <c r="L1698" s="15">
        <v>0</v>
      </c>
      <c r="M1698" s="13">
        <v>45281</v>
      </c>
      <c r="O1698">
        <v>0</v>
      </c>
      <c r="P1698">
        <v>0</v>
      </c>
      <c r="Q1698">
        <v>0</v>
      </c>
      <c r="R1698">
        <v>0</v>
      </c>
      <c r="S1698">
        <v>82926.035583899138</v>
      </c>
      <c r="T1698">
        <v>0</v>
      </c>
      <c r="U1698">
        <v>0</v>
      </c>
      <c r="V1698">
        <v>216456.52800378136</v>
      </c>
      <c r="W1698">
        <v>0</v>
      </c>
      <c r="X1698">
        <v>0</v>
      </c>
      <c r="Y1698">
        <v>299382.56358768052</v>
      </c>
      <c r="Z1698">
        <v>15151.956960264697</v>
      </c>
      <c r="AA1698">
        <v>314534.52054794523</v>
      </c>
      <c r="AB1698" t="s">
        <v>242</v>
      </c>
      <c r="AC1698">
        <v>2</v>
      </c>
      <c r="AD1698">
        <v>4000</v>
      </c>
      <c r="AE1698">
        <v>0</v>
      </c>
      <c r="AF1698">
        <v>0</v>
      </c>
      <c r="AG1698">
        <v>189.16453506240669</v>
      </c>
      <c r="AH1698" t="s">
        <v>58</v>
      </c>
    </row>
    <row r="1699" spans="1:34" x14ac:dyDescent="0.3">
      <c r="A1699" t="s">
        <v>798</v>
      </c>
      <c r="B1699">
        <v>4142301211</v>
      </c>
      <c r="C1699">
        <v>10143524</v>
      </c>
      <c r="D1699" t="s">
        <v>216</v>
      </c>
      <c r="E1699" t="s">
        <v>446</v>
      </c>
      <c r="F1699" t="s">
        <v>430</v>
      </c>
      <c r="G1699" t="s">
        <v>230</v>
      </c>
      <c r="H1699" t="s">
        <v>234</v>
      </c>
      <c r="J1699" t="s">
        <v>52</v>
      </c>
      <c r="K1699" s="15">
        <v>100000</v>
      </c>
      <c r="L1699" s="15">
        <v>0</v>
      </c>
      <c r="M1699" s="13">
        <v>45281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282237.55140186916</v>
      </c>
      <c r="Y1699">
        <v>282237.55140186916</v>
      </c>
      <c r="Z1699">
        <v>19756.628598130843</v>
      </c>
      <c r="AA1699">
        <v>301994.18</v>
      </c>
      <c r="AB1699" t="s">
        <v>242</v>
      </c>
      <c r="AC1699">
        <v>1</v>
      </c>
      <c r="AD1699">
        <v>100000</v>
      </c>
      <c r="AE1699">
        <v>0</v>
      </c>
      <c r="AF1699">
        <v>0</v>
      </c>
      <c r="AG1699">
        <v>6542.0560747663549</v>
      </c>
      <c r="AH1699" t="s">
        <v>72</v>
      </c>
    </row>
    <row r="1700" spans="1:34" x14ac:dyDescent="0.3">
      <c r="A1700" t="s">
        <v>798</v>
      </c>
      <c r="B1700">
        <v>4142300066</v>
      </c>
      <c r="C1700" t="s">
        <v>374</v>
      </c>
      <c r="D1700" t="s">
        <v>413</v>
      </c>
      <c r="E1700" t="s">
        <v>444</v>
      </c>
      <c r="F1700" t="s">
        <v>430</v>
      </c>
      <c r="G1700" t="s">
        <v>233</v>
      </c>
      <c r="H1700" t="s">
        <v>231</v>
      </c>
      <c r="J1700" t="s">
        <v>416</v>
      </c>
      <c r="K1700" s="15">
        <v>0.29223192501890116</v>
      </c>
      <c r="L1700" s="15">
        <v>0</v>
      </c>
      <c r="M1700" s="13">
        <v>45281</v>
      </c>
      <c r="O1700">
        <v>0</v>
      </c>
      <c r="P1700">
        <v>3468.0635674073842</v>
      </c>
      <c r="Q1700">
        <v>91531.9364325926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94999.999999999985</v>
      </c>
      <c r="Z1700">
        <v>0</v>
      </c>
      <c r="AA1700">
        <v>94999.999999999985</v>
      </c>
      <c r="AB1700" t="s">
        <v>242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 t="s">
        <v>72</v>
      </c>
    </row>
    <row r="1701" spans="1:34" x14ac:dyDescent="0.3">
      <c r="A1701" t="s">
        <v>798</v>
      </c>
      <c r="B1701">
        <v>52201131</v>
      </c>
      <c r="C1701" t="s">
        <v>653</v>
      </c>
      <c r="D1701" t="s">
        <v>652</v>
      </c>
      <c r="E1701" t="s">
        <v>438</v>
      </c>
      <c r="F1701" t="s">
        <v>431</v>
      </c>
      <c r="G1701" t="s">
        <v>235</v>
      </c>
      <c r="H1701" t="s">
        <v>236</v>
      </c>
      <c r="J1701" t="s">
        <v>672</v>
      </c>
      <c r="M1701" s="13">
        <v>45281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183565.42056074768</v>
      </c>
      <c r="W1701">
        <v>0</v>
      </c>
      <c r="X1701">
        <v>0</v>
      </c>
      <c r="Y1701">
        <v>183565.42056074768</v>
      </c>
      <c r="Z1701">
        <v>12849.579439252338</v>
      </c>
      <c r="AA1701">
        <v>196415</v>
      </c>
      <c r="AB1701" t="s">
        <v>242</v>
      </c>
      <c r="AC1701">
        <v>1</v>
      </c>
      <c r="AD1701">
        <v>2400</v>
      </c>
      <c r="AE1701">
        <v>0</v>
      </c>
      <c r="AF1701">
        <v>0</v>
      </c>
      <c r="AG1701">
        <v>155.97933672824547</v>
      </c>
      <c r="AH1701" t="s">
        <v>58</v>
      </c>
    </row>
    <row r="1702" spans="1:34" x14ac:dyDescent="0.3">
      <c r="A1702" t="s">
        <v>798</v>
      </c>
      <c r="B1702">
        <v>4142300113</v>
      </c>
      <c r="C1702">
        <v>99172</v>
      </c>
      <c r="D1702" s="38" t="s">
        <v>302</v>
      </c>
      <c r="E1702" t="s">
        <v>444</v>
      </c>
      <c r="F1702" t="s">
        <v>430</v>
      </c>
      <c r="G1702" t="s">
        <v>237</v>
      </c>
      <c r="H1702" t="s">
        <v>231</v>
      </c>
      <c r="J1702" s="37" t="s">
        <v>425</v>
      </c>
      <c r="K1702">
        <v>40000</v>
      </c>
      <c r="L1702" s="15">
        <v>2596</v>
      </c>
      <c r="M1702" s="13">
        <v>45282</v>
      </c>
      <c r="O1702">
        <v>2596</v>
      </c>
      <c r="P1702">
        <v>3000</v>
      </c>
      <c r="Q1702">
        <v>0</v>
      </c>
      <c r="R1702">
        <v>0</v>
      </c>
      <c r="S1702">
        <v>0</v>
      </c>
      <c r="T1702">
        <v>25934.579439252338</v>
      </c>
      <c r="U1702">
        <v>16822.429906542056</v>
      </c>
      <c r="V1702">
        <v>0</v>
      </c>
      <c r="W1702">
        <v>212336.44859813084</v>
      </c>
      <c r="X1702">
        <v>0</v>
      </c>
      <c r="Y1702">
        <v>260689.45794392523</v>
      </c>
      <c r="Z1702">
        <v>17856.542056074766</v>
      </c>
      <c r="AA1702">
        <v>278546</v>
      </c>
      <c r="AB1702" t="s">
        <v>331</v>
      </c>
      <c r="AC1702">
        <v>0</v>
      </c>
      <c r="AD1702">
        <v>0</v>
      </c>
      <c r="AE1702">
        <v>0</v>
      </c>
      <c r="AF1702">
        <v>42800</v>
      </c>
      <c r="AG1702">
        <v>2800</v>
      </c>
      <c r="AH1702" t="s">
        <v>72</v>
      </c>
    </row>
    <row r="1703" spans="1:34" x14ac:dyDescent="0.3">
      <c r="A1703" t="s">
        <v>798</v>
      </c>
      <c r="B1703">
        <v>4142300494</v>
      </c>
      <c r="C1703">
        <v>10217669</v>
      </c>
      <c r="D1703" t="s">
        <v>303</v>
      </c>
      <c r="E1703" t="s">
        <v>445</v>
      </c>
      <c r="F1703" t="s">
        <v>430</v>
      </c>
      <c r="G1703" t="s">
        <v>237</v>
      </c>
      <c r="H1703" t="s">
        <v>234</v>
      </c>
      <c r="J1703" t="s">
        <v>425</v>
      </c>
      <c r="K1703" s="15">
        <v>20000</v>
      </c>
      <c r="L1703" s="15">
        <v>42</v>
      </c>
      <c r="M1703" s="13">
        <v>45282</v>
      </c>
      <c r="O1703">
        <v>42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144427.51401869158</v>
      </c>
      <c r="Y1703">
        <v>144469.51401869158</v>
      </c>
      <c r="Z1703">
        <v>10109.925981308412</v>
      </c>
      <c r="AA1703">
        <v>154579.44</v>
      </c>
      <c r="AB1703" t="s">
        <v>242</v>
      </c>
      <c r="AC1703">
        <v>0</v>
      </c>
      <c r="AD1703">
        <v>0</v>
      </c>
      <c r="AE1703">
        <v>0</v>
      </c>
      <c r="AF1703">
        <v>21400</v>
      </c>
      <c r="AG1703">
        <v>1400</v>
      </c>
      <c r="AH1703" t="s">
        <v>72</v>
      </c>
    </row>
    <row r="1704" spans="1:34" x14ac:dyDescent="0.3">
      <c r="A1704" t="s">
        <v>798</v>
      </c>
      <c r="B1704">
        <v>4142300701</v>
      </c>
      <c r="C1704">
        <v>10311593</v>
      </c>
      <c r="D1704" t="s">
        <v>304</v>
      </c>
      <c r="E1704" t="s">
        <v>445</v>
      </c>
      <c r="F1704" t="s">
        <v>430</v>
      </c>
      <c r="G1704" t="s">
        <v>237</v>
      </c>
      <c r="H1704" t="s">
        <v>234</v>
      </c>
      <c r="J1704" t="s">
        <v>425</v>
      </c>
      <c r="K1704" s="15">
        <v>80000</v>
      </c>
      <c r="L1704" s="15">
        <v>63</v>
      </c>
      <c r="M1704" s="13">
        <v>45282</v>
      </c>
      <c r="O1704">
        <v>63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257106.54205607477</v>
      </c>
      <c r="Y1704">
        <v>257169.54205607477</v>
      </c>
      <c r="Z1704">
        <v>17997.457943925237</v>
      </c>
      <c r="AA1704">
        <v>275167</v>
      </c>
      <c r="AB1704" t="s">
        <v>242</v>
      </c>
      <c r="AC1704">
        <v>0</v>
      </c>
      <c r="AD1704">
        <v>0</v>
      </c>
      <c r="AE1704">
        <v>0</v>
      </c>
      <c r="AF1704">
        <v>85600</v>
      </c>
      <c r="AG1704">
        <v>5600</v>
      </c>
      <c r="AH1704" t="s">
        <v>72</v>
      </c>
    </row>
    <row r="1705" spans="1:34" x14ac:dyDescent="0.3">
      <c r="A1705" t="s">
        <v>798</v>
      </c>
      <c r="B1705">
        <v>52200412</v>
      </c>
      <c r="C1705">
        <v>25145601</v>
      </c>
      <c r="D1705" t="s">
        <v>86</v>
      </c>
      <c r="E1705" t="s">
        <v>436</v>
      </c>
      <c r="F1705" t="s">
        <v>431</v>
      </c>
      <c r="G1705" t="s">
        <v>82</v>
      </c>
      <c r="H1705" t="s">
        <v>83</v>
      </c>
      <c r="J1705" t="s">
        <v>52</v>
      </c>
      <c r="K1705" s="15">
        <v>1700</v>
      </c>
      <c r="L1705" s="15">
        <v>0</v>
      </c>
      <c r="M1705" s="13">
        <v>45282</v>
      </c>
      <c r="O1705">
        <v>0</v>
      </c>
      <c r="P1705">
        <v>0</v>
      </c>
      <c r="Q1705">
        <v>0</v>
      </c>
      <c r="R1705">
        <v>721.62374720736125</v>
      </c>
      <c r="S1705">
        <v>17931.751938586884</v>
      </c>
      <c r="T1705">
        <v>0</v>
      </c>
      <c r="U1705">
        <v>0</v>
      </c>
      <c r="V1705">
        <v>52616.263104201244</v>
      </c>
      <c r="W1705">
        <v>0</v>
      </c>
      <c r="X1705">
        <v>0</v>
      </c>
      <c r="Y1705">
        <v>71269.638789995486</v>
      </c>
      <c r="Z1705">
        <v>4938.3610529951693</v>
      </c>
      <c r="AA1705">
        <v>76207.999842990655</v>
      </c>
      <c r="AB1705" t="s">
        <v>242</v>
      </c>
      <c r="AC1705">
        <v>14</v>
      </c>
      <c r="AD1705">
        <v>16600</v>
      </c>
      <c r="AE1705">
        <v>0</v>
      </c>
      <c r="AF1705">
        <v>0</v>
      </c>
      <c r="AG1705">
        <v>1074.9006189761826</v>
      </c>
      <c r="AH1705" t="s">
        <v>58</v>
      </c>
    </row>
    <row r="1706" spans="1:34" x14ac:dyDescent="0.3">
      <c r="A1706" t="s">
        <v>798</v>
      </c>
      <c r="B1706">
        <v>52201830</v>
      </c>
      <c r="C1706">
        <v>25560817</v>
      </c>
      <c r="D1706" t="s">
        <v>167</v>
      </c>
      <c r="E1706" t="s">
        <v>438</v>
      </c>
      <c r="F1706" t="s">
        <v>431</v>
      </c>
      <c r="G1706" t="s">
        <v>82</v>
      </c>
      <c r="H1706" t="s">
        <v>83</v>
      </c>
      <c r="J1706" t="s">
        <v>52</v>
      </c>
      <c r="K1706" s="15">
        <v>650</v>
      </c>
      <c r="L1706" s="15">
        <v>0</v>
      </c>
      <c r="M1706" s="13">
        <v>45282</v>
      </c>
      <c r="O1706">
        <v>0</v>
      </c>
      <c r="P1706">
        <v>0</v>
      </c>
      <c r="Q1706">
        <v>0</v>
      </c>
      <c r="R1706">
        <v>809.2049534793681</v>
      </c>
      <c r="S1706">
        <v>20802.377147450708</v>
      </c>
      <c r="T1706">
        <v>0</v>
      </c>
      <c r="U1706">
        <v>0</v>
      </c>
      <c r="V1706">
        <v>53474.06748157987</v>
      </c>
      <c r="W1706">
        <v>0</v>
      </c>
      <c r="X1706">
        <v>0</v>
      </c>
      <c r="Y1706">
        <v>75085.649582509941</v>
      </c>
      <c r="Z1706">
        <v>5199.3511240321413</v>
      </c>
      <c r="AA1706">
        <v>80285.00070654208</v>
      </c>
      <c r="AB1706" t="s">
        <v>242</v>
      </c>
      <c r="AC1706">
        <v>10</v>
      </c>
      <c r="AD1706">
        <v>16650</v>
      </c>
      <c r="AE1706">
        <v>0</v>
      </c>
      <c r="AF1706">
        <v>0</v>
      </c>
      <c r="AG1706">
        <v>1077.4246231248183</v>
      </c>
      <c r="AH1706" t="s">
        <v>58</v>
      </c>
    </row>
    <row r="1707" spans="1:34" x14ac:dyDescent="0.3">
      <c r="A1707" t="s">
        <v>798</v>
      </c>
      <c r="B1707">
        <v>4132300375</v>
      </c>
      <c r="C1707">
        <v>1010227956</v>
      </c>
      <c r="D1707" t="s">
        <v>175</v>
      </c>
      <c r="E1707" t="s">
        <v>441</v>
      </c>
      <c r="F1707" t="s">
        <v>430</v>
      </c>
      <c r="G1707" t="s">
        <v>233</v>
      </c>
      <c r="H1707" t="s">
        <v>231</v>
      </c>
      <c r="J1707" t="s">
        <v>52</v>
      </c>
      <c r="K1707" s="15">
        <v>2000</v>
      </c>
      <c r="L1707" s="15">
        <v>0</v>
      </c>
      <c r="M1707" s="13">
        <v>45282</v>
      </c>
      <c r="O1707">
        <v>0</v>
      </c>
      <c r="P1707">
        <v>0</v>
      </c>
      <c r="Q1707">
        <v>0</v>
      </c>
      <c r="R1707">
        <v>0</v>
      </c>
      <c r="S1707">
        <v>11953.167190019871</v>
      </c>
      <c r="T1707">
        <v>3200.8231356874858</v>
      </c>
      <c r="U1707">
        <v>0</v>
      </c>
      <c r="V1707">
        <v>0</v>
      </c>
      <c r="W1707">
        <v>0</v>
      </c>
      <c r="X1707">
        <v>0</v>
      </c>
      <c r="Y1707">
        <v>15153.990325707357</v>
      </c>
      <c r="Z1707">
        <v>224.05761949812401</v>
      </c>
      <c r="AA1707">
        <v>15378.047945205481</v>
      </c>
      <c r="AB1707" t="s">
        <v>242</v>
      </c>
      <c r="AC1707">
        <v>5</v>
      </c>
      <c r="AD1707">
        <v>10000</v>
      </c>
      <c r="AE1707">
        <v>0</v>
      </c>
      <c r="AF1707">
        <v>0</v>
      </c>
      <c r="AG1707">
        <v>135.75546461402558</v>
      </c>
      <c r="AH1707" t="s">
        <v>58</v>
      </c>
    </row>
    <row r="1708" spans="1:34" x14ac:dyDescent="0.3">
      <c r="A1708" t="s">
        <v>798</v>
      </c>
      <c r="B1708">
        <v>4142300192</v>
      </c>
      <c r="C1708">
        <v>10067571</v>
      </c>
      <c r="D1708" t="s">
        <v>192</v>
      </c>
      <c r="E1708" t="s">
        <v>445</v>
      </c>
      <c r="F1708" t="s">
        <v>430</v>
      </c>
      <c r="G1708" t="s">
        <v>233</v>
      </c>
      <c r="H1708" t="s">
        <v>234</v>
      </c>
      <c r="J1708" t="s">
        <v>52</v>
      </c>
      <c r="K1708" s="15">
        <v>5000</v>
      </c>
      <c r="L1708" s="15">
        <v>0</v>
      </c>
      <c r="M1708" s="13">
        <v>45282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270581.24299065419</v>
      </c>
      <c r="Y1708">
        <v>270581.24299065419</v>
      </c>
      <c r="Z1708">
        <v>18940.687009345795</v>
      </c>
      <c r="AA1708">
        <v>289521.93</v>
      </c>
      <c r="AB1708" t="s">
        <v>242</v>
      </c>
      <c r="AC1708">
        <v>5</v>
      </c>
      <c r="AD1708">
        <v>25000</v>
      </c>
      <c r="AE1708">
        <v>0</v>
      </c>
      <c r="AF1708">
        <v>0</v>
      </c>
      <c r="AG1708">
        <v>1635.5140186915878</v>
      </c>
      <c r="AH1708" t="s">
        <v>58</v>
      </c>
    </row>
    <row r="1709" spans="1:34" x14ac:dyDescent="0.3">
      <c r="A1709" t="s">
        <v>798</v>
      </c>
      <c r="B1709">
        <v>52201188</v>
      </c>
      <c r="C1709" t="s">
        <v>463</v>
      </c>
      <c r="D1709" t="s">
        <v>531</v>
      </c>
      <c r="E1709" t="s">
        <v>438</v>
      </c>
      <c r="F1709" t="s">
        <v>431</v>
      </c>
      <c r="G1709" t="s">
        <v>82</v>
      </c>
      <c r="H1709" t="s">
        <v>83</v>
      </c>
      <c r="J1709" t="s">
        <v>416</v>
      </c>
      <c r="K1709" s="15">
        <v>0.39995527285343302</v>
      </c>
      <c r="L1709" s="15">
        <v>0</v>
      </c>
      <c r="M1709" s="13">
        <v>45282</v>
      </c>
      <c r="O1709">
        <v>0</v>
      </c>
      <c r="P1709">
        <v>0</v>
      </c>
      <c r="Q1709">
        <v>0</v>
      </c>
      <c r="R1709">
        <v>402.4045504198121</v>
      </c>
      <c r="S1709">
        <v>13664.050901668714</v>
      </c>
      <c r="T1709">
        <v>0</v>
      </c>
      <c r="U1709">
        <v>0</v>
      </c>
      <c r="V1709">
        <v>31100.056995135197</v>
      </c>
      <c r="W1709">
        <v>0</v>
      </c>
      <c r="X1709">
        <v>0</v>
      </c>
      <c r="Y1709">
        <v>45166.512447223722</v>
      </c>
      <c r="Z1709">
        <v>3133.4875527762738</v>
      </c>
      <c r="AA1709">
        <v>48299.999999999993</v>
      </c>
      <c r="AB1709" t="s">
        <v>242</v>
      </c>
      <c r="AC1709">
        <v>7</v>
      </c>
      <c r="AD1709">
        <v>13536</v>
      </c>
      <c r="AE1709">
        <v>0</v>
      </c>
      <c r="AF1709">
        <v>0</v>
      </c>
      <c r="AG1709">
        <v>877.59224123320996</v>
      </c>
      <c r="AH1709" t="s">
        <v>58</v>
      </c>
    </row>
    <row r="1710" spans="1:34" x14ac:dyDescent="0.3">
      <c r="A1710" t="s">
        <v>798</v>
      </c>
      <c r="B1710">
        <v>52201188</v>
      </c>
      <c r="C1710" t="s">
        <v>463</v>
      </c>
      <c r="D1710" t="s">
        <v>531</v>
      </c>
      <c r="E1710" t="s">
        <v>438</v>
      </c>
      <c r="F1710" t="s">
        <v>431</v>
      </c>
      <c r="G1710" t="s">
        <v>417</v>
      </c>
      <c r="H1710" t="s">
        <v>83</v>
      </c>
      <c r="J1710" t="s">
        <v>52</v>
      </c>
      <c r="K1710" s="15">
        <v>48300</v>
      </c>
      <c r="L1710" s="15">
        <v>0</v>
      </c>
      <c r="M1710" s="13">
        <v>45282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 t="s">
        <v>242</v>
      </c>
      <c r="AC1710">
        <v>8</v>
      </c>
      <c r="AD1710">
        <v>61836</v>
      </c>
      <c r="AE1710">
        <v>0</v>
      </c>
      <c r="AF1710">
        <v>0</v>
      </c>
      <c r="AG1710">
        <v>4011.0797940094808</v>
      </c>
      <c r="AH1710" t="s">
        <v>58</v>
      </c>
    </row>
    <row r="1711" spans="1:34" x14ac:dyDescent="0.3">
      <c r="A1711" t="s">
        <v>798</v>
      </c>
      <c r="B1711">
        <v>4132300177</v>
      </c>
      <c r="C1711" t="s">
        <v>465</v>
      </c>
      <c r="D1711" t="s">
        <v>538</v>
      </c>
      <c r="E1711" t="s">
        <v>441</v>
      </c>
      <c r="F1711" t="s">
        <v>430</v>
      </c>
      <c r="G1711" t="s">
        <v>230</v>
      </c>
      <c r="H1711" t="s">
        <v>231</v>
      </c>
      <c r="J1711" t="s">
        <v>416</v>
      </c>
      <c r="K1711" s="15">
        <v>0.34618823342190985</v>
      </c>
      <c r="L1711" s="15">
        <v>0</v>
      </c>
      <c r="M1711" s="13">
        <v>45282</v>
      </c>
      <c r="O1711">
        <v>0</v>
      </c>
      <c r="P1711">
        <v>2680.6282429701696</v>
      </c>
      <c r="Q1711">
        <v>0</v>
      </c>
      <c r="R1711">
        <v>0</v>
      </c>
      <c r="S1711">
        <v>1319.4011012801554</v>
      </c>
      <c r="T1711">
        <v>0</v>
      </c>
      <c r="U1711">
        <v>0</v>
      </c>
      <c r="V1711">
        <v>0</v>
      </c>
      <c r="W1711">
        <v>20298.105676595864</v>
      </c>
      <c r="X1711">
        <v>0</v>
      </c>
      <c r="Y1711">
        <v>24298.135020846188</v>
      </c>
      <c r="Z1711">
        <v>1420.8673973617106</v>
      </c>
      <c r="AA1711">
        <v>25719.0024182079</v>
      </c>
      <c r="AB1711" t="s">
        <v>242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 t="s">
        <v>72</v>
      </c>
    </row>
    <row r="1712" spans="1:34" x14ac:dyDescent="0.3">
      <c r="A1712" t="s">
        <v>798</v>
      </c>
      <c r="B1712">
        <v>4132300177</v>
      </c>
      <c r="C1712" t="s">
        <v>465</v>
      </c>
      <c r="D1712" t="s">
        <v>538</v>
      </c>
      <c r="E1712" t="s">
        <v>441</v>
      </c>
      <c r="F1712" t="s">
        <v>430</v>
      </c>
      <c r="G1712" t="s">
        <v>421</v>
      </c>
      <c r="H1712" t="s">
        <v>231</v>
      </c>
      <c r="J1712" t="s">
        <v>52</v>
      </c>
      <c r="K1712" s="15">
        <v>25719</v>
      </c>
      <c r="L1712" s="15">
        <v>0</v>
      </c>
      <c r="M1712" s="13">
        <v>45282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2.2600073825742584E-3</v>
      </c>
      <c r="X1712">
        <v>0</v>
      </c>
      <c r="Y1712">
        <v>2.2600073825742584E-3</v>
      </c>
      <c r="Z1712">
        <v>1.5820051678019811E-4</v>
      </c>
      <c r="AA1712">
        <v>2.4182078993544567E-3</v>
      </c>
      <c r="AB1712" t="s">
        <v>242</v>
      </c>
      <c r="AC1712">
        <v>1</v>
      </c>
      <c r="AD1712">
        <v>25719</v>
      </c>
      <c r="AE1712">
        <v>0</v>
      </c>
      <c r="AF1712">
        <v>0</v>
      </c>
      <c r="AG1712">
        <v>1420.8672391611944</v>
      </c>
      <c r="AH1712" t="s">
        <v>58</v>
      </c>
    </row>
    <row r="1713" spans="1:34" x14ac:dyDescent="0.3">
      <c r="A1713" t="s">
        <v>798</v>
      </c>
      <c r="B1713">
        <v>4132302146</v>
      </c>
      <c r="C1713" t="s">
        <v>471</v>
      </c>
      <c r="D1713" t="s">
        <v>544</v>
      </c>
      <c r="E1713" t="s">
        <v>443</v>
      </c>
      <c r="F1713" t="s">
        <v>430</v>
      </c>
      <c r="G1713" t="s">
        <v>421</v>
      </c>
      <c r="H1713" t="s">
        <v>231</v>
      </c>
      <c r="J1713" t="s">
        <v>52</v>
      </c>
      <c r="K1713" s="15">
        <v>830000</v>
      </c>
      <c r="L1713" s="15">
        <v>0</v>
      </c>
      <c r="M1713" s="13">
        <v>45282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 t="s">
        <v>242</v>
      </c>
      <c r="AC1713">
        <v>1</v>
      </c>
      <c r="AD1713">
        <v>830000</v>
      </c>
      <c r="AE1713">
        <v>0</v>
      </c>
      <c r="AF1713">
        <v>0</v>
      </c>
      <c r="AG1713">
        <v>53097.038839180139</v>
      </c>
      <c r="AH1713" t="s">
        <v>58</v>
      </c>
    </row>
    <row r="1714" spans="1:34" x14ac:dyDescent="0.3">
      <c r="A1714" t="s">
        <v>798</v>
      </c>
      <c r="B1714">
        <v>52201528</v>
      </c>
      <c r="C1714" t="s">
        <v>655</v>
      </c>
      <c r="D1714" t="s">
        <v>654</v>
      </c>
      <c r="E1714" t="s">
        <v>438</v>
      </c>
      <c r="F1714" t="s">
        <v>431</v>
      </c>
      <c r="G1714" t="s">
        <v>235</v>
      </c>
      <c r="H1714" t="s">
        <v>236</v>
      </c>
      <c r="J1714" t="s">
        <v>672</v>
      </c>
      <c r="M1714" s="13">
        <v>45282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175280.37383177571</v>
      </c>
      <c r="W1714">
        <v>0</v>
      </c>
      <c r="X1714">
        <v>0</v>
      </c>
      <c r="Y1714">
        <v>175280.37383177571</v>
      </c>
      <c r="Z1714">
        <v>12269.6261682243</v>
      </c>
      <c r="AA1714">
        <v>187550</v>
      </c>
      <c r="AB1714" t="s">
        <v>242</v>
      </c>
      <c r="AC1714">
        <v>3</v>
      </c>
      <c r="AD1714">
        <v>3500</v>
      </c>
      <c r="AE1714">
        <v>0</v>
      </c>
      <c r="AF1714">
        <v>0</v>
      </c>
      <c r="AG1714">
        <v>227.33749657880674</v>
      </c>
      <c r="AH1714" t="s">
        <v>58</v>
      </c>
    </row>
    <row r="1715" spans="1:34" x14ac:dyDescent="0.3">
      <c r="A1715" t="s">
        <v>798</v>
      </c>
      <c r="B1715">
        <v>4132300266</v>
      </c>
      <c r="C1715" t="s">
        <v>97</v>
      </c>
      <c r="D1715" t="s">
        <v>173</v>
      </c>
      <c r="E1715" t="s">
        <v>441</v>
      </c>
      <c r="F1715" t="s">
        <v>430</v>
      </c>
      <c r="G1715" t="s">
        <v>235</v>
      </c>
      <c r="H1715" t="s">
        <v>236</v>
      </c>
      <c r="J1715" t="s">
        <v>416</v>
      </c>
      <c r="K1715" s="15">
        <v>0.4</v>
      </c>
      <c r="M1715" s="13">
        <v>45282</v>
      </c>
      <c r="O1715">
        <v>0</v>
      </c>
      <c r="P1715">
        <v>0</v>
      </c>
      <c r="Q1715">
        <v>0</v>
      </c>
      <c r="R1715">
        <v>0</v>
      </c>
      <c r="S1715">
        <v>49755.621350339483</v>
      </c>
      <c r="T1715">
        <v>0</v>
      </c>
      <c r="U1715">
        <v>0</v>
      </c>
      <c r="V1715">
        <v>129873.91680226881</v>
      </c>
      <c r="W1715">
        <v>0</v>
      </c>
      <c r="X1715">
        <v>0</v>
      </c>
      <c r="Y1715">
        <v>179629.53815260829</v>
      </c>
      <c r="Z1715">
        <v>9091.1741761588182</v>
      </c>
      <c r="AA1715">
        <v>188720.71232876711</v>
      </c>
      <c r="AB1715" t="s">
        <v>242</v>
      </c>
      <c r="AC1715">
        <v>2</v>
      </c>
      <c r="AD1715">
        <v>4000</v>
      </c>
      <c r="AE1715">
        <v>0</v>
      </c>
      <c r="AF1715">
        <v>0</v>
      </c>
      <c r="AG1715">
        <v>189.16453506240669</v>
      </c>
      <c r="AH1715" t="s">
        <v>58</v>
      </c>
    </row>
    <row r="1716" spans="1:34" x14ac:dyDescent="0.3">
      <c r="A1716" t="s">
        <v>798</v>
      </c>
      <c r="B1716">
        <v>4332300083</v>
      </c>
      <c r="C1716">
        <v>1030418855</v>
      </c>
      <c r="D1716" t="s">
        <v>305</v>
      </c>
      <c r="E1716" t="s">
        <v>441</v>
      </c>
      <c r="F1716" t="s">
        <v>430</v>
      </c>
      <c r="G1716" t="s">
        <v>237</v>
      </c>
      <c r="H1716" t="s">
        <v>231</v>
      </c>
      <c r="J1716" t="s">
        <v>450</v>
      </c>
      <c r="K1716" s="15">
        <v>481500</v>
      </c>
      <c r="L1716" s="15">
        <v>0</v>
      </c>
      <c r="M1716" s="13">
        <v>45284</v>
      </c>
      <c r="O1716">
        <v>0</v>
      </c>
      <c r="P1716">
        <v>33444</v>
      </c>
      <c r="Q1716">
        <v>0</v>
      </c>
      <c r="R1716">
        <v>0</v>
      </c>
      <c r="S1716">
        <v>79797.899999999994</v>
      </c>
      <c r="T1716">
        <v>209448.59813084113</v>
      </c>
      <c r="U1716">
        <v>0</v>
      </c>
      <c r="V1716">
        <v>0</v>
      </c>
      <c r="W1716">
        <v>585312.14953271032</v>
      </c>
      <c r="X1716">
        <v>0</v>
      </c>
      <c r="Y1716">
        <v>908002.64766355138</v>
      </c>
      <c r="Z1716">
        <v>55633.252336448611</v>
      </c>
      <c r="AA1716">
        <v>963635.9</v>
      </c>
      <c r="AB1716" t="s">
        <v>331</v>
      </c>
      <c r="AC1716">
        <v>0</v>
      </c>
      <c r="AD1716">
        <v>0</v>
      </c>
      <c r="AE1716">
        <v>0</v>
      </c>
      <c r="AF1716">
        <v>481500</v>
      </c>
      <c r="AG1716">
        <v>31500</v>
      </c>
      <c r="AH1716" t="s">
        <v>72</v>
      </c>
    </row>
    <row r="1717" spans="1:34" x14ac:dyDescent="0.3">
      <c r="A1717" t="s">
        <v>798</v>
      </c>
      <c r="B1717">
        <v>52200938</v>
      </c>
      <c r="C1717">
        <v>26269572</v>
      </c>
      <c r="D1717" t="s">
        <v>144</v>
      </c>
      <c r="E1717" t="s">
        <v>438</v>
      </c>
      <c r="F1717" t="s">
        <v>431</v>
      </c>
      <c r="G1717" t="s">
        <v>82</v>
      </c>
      <c r="H1717" t="s">
        <v>83</v>
      </c>
      <c r="J1717" t="s">
        <v>52</v>
      </c>
      <c r="K1717" s="15">
        <v>3000</v>
      </c>
      <c r="L1717" s="15">
        <v>0</v>
      </c>
      <c r="M1717" s="13">
        <v>45284</v>
      </c>
      <c r="O1717">
        <v>0</v>
      </c>
      <c r="P1717">
        <v>0</v>
      </c>
      <c r="Q1717">
        <v>0</v>
      </c>
      <c r="R1717">
        <v>829.42775587382073</v>
      </c>
      <c r="S1717">
        <v>8353.2060121460236</v>
      </c>
      <c r="T1717">
        <v>0</v>
      </c>
      <c r="U1717">
        <v>0</v>
      </c>
      <c r="V1717">
        <v>47963.216707056527</v>
      </c>
      <c r="W1717">
        <v>0</v>
      </c>
      <c r="X1717">
        <v>0</v>
      </c>
      <c r="Y1717">
        <v>57145.850475076368</v>
      </c>
      <c r="Z1717">
        <v>3942.1495903441787</v>
      </c>
      <c r="AA1717">
        <v>61088.000065420543</v>
      </c>
      <c r="AB1717" t="s">
        <v>242</v>
      </c>
      <c r="AC1717">
        <v>9</v>
      </c>
      <c r="AD1717">
        <v>21000</v>
      </c>
      <c r="AE1717">
        <v>0</v>
      </c>
      <c r="AF1717">
        <v>0</v>
      </c>
      <c r="AG1717">
        <v>1353.6448064590354</v>
      </c>
      <c r="AH1717" t="s">
        <v>58</v>
      </c>
    </row>
    <row r="1718" spans="1:34" x14ac:dyDescent="0.3">
      <c r="A1718" t="s">
        <v>798</v>
      </c>
      <c r="B1718">
        <v>12200158</v>
      </c>
      <c r="C1718">
        <v>27163703</v>
      </c>
      <c r="D1718" t="s">
        <v>115</v>
      </c>
      <c r="E1718" t="s">
        <v>438</v>
      </c>
      <c r="F1718" t="s">
        <v>427</v>
      </c>
      <c r="G1718" t="s">
        <v>82</v>
      </c>
      <c r="H1718" t="s">
        <v>82</v>
      </c>
      <c r="J1718" t="s">
        <v>52</v>
      </c>
      <c r="K1718" s="15">
        <v>3000</v>
      </c>
      <c r="L1718" s="15">
        <v>0</v>
      </c>
      <c r="M1718" s="13">
        <v>45285</v>
      </c>
      <c r="O1718">
        <v>0</v>
      </c>
      <c r="P1718">
        <v>0</v>
      </c>
      <c r="Q1718">
        <v>0</v>
      </c>
      <c r="R1718">
        <v>0</v>
      </c>
      <c r="S1718">
        <v>12164.490127684747</v>
      </c>
      <c r="T1718">
        <v>0</v>
      </c>
      <c r="U1718">
        <v>0</v>
      </c>
      <c r="V1718">
        <v>68571.057534246575</v>
      </c>
      <c r="W1718">
        <v>0</v>
      </c>
      <c r="X1718">
        <v>0</v>
      </c>
      <c r="Y1718">
        <v>80735.547661931327</v>
      </c>
      <c r="Z1718">
        <v>0</v>
      </c>
      <c r="AA1718">
        <v>80735.547661931327</v>
      </c>
      <c r="AB1718" t="s">
        <v>242</v>
      </c>
      <c r="AC1718">
        <v>2</v>
      </c>
      <c r="AD1718">
        <v>3500</v>
      </c>
      <c r="AE1718">
        <v>0</v>
      </c>
      <c r="AF1718">
        <v>0</v>
      </c>
      <c r="AG1718">
        <v>0</v>
      </c>
      <c r="AH1718" t="s">
        <v>58</v>
      </c>
    </row>
    <row r="1719" spans="1:34" x14ac:dyDescent="0.3">
      <c r="A1719" t="s">
        <v>798</v>
      </c>
      <c r="B1719">
        <v>42200199</v>
      </c>
      <c r="C1719">
        <v>2758011774</v>
      </c>
      <c r="D1719" t="s">
        <v>123</v>
      </c>
      <c r="E1719" t="s">
        <v>439</v>
      </c>
      <c r="F1719" t="s">
        <v>430</v>
      </c>
      <c r="G1719" t="s">
        <v>232</v>
      </c>
      <c r="H1719" t="s">
        <v>71</v>
      </c>
      <c r="J1719" t="s">
        <v>52</v>
      </c>
      <c r="K1719" s="15">
        <v>2000</v>
      </c>
      <c r="L1719" s="15">
        <v>0</v>
      </c>
      <c r="M1719" s="13">
        <v>45285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78735.925233644855</v>
      </c>
      <c r="Y1719">
        <v>78735.925233644855</v>
      </c>
      <c r="Z1719">
        <v>5511.5147663551406</v>
      </c>
      <c r="AA1719">
        <v>84247.44</v>
      </c>
      <c r="AB1719" t="s">
        <v>242</v>
      </c>
      <c r="AC1719">
        <v>1</v>
      </c>
      <c r="AD1719">
        <v>2000</v>
      </c>
      <c r="AE1719">
        <v>0</v>
      </c>
      <c r="AF1719">
        <v>0</v>
      </c>
      <c r="AG1719">
        <v>130.84112149532712</v>
      </c>
      <c r="AH1719" t="s">
        <v>72</v>
      </c>
    </row>
    <row r="1720" spans="1:34" x14ac:dyDescent="0.3">
      <c r="A1720" t="s">
        <v>798</v>
      </c>
      <c r="B1720">
        <v>42200418</v>
      </c>
      <c r="C1720">
        <v>2759024985</v>
      </c>
      <c r="D1720" t="s">
        <v>124</v>
      </c>
      <c r="E1720" t="s">
        <v>439</v>
      </c>
      <c r="F1720" t="s">
        <v>430</v>
      </c>
      <c r="G1720" t="s">
        <v>232</v>
      </c>
      <c r="H1720" t="s">
        <v>71</v>
      </c>
      <c r="J1720" t="s">
        <v>52</v>
      </c>
      <c r="K1720" s="15">
        <v>2000</v>
      </c>
      <c r="L1720" s="15">
        <v>0</v>
      </c>
      <c r="M1720" s="13">
        <v>45285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168735.91588785045</v>
      </c>
      <c r="Y1720">
        <v>168735.91588785045</v>
      </c>
      <c r="Z1720">
        <v>11811.514112149533</v>
      </c>
      <c r="AA1720">
        <v>180547.43</v>
      </c>
      <c r="AB1720" t="s">
        <v>242</v>
      </c>
      <c r="AC1720">
        <v>3</v>
      </c>
      <c r="AD1720">
        <v>4500</v>
      </c>
      <c r="AE1720">
        <v>0</v>
      </c>
      <c r="AF1720">
        <v>0</v>
      </c>
      <c r="AG1720">
        <v>294.39252336448601</v>
      </c>
      <c r="AH1720" t="s">
        <v>58</v>
      </c>
    </row>
    <row r="1721" spans="1:34" x14ac:dyDescent="0.3">
      <c r="A1721" t="s">
        <v>798</v>
      </c>
      <c r="B1721">
        <v>42200661</v>
      </c>
      <c r="C1721">
        <v>2760035800</v>
      </c>
      <c r="D1721" t="s">
        <v>125</v>
      </c>
      <c r="E1721" t="s">
        <v>439</v>
      </c>
      <c r="F1721" t="s">
        <v>430</v>
      </c>
      <c r="G1721" t="s">
        <v>232</v>
      </c>
      <c r="H1721" t="s">
        <v>71</v>
      </c>
      <c r="J1721" t="s">
        <v>52</v>
      </c>
      <c r="K1721" s="15">
        <v>3000</v>
      </c>
      <c r="L1721" s="15">
        <v>0</v>
      </c>
      <c r="M1721" s="13">
        <v>45285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157336.72897196261</v>
      </c>
      <c r="Y1721">
        <v>157336.72897196261</v>
      </c>
      <c r="Z1721">
        <v>11013.571028037384</v>
      </c>
      <c r="AA1721">
        <v>168350.3</v>
      </c>
      <c r="AB1721" t="s">
        <v>242</v>
      </c>
      <c r="AC1721">
        <v>1</v>
      </c>
      <c r="AD1721">
        <v>3000</v>
      </c>
      <c r="AE1721">
        <v>0</v>
      </c>
      <c r="AF1721">
        <v>0</v>
      </c>
      <c r="AG1721">
        <v>196.2616822429909</v>
      </c>
      <c r="AH1721" t="s">
        <v>72</v>
      </c>
    </row>
    <row r="1722" spans="1:34" x14ac:dyDescent="0.3">
      <c r="A1722" t="s">
        <v>798</v>
      </c>
      <c r="B1722">
        <v>52200619</v>
      </c>
      <c r="C1722">
        <v>6102060118</v>
      </c>
      <c r="D1722" t="s">
        <v>138</v>
      </c>
      <c r="E1722" t="s">
        <v>437</v>
      </c>
      <c r="F1722" t="s">
        <v>431</v>
      </c>
      <c r="G1722" t="s">
        <v>82</v>
      </c>
      <c r="H1722" t="s">
        <v>83</v>
      </c>
      <c r="J1722" t="s">
        <v>52</v>
      </c>
      <c r="K1722" s="15">
        <v>700</v>
      </c>
      <c r="L1722" s="15">
        <v>0</v>
      </c>
      <c r="M1722" s="13">
        <v>45285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6949.7009345794413</v>
      </c>
      <c r="W1722">
        <v>0</v>
      </c>
      <c r="X1722">
        <v>0</v>
      </c>
      <c r="Y1722">
        <v>6949.7009345794413</v>
      </c>
      <c r="Z1722">
        <v>486.47906542056091</v>
      </c>
      <c r="AA1722">
        <v>7436.1800000000021</v>
      </c>
      <c r="AB1722" t="s">
        <v>242</v>
      </c>
      <c r="AC1722">
        <v>16</v>
      </c>
      <c r="AD1722">
        <v>10500</v>
      </c>
      <c r="AE1722">
        <v>0</v>
      </c>
      <c r="AF1722">
        <v>0</v>
      </c>
      <c r="AG1722">
        <v>686.91588785046736</v>
      </c>
      <c r="AH1722" t="s">
        <v>58</v>
      </c>
    </row>
    <row r="1723" spans="1:34" x14ac:dyDescent="0.3">
      <c r="A1723" t="s">
        <v>798</v>
      </c>
      <c r="B1723">
        <v>52200893</v>
      </c>
      <c r="C1723">
        <v>25072067</v>
      </c>
      <c r="D1723" t="s">
        <v>143</v>
      </c>
      <c r="E1723" t="s">
        <v>438</v>
      </c>
      <c r="F1723" t="s">
        <v>431</v>
      </c>
      <c r="G1723" t="s">
        <v>82</v>
      </c>
      <c r="H1723" t="s">
        <v>83</v>
      </c>
      <c r="J1723" t="s">
        <v>52</v>
      </c>
      <c r="K1723" s="15">
        <v>2000</v>
      </c>
      <c r="L1723" s="15">
        <v>0</v>
      </c>
      <c r="M1723" s="13">
        <v>45285</v>
      </c>
      <c r="O1723">
        <v>0</v>
      </c>
      <c r="P1723">
        <v>0</v>
      </c>
      <c r="Q1723">
        <v>0</v>
      </c>
      <c r="R1723">
        <v>1016.4364541559152</v>
      </c>
      <c r="S1723">
        <v>14103.018209316939</v>
      </c>
      <c r="T1723">
        <v>0</v>
      </c>
      <c r="U1723">
        <v>0</v>
      </c>
      <c r="V1723">
        <v>41101.247765050408</v>
      </c>
      <c r="W1723">
        <v>0</v>
      </c>
      <c r="X1723">
        <v>0</v>
      </c>
      <c r="Y1723">
        <v>56220.702428523262</v>
      </c>
      <c r="Z1723">
        <v>3864.2986182057143</v>
      </c>
      <c r="AA1723">
        <v>60085.001046728976</v>
      </c>
      <c r="AB1723" t="s">
        <v>242</v>
      </c>
      <c r="AC1723">
        <v>2</v>
      </c>
      <c r="AD1723">
        <v>4000</v>
      </c>
      <c r="AE1723">
        <v>0</v>
      </c>
      <c r="AF1723">
        <v>0</v>
      </c>
      <c r="AG1723">
        <v>256.93509513169556</v>
      </c>
      <c r="AH1723" t="s">
        <v>58</v>
      </c>
    </row>
    <row r="1724" spans="1:34" x14ac:dyDescent="0.3">
      <c r="A1724" t="s">
        <v>798</v>
      </c>
      <c r="B1724">
        <v>52201277</v>
      </c>
      <c r="C1724">
        <v>26285645</v>
      </c>
      <c r="D1724" t="s">
        <v>153</v>
      </c>
      <c r="E1724" t="s">
        <v>438</v>
      </c>
      <c r="F1724" t="s">
        <v>431</v>
      </c>
      <c r="G1724" t="s">
        <v>82</v>
      </c>
      <c r="H1724" t="s">
        <v>83</v>
      </c>
      <c r="J1724" t="s">
        <v>52</v>
      </c>
      <c r="K1724" s="15">
        <v>2000</v>
      </c>
      <c r="L1724" s="15">
        <v>0</v>
      </c>
      <c r="M1724" s="13">
        <v>45285</v>
      </c>
      <c r="O1724">
        <v>0</v>
      </c>
      <c r="P1724">
        <v>0</v>
      </c>
      <c r="Q1724">
        <v>0</v>
      </c>
      <c r="R1724">
        <v>773.8638470225286</v>
      </c>
      <c r="S1724">
        <v>29296.589333616692</v>
      </c>
      <c r="T1724">
        <v>0</v>
      </c>
      <c r="U1724">
        <v>0</v>
      </c>
      <c r="V1724">
        <v>56278.303900452571</v>
      </c>
      <c r="W1724">
        <v>0</v>
      </c>
      <c r="X1724">
        <v>0</v>
      </c>
      <c r="Y1724">
        <v>86348.757081091782</v>
      </c>
      <c r="Z1724">
        <v>5990.2425263848481</v>
      </c>
      <c r="AA1724">
        <v>92338.999607476624</v>
      </c>
      <c r="AB1724" t="s">
        <v>242</v>
      </c>
      <c r="AC1724">
        <v>7</v>
      </c>
      <c r="AD1724">
        <v>13000</v>
      </c>
      <c r="AE1724">
        <v>0</v>
      </c>
      <c r="AF1724">
        <v>0</v>
      </c>
      <c r="AG1724">
        <v>842.80417690801596</v>
      </c>
      <c r="AH1724" t="s">
        <v>58</v>
      </c>
    </row>
    <row r="1725" spans="1:34" x14ac:dyDescent="0.3">
      <c r="A1725" t="s">
        <v>798</v>
      </c>
      <c r="B1725">
        <v>52201541</v>
      </c>
      <c r="C1725">
        <v>28683740</v>
      </c>
      <c r="D1725" t="s">
        <v>160</v>
      </c>
      <c r="E1725" t="s">
        <v>438</v>
      </c>
      <c r="F1725" t="s">
        <v>431</v>
      </c>
      <c r="G1725" t="s">
        <v>82</v>
      </c>
      <c r="H1725" t="s">
        <v>83</v>
      </c>
      <c r="J1725" t="s">
        <v>52</v>
      </c>
      <c r="K1725" s="15">
        <v>2000</v>
      </c>
      <c r="L1725" s="15">
        <v>0</v>
      </c>
      <c r="M1725" s="13">
        <v>45285</v>
      </c>
      <c r="O1725">
        <v>0</v>
      </c>
      <c r="P1725">
        <v>0</v>
      </c>
      <c r="Q1725">
        <v>0</v>
      </c>
      <c r="R1725">
        <v>1003.2155488557203</v>
      </c>
      <c r="S1725">
        <v>8282.0561283529969</v>
      </c>
      <c r="T1725">
        <v>0</v>
      </c>
      <c r="U1725">
        <v>0</v>
      </c>
      <c r="V1725">
        <v>84588.770761090957</v>
      </c>
      <c r="W1725">
        <v>0</v>
      </c>
      <c r="X1725">
        <v>0</v>
      </c>
      <c r="Y1725">
        <v>93874.042438299672</v>
      </c>
      <c r="Z1725">
        <v>6500.9578822610774</v>
      </c>
      <c r="AA1725">
        <v>100375.00032056075</v>
      </c>
      <c r="AB1725" t="s">
        <v>242</v>
      </c>
      <c r="AC1725">
        <v>4</v>
      </c>
      <c r="AD1725">
        <v>8000</v>
      </c>
      <c r="AE1725">
        <v>0</v>
      </c>
      <c r="AF1725">
        <v>0</v>
      </c>
      <c r="AG1725">
        <v>517.75241908401904</v>
      </c>
      <c r="AH1725" t="s">
        <v>58</v>
      </c>
    </row>
    <row r="1726" spans="1:34" x14ac:dyDescent="0.3">
      <c r="A1726" t="s">
        <v>798</v>
      </c>
      <c r="B1726">
        <v>4142300779</v>
      </c>
      <c r="C1726">
        <v>10355108</v>
      </c>
      <c r="D1726" t="s">
        <v>208</v>
      </c>
      <c r="E1726" t="s">
        <v>445</v>
      </c>
      <c r="F1726" t="s">
        <v>430</v>
      </c>
      <c r="G1726" t="s">
        <v>230</v>
      </c>
      <c r="H1726" t="s">
        <v>234</v>
      </c>
      <c r="J1726" t="s">
        <v>52</v>
      </c>
      <c r="K1726" s="15">
        <v>20000</v>
      </c>
      <c r="L1726" s="15">
        <v>0</v>
      </c>
      <c r="M1726" s="13">
        <v>45285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213088.7196261682</v>
      </c>
      <c r="Y1726">
        <v>213088.7196261682</v>
      </c>
      <c r="Z1726">
        <v>14916.210373831775</v>
      </c>
      <c r="AA1726">
        <v>228004.92999999996</v>
      </c>
      <c r="AB1726" t="s">
        <v>242</v>
      </c>
      <c r="AC1726">
        <v>1</v>
      </c>
      <c r="AD1726">
        <v>20000</v>
      </c>
      <c r="AE1726">
        <v>0</v>
      </c>
      <c r="AF1726">
        <v>0</v>
      </c>
      <c r="AG1726">
        <v>1308.4112149532702</v>
      </c>
      <c r="AH1726" t="s">
        <v>72</v>
      </c>
    </row>
    <row r="1727" spans="1:34" x14ac:dyDescent="0.3">
      <c r="A1727" t="s">
        <v>798</v>
      </c>
      <c r="B1727">
        <v>4142301211</v>
      </c>
      <c r="C1727">
        <v>10143524</v>
      </c>
      <c r="D1727" t="s">
        <v>216</v>
      </c>
      <c r="E1727" t="s">
        <v>446</v>
      </c>
      <c r="F1727" t="s">
        <v>430</v>
      </c>
      <c r="G1727" t="s">
        <v>230</v>
      </c>
      <c r="H1727" t="s">
        <v>234</v>
      </c>
      <c r="J1727" t="s">
        <v>52</v>
      </c>
      <c r="K1727" s="15">
        <v>100000</v>
      </c>
      <c r="L1727" s="15">
        <v>0</v>
      </c>
      <c r="M1727" s="13">
        <v>45285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188779.60747663552</v>
      </c>
      <c r="Y1727">
        <v>188779.60747663552</v>
      </c>
      <c r="Z1727">
        <v>13214.572523364488</v>
      </c>
      <c r="AA1727">
        <v>201994.18</v>
      </c>
      <c r="AB1727" t="s">
        <v>242</v>
      </c>
      <c r="AC1727">
        <v>2</v>
      </c>
      <c r="AD1727">
        <v>200000</v>
      </c>
      <c r="AE1727">
        <v>0</v>
      </c>
      <c r="AF1727">
        <v>0</v>
      </c>
      <c r="AG1727">
        <v>13084.11214953271</v>
      </c>
      <c r="AH1727" t="s">
        <v>58</v>
      </c>
    </row>
    <row r="1728" spans="1:34" x14ac:dyDescent="0.3">
      <c r="A1728" t="s">
        <v>798</v>
      </c>
      <c r="B1728">
        <v>4142301423</v>
      </c>
      <c r="C1728">
        <v>10476549</v>
      </c>
      <c r="D1728" t="s">
        <v>217</v>
      </c>
      <c r="E1728" t="s">
        <v>446</v>
      </c>
      <c r="F1728" t="s">
        <v>430</v>
      </c>
      <c r="G1728" t="s">
        <v>230</v>
      </c>
      <c r="H1728" t="s">
        <v>234</v>
      </c>
      <c r="J1728" t="s">
        <v>52</v>
      </c>
      <c r="K1728" s="15">
        <v>4000</v>
      </c>
      <c r="L1728" s="15">
        <v>0</v>
      </c>
      <c r="M1728" s="13">
        <v>45285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244022.02022788377</v>
      </c>
      <c r="Y1728">
        <v>244022.02022788377</v>
      </c>
      <c r="Z1728">
        <v>17081.541415951866</v>
      </c>
      <c r="AA1728">
        <v>261103.56164383562</v>
      </c>
      <c r="AB1728" t="s">
        <v>242</v>
      </c>
      <c r="AC1728">
        <v>1</v>
      </c>
      <c r="AD1728">
        <v>4000</v>
      </c>
      <c r="AE1728">
        <v>0</v>
      </c>
      <c r="AF1728">
        <v>0</v>
      </c>
      <c r="AG1728">
        <v>261.68224299065423</v>
      </c>
      <c r="AH1728" t="s">
        <v>72</v>
      </c>
    </row>
    <row r="1729" spans="1:34" x14ac:dyDescent="0.3">
      <c r="A1729" t="s">
        <v>798</v>
      </c>
      <c r="B1729">
        <v>4312300002</v>
      </c>
      <c r="C1729" t="s">
        <v>59</v>
      </c>
      <c r="D1729" t="s">
        <v>60</v>
      </c>
      <c r="E1729" t="s">
        <v>448</v>
      </c>
      <c r="F1729" t="s">
        <v>433</v>
      </c>
      <c r="G1729" t="s">
        <v>82</v>
      </c>
      <c r="H1729" t="s">
        <v>71</v>
      </c>
      <c r="J1729" t="s">
        <v>52</v>
      </c>
      <c r="K1729" s="15">
        <v>20000</v>
      </c>
      <c r="L1729" s="15">
        <v>0</v>
      </c>
      <c r="M1729" s="13">
        <v>45285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736809.7289719627</v>
      </c>
      <c r="Y1729">
        <v>736809.7289719627</v>
      </c>
      <c r="Z1729">
        <v>51576.681028037397</v>
      </c>
      <c r="AA1729">
        <v>788386.41000000015</v>
      </c>
      <c r="AB1729" t="s">
        <v>242</v>
      </c>
      <c r="AC1729">
        <v>1</v>
      </c>
      <c r="AD1729">
        <v>20000</v>
      </c>
      <c r="AE1729">
        <v>0</v>
      </c>
      <c r="AF1729">
        <v>0</v>
      </c>
      <c r="AG1729">
        <v>1308.4112149532702</v>
      </c>
      <c r="AH1729" t="s">
        <v>72</v>
      </c>
    </row>
    <row r="1730" spans="1:34" x14ac:dyDescent="0.3">
      <c r="A1730" t="s">
        <v>798</v>
      </c>
      <c r="B1730">
        <v>4132300378</v>
      </c>
      <c r="C1730" t="s">
        <v>254</v>
      </c>
      <c r="D1730" t="s">
        <v>325</v>
      </c>
      <c r="E1730" t="s">
        <v>441</v>
      </c>
      <c r="F1730" t="s">
        <v>430</v>
      </c>
      <c r="G1730" t="s">
        <v>330</v>
      </c>
      <c r="H1730" t="s">
        <v>231</v>
      </c>
      <c r="J1730" t="s">
        <v>52</v>
      </c>
      <c r="K1730" s="15">
        <v>5000</v>
      </c>
      <c r="L1730" s="15">
        <v>0</v>
      </c>
      <c r="M1730" s="13">
        <v>45285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 t="s">
        <v>242</v>
      </c>
      <c r="AC1730">
        <v>5</v>
      </c>
      <c r="AD1730">
        <v>23000</v>
      </c>
      <c r="AE1730">
        <v>0</v>
      </c>
      <c r="AF1730">
        <v>0</v>
      </c>
      <c r="AG1730">
        <v>258.74279861733442</v>
      </c>
      <c r="AH1730" t="s">
        <v>58</v>
      </c>
    </row>
    <row r="1731" spans="1:34" x14ac:dyDescent="0.3">
      <c r="A1731" t="s">
        <v>798</v>
      </c>
      <c r="B1731">
        <v>42200038</v>
      </c>
      <c r="C1731" t="s">
        <v>452</v>
      </c>
      <c r="D1731" t="s">
        <v>521</v>
      </c>
      <c r="E1731" t="s">
        <v>437</v>
      </c>
      <c r="F1731" t="s">
        <v>430</v>
      </c>
      <c r="G1731" t="s">
        <v>230</v>
      </c>
      <c r="H1731" t="s">
        <v>231</v>
      </c>
      <c r="J1731" t="s">
        <v>416</v>
      </c>
      <c r="K1731" s="15">
        <v>0.4097306689530098</v>
      </c>
      <c r="L1731" s="15">
        <v>0</v>
      </c>
      <c r="M1731" s="13">
        <v>45285</v>
      </c>
      <c r="O1731">
        <v>0</v>
      </c>
      <c r="P1731">
        <v>0</v>
      </c>
      <c r="Q1731">
        <v>0</v>
      </c>
      <c r="R1731">
        <v>0</v>
      </c>
      <c r="S1731">
        <v>13041.046567976666</v>
      </c>
      <c r="T1731">
        <v>6376.7024105559203</v>
      </c>
      <c r="U1731">
        <v>13239.685930025949</v>
      </c>
      <c r="V1731">
        <v>0</v>
      </c>
      <c r="W1731">
        <v>183148.98869869229</v>
      </c>
      <c r="X1731">
        <v>0</v>
      </c>
      <c r="Y1731">
        <v>215806.42360725082</v>
      </c>
      <c r="Z1731">
        <v>14193.576392749193</v>
      </c>
      <c r="AA1731">
        <v>230000</v>
      </c>
      <c r="AB1731" t="s">
        <v>242</v>
      </c>
      <c r="AC1731">
        <v>10</v>
      </c>
      <c r="AD1731">
        <v>17500</v>
      </c>
      <c r="AE1731">
        <v>0</v>
      </c>
      <c r="AF1731">
        <v>0</v>
      </c>
      <c r="AG1731">
        <v>1075.562993851921</v>
      </c>
      <c r="AH1731" t="s">
        <v>58</v>
      </c>
    </row>
    <row r="1732" spans="1:34" x14ac:dyDescent="0.3">
      <c r="A1732" t="s">
        <v>798</v>
      </c>
      <c r="B1732">
        <v>42200038</v>
      </c>
      <c r="C1732" t="s">
        <v>452</v>
      </c>
      <c r="D1732" t="s">
        <v>521</v>
      </c>
      <c r="E1732" t="s">
        <v>437</v>
      </c>
      <c r="F1732" t="s">
        <v>430</v>
      </c>
      <c r="G1732" t="s">
        <v>421</v>
      </c>
      <c r="H1732" t="s">
        <v>231</v>
      </c>
      <c r="J1732" t="s">
        <v>52</v>
      </c>
      <c r="K1732" s="15">
        <v>230000</v>
      </c>
      <c r="L1732" s="15">
        <v>0</v>
      </c>
      <c r="M1732" s="13">
        <v>45285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 t="s">
        <v>242</v>
      </c>
      <c r="AC1732">
        <v>11</v>
      </c>
      <c r="AD1732">
        <v>247500</v>
      </c>
      <c r="AE1732">
        <v>0</v>
      </c>
      <c r="AF1732">
        <v>0</v>
      </c>
      <c r="AG1732">
        <v>15269.1393866011</v>
      </c>
      <c r="AH1732" t="s">
        <v>58</v>
      </c>
    </row>
    <row r="1733" spans="1:34" x14ac:dyDescent="0.3">
      <c r="A1733" t="s">
        <v>798</v>
      </c>
      <c r="B1733">
        <v>4132300482</v>
      </c>
      <c r="C1733" t="s">
        <v>347</v>
      </c>
      <c r="D1733" t="s">
        <v>386</v>
      </c>
      <c r="E1733" t="s">
        <v>441</v>
      </c>
      <c r="F1733" t="s">
        <v>430</v>
      </c>
      <c r="G1733" t="s">
        <v>419</v>
      </c>
      <c r="H1733" t="s">
        <v>231</v>
      </c>
      <c r="J1733" t="s">
        <v>52</v>
      </c>
      <c r="K1733" s="15">
        <v>21297</v>
      </c>
      <c r="L1733" s="15">
        <v>0</v>
      </c>
      <c r="M1733" s="13">
        <v>45285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 t="s">
        <v>242</v>
      </c>
      <c r="AC1733">
        <v>2</v>
      </c>
      <c r="AD1733">
        <v>28497</v>
      </c>
      <c r="AE1733">
        <v>0</v>
      </c>
      <c r="AF1733">
        <v>0</v>
      </c>
      <c r="AG1733">
        <v>1319.1951582171569</v>
      </c>
      <c r="AH1733" t="s">
        <v>58</v>
      </c>
    </row>
    <row r="1734" spans="1:34" x14ac:dyDescent="0.3">
      <c r="A1734" t="s">
        <v>798</v>
      </c>
      <c r="B1734">
        <v>2200001</v>
      </c>
      <c r="C1734" t="s">
        <v>630</v>
      </c>
      <c r="D1734" t="s">
        <v>407</v>
      </c>
      <c r="E1734" t="s">
        <v>435</v>
      </c>
      <c r="F1734" t="s">
        <v>675</v>
      </c>
      <c r="G1734" t="s">
        <v>235</v>
      </c>
      <c r="H1734" t="s">
        <v>235</v>
      </c>
      <c r="J1734" t="s">
        <v>52</v>
      </c>
      <c r="K1734" s="15">
        <v>3000</v>
      </c>
      <c r="M1734" s="13">
        <v>45285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36246.990000000005</v>
      </c>
      <c r="W1734">
        <v>0</v>
      </c>
      <c r="X1734">
        <v>0</v>
      </c>
      <c r="Y1734">
        <v>36246.990000000005</v>
      </c>
      <c r="Z1734">
        <v>0</v>
      </c>
      <c r="AA1734">
        <v>36246.990000000005</v>
      </c>
      <c r="AB1734" t="s">
        <v>242</v>
      </c>
      <c r="AC1734">
        <v>11</v>
      </c>
      <c r="AD1734">
        <v>33000</v>
      </c>
      <c r="AE1734">
        <v>0</v>
      </c>
      <c r="AF1734">
        <v>0</v>
      </c>
      <c r="AG1734">
        <v>0</v>
      </c>
      <c r="AH1734" t="s">
        <v>58</v>
      </c>
    </row>
    <row r="1735" spans="1:34" x14ac:dyDescent="0.3">
      <c r="A1735" t="s">
        <v>798</v>
      </c>
      <c r="B1735">
        <v>52200769</v>
      </c>
      <c r="C1735" t="s">
        <v>666</v>
      </c>
      <c r="D1735" t="s">
        <v>665</v>
      </c>
      <c r="E1735" t="s">
        <v>438</v>
      </c>
      <c r="F1735" t="s">
        <v>431</v>
      </c>
      <c r="G1735" t="s">
        <v>230</v>
      </c>
      <c r="H1735" t="s">
        <v>231</v>
      </c>
      <c r="J1735" t="s">
        <v>52</v>
      </c>
      <c r="K1735" s="15">
        <v>2000</v>
      </c>
      <c r="M1735" s="13">
        <v>45285</v>
      </c>
      <c r="O1735">
        <v>5200.4932756998296</v>
      </c>
      <c r="P1735">
        <v>0</v>
      </c>
      <c r="Q1735">
        <v>0</v>
      </c>
      <c r="R1735">
        <v>0</v>
      </c>
      <c r="S1735">
        <v>0</v>
      </c>
      <c r="T1735">
        <v>10466.828714299225</v>
      </c>
      <c r="U1735">
        <v>0</v>
      </c>
      <c r="V1735">
        <v>0</v>
      </c>
      <c r="W1735">
        <v>88785.046728971967</v>
      </c>
      <c r="X1735">
        <v>0</v>
      </c>
      <c r="Y1735">
        <v>104452.36871897102</v>
      </c>
      <c r="Z1735">
        <v>6947.6312810289837</v>
      </c>
      <c r="AA1735">
        <v>111400</v>
      </c>
      <c r="AB1735" t="s">
        <v>242</v>
      </c>
      <c r="AC1735">
        <v>2</v>
      </c>
      <c r="AD1735">
        <v>4000</v>
      </c>
      <c r="AE1735">
        <v>0</v>
      </c>
      <c r="AF1735">
        <v>0</v>
      </c>
      <c r="AG1735">
        <v>248.63040121400763</v>
      </c>
      <c r="AH1735" t="s">
        <v>58</v>
      </c>
    </row>
    <row r="1736" spans="1:34" x14ac:dyDescent="0.3">
      <c r="A1736" t="s">
        <v>798</v>
      </c>
      <c r="B1736">
        <v>12200173</v>
      </c>
      <c r="C1736">
        <v>19267973</v>
      </c>
      <c r="D1736" t="s">
        <v>118</v>
      </c>
      <c r="E1736" t="s">
        <v>438</v>
      </c>
      <c r="F1736" t="s">
        <v>427</v>
      </c>
      <c r="G1736" t="s">
        <v>82</v>
      </c>
      <c r="H1736" t="s">
        <v>82</v>
      </c>
      <c r="J1736" t="s">
        <v>52</v>
      </c>
      <c r="K1736" s="15">
        <v>1000</v>
      </c>
      <c r="L1736" s="15">
        <v>0</v>
      </c>
      <c r="M1736" s="13">
        <v>45286</v>
      </c>
      <c r="O1736">
        <v>0</v>
      </c>
      <c r="P1736">
        <v>0</v>
      </c>
      <c r="Q1736">
        <v>0</v>
      </c>
      <c r="R1736">
        <v>0</v>
      </c>
      <c r="S1736">
        <v>34764.983876681952</v>
      </c>
      <c r="T1736">
        <v>0</v>
      </c>
      <c r="U1736">
        <v>0</v>
      </c>
      <c r="V1736">
        <v>100001.5186470839</v>
      </c>
      <c r="W1736">
        <v>0</v>
      </c>
      <c r="X1736">
        <v>0</v>
      </c>
      <c r="Y1736">
        <v>134766.50252376584</v>
      </c>
      <c r="Z1736">
        <v>0</v>
      </c>
      <c r="AA1736">
        <v>134766.50252376584</v>
      </c>
      <c r="AB1736" t="s">
        <v>242</v>
      </c>
      <c r="AC1736">
        <v>3</v>
      </c>
      <c r="AD1736">
        <v>2500</v>
      </c>
      <c r="AE1736">
        <v>0</v>
      </c>
      <c r="AF1736">
        <v>0</v>
      </c>
      <c r="AG1736">
        <v>0</v>
      </c>
      <c r="AH1736" t="s">
        <v>58</v>
      </c>
    </row>
    <row r="1737" spans="1:34" x14ac:dyDescent="0.3">
      <c r="A1737" t="s">
        <v>798</v>
      </c>
      <c r="B1737">
        <v>42200450</v>
      </c>
      <c r="C1737">
        <v>2759032864</v>
      </c>
      <c r="D1737" t="s">
        <v>825</v>
      </c>
      <c r="E1737" t="s">
        <v>439</v>
      </c>
      <c r="F1737" t="s">
        <v>430</v>
      </c>
      <c r="G1737" t="s">
        <v>232</v>
      </c>
      <c r="H1737" t="s">
        <v>71</v>
      </c>
      <c r="J1737" t="s">
        <v>52</v>
      </c>
      <c r="K1737" s="15">
        <v>4000</v>
      </c>
      <c r="L1737" s="15">
        <v>0</v>
      </c>
      <c r="M1737" s="13">
        <v>45286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186348.13084112148</v>
      </c>
      <c r="Y1737">
        <v>186348.13084112148</v>
      </c>
      <c r="Z1737">
        <v>13044.369158878506</v>
      </c>
      <c r="AA1737">
        <v>199392.5</v>
      </c>
      <c r="AB1737" t="s">
        <v>242</v>
      </c>
      <c r="AC1737">
        <v>1</v>
      </c>
      <c r="AD1737">
        <v>4000</v>
      </c>
      <c r="AE1737">
        <v>0</v>
      </c>
      <c r="AF1737">
        <v>0</v>
      </c>
      <c r="AG1737">
        <v>261.68224299065423</v>
      </c>
      <c r="AH1737" t="s">
        <v>72</v>
      </c>
    </row>
    <row r="1738" spans="1:34" x14ac:dyDescent="0.3">
      <c r="A1738" t="s">
        <v>798</v>
      </c>
      <c r="B1738">
        <v>52201087</v>
      </c>
      <c r="C1738">
        <v>26018254</v>
      </c>
      <c r="D1738" t="s">
        <v>149</v>
      </c>
      <c r="E1738" t="s">
        <v>438</v>
      </c>
      <c r="F1738" t="s">
        <v>431</v>
      </c>
      <c r="G1738" t="s">
        <v>82</v>
      </c>
      <c r="H1738" t="s">
        <v>83</v>
      </c>
      <c r="J1738" t="s">
        <v>52</v>
      </c>
      <c r="K1738" s="15">
        <v>2000</v>
      </c>
      <c r="L1738" s="15">
        <v>0</v>
      </c>
      <c r="M1738" s="13">
        <v>45286</v>
      </c>
      <c r="O1738">
        <v>0</v>
      </c>
      <c r="P1738">
        <v>0</v>
      </c>
      <c r="Q1738">
        <v>0</v>
      </c>
      <c r="R1738">
        <v>859.78867256759168</v>
      </c>
      <c r="S1738">
        <v>1046.183098273264</v>
      </c>
      <c r="T1738">
        <v>0</v>
      </c>
      <c r="U1738">
        <v>0</v>
      </c>
      <c r="V1738">
        <v>36780.182457105089</v>
      </c>
      <c r="W1738">
        <v>0</v>
      </c>
      <c r="X1738">
        <v>0</v>
      </c>
      <c r="Y1738">
        <v>38686.154227945946</v>
      </c>
      <c r="Z1738">
        <v>2647.8455888764852</v>
      </c>
      <c r="AA1738">
        <v>41333.999816822434</v>
      </c>
      <c r="AB1738" t="s">
        <v>242</v>
      </c>
      <c r="AC1738">
        <v>4</v>
      </c>
      <c r="AD1738">
        <v>8000</v>
      </c>
      <c r="AE1738">
        <v>0</v>
      </c>
      <c r="AF1738">
        <v>0</v>
      </c>
      <c r="AG1738">
        <v>511.64038044834729</v>
      </c>
      <c r="AH1738" t="s">
        <v>58</v>
      </c>
    </row>
    <row r="1739" spans="1:34" x14ac:dyDescent="0.3">
      <c r="A1739" t="s">
        <v>798</v>
      </c>
      <c r="B1739">
        <v>4232300095</v>
      </c>
      <c r="C1739" t="s">
        <v>513</v>
      </c>
      <c r="D1739" t="s">
        <v>585</v>
      </c>
      <c r="E1739" t="s">
        <v>443</v>
      </c>
      <c r="F1739" t="s">
        <v>431</v>
      </c>
      <c r="G1739" t="s">
        <v>421</v>
      </c>
      <c r="H1739" t="s">
        <v>231</v>
      </c>
      <c r="J1739" t="s">
        <v>52</v>
      </c>
      <c r="K1739" s="15">
        <v>85400</v>
      </c>
      <c r="L1739" s="15">
        <v>0</v>
      </c>
      <c r="M1739" s="13">
        <v>45286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 t="s">
        <v>242</v>
      </c>
      <c r="AC1739">
        <v>1</v>
      </c>
      <c r="AD1739">
        <v>85400</v>
      </c>
      <c r="AE1739">
        <v>0</v>
      </c>
      <c r="AF1739">
        <v>0</v>
      </c>
      <c r="AG1739">
        <v>5379.8013044269173</v>
      </c>
      <c r="AH1739" t="s">
        <v>58</v>
      </c>
    </row>
    <row r="1740" spans="1:34" x14ac:dyDescent="0.3">
      <c r="A1740" t="s">
        <v>798</v>
      </c>
      <c r="B1740">
        <v>12200035</v>
      </c>
      <c r="C1740" t="s">
        <v>632</v>
      </c>
      <c r="D1740" t="s">
        <v>631</v>
      </c>
      <c r="E1740" t="s">
        <v>435</v>
      </c>
      <c r="F1740" t="s">
        <v>427</v>
      </c>
      <c r="G1740" t="s">
        <v>230</v>
      </c>
      <c r="H1740" t="s">
        <v>230</v>
      </c>
      <c r="J1740" t="s">
        <v>52</v>
      </c>
      <c r="K1740" s="15">
        <v>1500</v>
      </c>
      <c r="M1740" s="13">
        <v>45286</v>
      </c>
      <c r="O1740">
        <v>0</v>
      </c>
      <c r="P1740">
        <v>0</v>
      </c>
      <c r="Q1740">
        <v>0</v>
      </c>
      <c r="R1740">
        <v>0</v>
      </c>
      <c r="S1740">
        <v>63099.029999999984</v>
      </c>
      <c r="T1740">
        <v>0</v>
      </c>
      <c r="U1740">
        <v>0</v>
      </c>
      <c r="V1740">
        <v>79907.710000000006</v>
      </c>
      <c r="W1740">
        <v>0</v>
      </c>
      <c r="X1740">
        <v>0</v>
      </c>
      <c r="Y1740">
        <v>143006.74</v>
      </c>
      <c r="Z1740">
        <v>0</v>
      </c>
      <c r="AA1740">
        <v>143006.74</v>
      </c>
      <c r="AB1740" t="s">
        <v>242</v>
      </c>
      <c r="AC1740">
        <v>10</v>
      </c>
      <c r="AD1740">
        <v>15000</v>
      </c>
      <c r="AE1740">
        <v>0</v>
      </c>
      <c r="AF1740">
        <v>0</v>
      </c>
      <c r="AG1740">
        <v>0</v>
      </c>
      <c r="AH1740" t="s">
        <v>58</v>
      </c>
    </row>
    <row r="1741" spans="1:34" x14ac:dyDescent="0.3">
      <c r="A1741" t="s">
        <v>798</v>
      </c>
      <c r="B1741">
        <v>42201303</v>
      </c>
      <c r="C1741">
        <v>2756021217</v>
      </c>
      <c r="D1741" s="38" t="s">
        <v>306</v>
      </c>
      <c r="E1741" t="s">
        <v>439</v>
      </c>
      <c r="F1741" t="s">
        <v>430</v>
      </c>
      <c r="G1741" t="s">
        <v>237</v>
      </c>
      <c r="H1741" t="s">
        <v>234</v>
      </c>
      <c r="J1741" s="37" t="s">
        <v>425</v>
      </c>
      <c r="K1741">
        <v>10000</v>
      </c>
      <c r="L1741" s="15">
        <v>4521</v>
      </c>
      <c r="M1741" s="13">
        <v>45287</v>
      </c>
      <c r="O1741">
        <v>4521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323363.43925233645</v>
      </c>
      <c r="Y1741">
        <v>327884.43925233645</v>
      </c>
      <c r="Z1741">
        <v>22635.440747663553</v>
      </c>
      <c r="AA1741">
        <v>350519.88</v>
      </c>
      <c r="AB1741" t="s">
        <v>242</v>
      </c>
      <c r="AC1741">
        <v>0</v>
      </c>
      <c r="AD1741">
        <v>0</v>
      </c>
      <c r="AE1741">
        <v>0</v>
      </c>
      <c r="AF1741">
        <v>10700</v>
      </c>
      <c r="AG1741">
        <v>700</v>
      </c>
      <c r="AH1741" t="s">
        <v>72</v>
      </c>
    </row>
    <row r="1742" spans="1:34" x14ac:dyDescent="0.3">
      <c r="A1742" t="s">
        <v>798</v>
      </c>
      <c r="B1742">
        <v>52200211</v>
      </c>
      <c r="C1742">
        <v>23337248</v>
      </c>
      <c r="D1742" s="38" t="s">
        <v>307</v>
      </c>
      <c r="E1742" t="s">
        <v>436</v>
      </c>
      <c r="F1742" t="s">
        <v>431</v>
      </c>
      <c r="G1742" t="s">
        <v>232</v>
      </c>
      <c r="H1742" t="s">
        <v>83</v>
      </c>
      <c r="J1742" s="37" t="s">
        <v>425</v>
      </c>
      <c r="K1742">
        <v>50000</v>
      </c>
      <c r="L1742" s="15">
        <v>533</v>
      </c>
      <c r="M1742" s="13">
        <v>45287</v>
      </c>
      <c r="O1742">
        <v>533</v>
      </c>
      <c r="P1742">
        <v>0</v>
      </c>
      <c r="Q1742">
        <v>0</v>
      </c>
      <c r="R1742">
        <v>1039</v>
      </c>
      <c r="S1742">
        <v>17845.01623342606</v>
      </c>
      <c r="T1742">
        <v>0</v>
      </c>
      <c r="U1742">
        <v>0</v>
      </c>
      <c r="V1742">
        <v>48181.153238143488</v>
      </c>
      <c r="W1742">
        <v>0</v>
      </c>
      <c r="X1742">
        <v>0</v>
      </c>
      <c r="Y1742">
        <v>67598.169471569548</v>
      </c>
      <c r="Z1742">
        <v>4621.8318630098693</v>
      </c>
      <c r="AA1742">
        <v>72220.001334579414</v>
      </c>
      <c r="AB1742" t="s">
        <v>242</v>
      </c>
      <c r="AC1742">
        <v>0</v>
      </c>
      <c r="AD1742">
        <v>0</v>
      </c>
      <c r="AE1742">
        <v>0</v>
      </c>
      <c r="AF1742">
        <v>53500</v>
      </c>
      <c r="AG1742">
        <v>3500</v>
      </c>
      <c r="AH1742" t="s">
        <v>72</v>
      </c>
    </row>
    <row r="1743" spans="1:34" x14ac:dyDescent="0.3">
      <c r="A1743" t="s">
        <v>798</v>
      </c>
      <c r="B1743">
        <v>52201481</v>
      </c>
      <c r="C1743">
        <v>29552770</v>
      </c>
      <c r="D1743" s="38" t="s">
        <v>308</v>
      </c>
      <c r="E1743" t="s">
        <v>438</v>
      </c>
      <c r="F1743" t="s">
        <v>431</v>
      </c>
      <c r="G1743" t="s">
        <v>232</v>
      </c>
      <c r="H1743" t="s">
        <v>83</v>
      </c>
      <c r="J1743" s="37" t="s">
        <v>425</v>
      </c>
      <c r="K1743">
        <v>28000</v>
      </c>
      <c r="L1743" s="15">
        <v>21</v>
      </c>
      <c r="M1743" s="13">
        <v>45287</v>
      </c>
      <c r="O1743">
        <v>21</v>
      </c>
      <c r="P1743">
        <v>0</v>
      </c>
      <c r="Q1743">
        <v>0</v>
      </c>
      <c r="R1743">
        <v>1039</v>
      </c>
      <c r="S1743">
        <v>13193.019460062498</v>
      </c>
      <c r="T1743">
        <v>0</v>
      </c>
      <c r="U1743">
        <v>0</v>
      </c>
      <c r="V1743">
        <v>34300.438441064231</v>
      </c>
      <c r="W1743">
        <v>0</v>
      </c>
      <c r="X1743">
        <v>0</v>
      </c>
      <c r="Y1743">
        <v>48553.457901126727</v>
      </c>
      <c r="Z1743">
        <v>3324.542053078871</v>
      </c>
      <c r="AA1743">
        <v>51877.999954205596</v>
      </c>
      <c r="AB1743" t="s">
        <v>242</v>
      </c>
      <c r="AC1743">
        <v>0</v>
      </c>
      <c r="AD1743">
        <v>0</v>
      </c>
      <c r="AE1743">
        <v>0</v>
      </c>
      <c r="AF1743">
        <v>29960</v>
      </c>
      <c r="AG1743">
        <v>1960</v>
      </c>
      <c r="AH1743" t="s">
        <v>72</v>
      </c>
    </row>
    <row r="1744" spans="1:34" x14ac:dyDescent="0.3">
      <c r="A1744" t="s">
        <v>798</v>
      </c>
      <c r="B1744">
        <v>4142300322</v>
      </c>
      <c r="C1744">
        <v>10143329</v>
      </c>
      <c r="D1744" t="s">
        <v>309</v>
      </c>
      <c r="E1744" t="s">
        <v>445</v>
      </c>
      <c r="F1744" t="s">
        <v>430</v>
      </c>
      <c r="G1744" t="s">
        <v>237</v>
      </c>
      <c r="H1744" t="s">
        <v>234</v>
      </c>
      <c r="J1744" t="s">
        <v>425</v>
      </c>
      <c r="K1744" s="15">
        <v>102000</v>
      </c>
      <c r="L1744" s="15">
        <v>46</v>
      </c>
      <c r="M1744" s="13">
        <v>45287</v>
      </c>
      <c r="O1744">
        <v>46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263584.11214953271</v>
      </c>
      <c r="Y1744">
        <v>263630.11214953271</v>
      </c>
      <c r="Z1744">
        <v>18450.88785046729</v>
      </c>
      <c r="AA1744">
        <v>282081</v>
      </c>
      <c r="AB1744" t="s">
        <v>242</v>
      </c>
      <c r="AC1744">
        <v>0</v>
      </c>
      <c r="AD1744">
        <v>0</v>
      </c>
      <c r="AE1744">
        <v>0</v>
      </c>
      <c r="AF1744">
        <v>109140</v>
      </c>
      <c r="AG1744">
        <v>7140</v>
      </c>
      <c r="AH1744" t="s">
        <v>72</v>
      </c>
    </row>
    <row r="1745" spans="1:34" x14ac:dyDescent="0.3">
      <c r="A1745" t="s">
        <v>798</v>
      </c>
      <c r="B1745">
        <v>4142300750</v>
      </c>
      <c r="C1745">
        <v>10344889</v>
      </c>
      <c r="D1745" t="s">
        <v>310</v>
      </c>
      <c r="E1745" t="s">
        <v>445</v>
      </c>
      <c r="F1745" t="s">
        <v>430</v>
      </c>
      <c r="G1745" t="s">
        <v>237</v>
      </c>
      <c r="H1745" t="s">
        <v>234</v>
      </c>
      <c r="J1745" t="s">
        <v>425</v>
      </c>
      <c r="K1745" s="15">
        <v>10000</v>
      </c>
      <c r="L1745" s="15">
        <v>46</v>
      </c>
      <c r="M1745" s="13">
        <v>45287</v>
      </c>
      <c r="O1745">
        <v>46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155053.91588785048</v>
      </c>
      <c r="Y1745">
        <v>155099.91588785048</v>
      </c>
      <c r="Z1745">
        <v>10853.774112149535</v>
      </c>
      <c r="AA1745">
        <v>165953.69</v>
      </c>
      <c r="AB1745" t="s">
        <v>242</v>
      </c>
      <c r="AC1745">
        <v>0</v>
      </c>
      <c r="AD1745">
        <v>0</v>
      </c>
      <c r="AE1745">
        <v>0</v>
      </c>
      <c r="AF1745">
        <v>10700</v>
      </c>
      <c r="AG1745">
        <v>700</v>
      </c>
      <c r="AH1745" t="s">
        <v>72</v>
      </c>
    </row>
    <row r="1746" spans="1:34" x14ac:dyDescent="0.3">
      <c r="A1746" t="s">
        <v>798</v>
      </c>
      <c r="B1746">
        <v>4142301082</v>
      </c>
      <c r="C1746">
        <v>10631300</v>
      </c>
      <c r="D1746" t="s">
        <v>311</v>
      </c>
      <c r="E1746" t="s">
        <v>445</v>
      </c>
      <c r="F1746" t="s">
        <v>430</v>
      </c>
      <c r="G1746" t="s">
        <v>237</v>
      </c>
      <c r="H1746" t="s">
        <v>234</v>
      </c>
      <c r="J1746" t="s">
        <v>425</v>
      </c>
      <c r="K1746" s="15">
        <v>107000</v>
      </c>
      <c r="L1746" s="15">
        <v>23</v>
      </c>
      <c r="M1746" s="13">
        <v>45287</v>
      </c>
      <c r="O1746">
        <v>23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413948.79439252336</v>
      </c>
      <c r="Y1746">
        <v>413971.79439252336</v>
      </c>
      <c r="Z1746">
        <v>28976.415607476636</v>
      </c>
      <c r="AA1746">
        <v>442948.20999999996</v>
      </c>
      <c r="AB1746" t="s">
        <v>242</v>
      </c>
      <c r="AC1746">
        <v>0</v>
      </c>
      <c r="AD1746">
        <v>0</v>
      </c>
      <c r="AE1746">
        <v>0</v>
      </c>
      <c r="AF1746">
        <v>114490</v>
      </c>
      <c r="AG1746">
        <v>7490</v>
      </c>
      <c r="AH1746" t="s">
        <v>72</v>
      </c>
    </row>
    <row r="1747" spans="1:34" x14ac:dyDescent="0.3">
      <c r="A1747" t="s">
        <v>798</v>
      </c>
      <c r="B1747">
        <v>42201075</v>
      </c>
      <c r="C1747">
        <v>2759026295</v>
      </c>
      <c r="D1747" t="s">
        <v>828</v>
      </c>
      <c r="E1747" t="s">
        <v>439</v>
      </c>
      <c r="F1747" t="s">
        <v>430</v>
      </c>
      <c r="G1747" t="s">
        <v>233</v>
      </c>
      <c r="H1747" t="s">
        <v>234</v>
      </c>
      <c r="J1747" t="s">
        <v>52</v>
      </c>
      <c r="K1747" s="15">
        <v>16257</v>
      </c>
      <c r="L1747" s="15">
        <v>0</v>
      </c>
      <c r="M1747" s="13">
        <v>45287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157067.47663551403</v>
      </c>
      <c r="Y1747">
        <v>157067.47663551403</v>
      </c>
      <c r="Z1747">
        <v>10994.723364485983</v>
      </c>
      <c r="AA1747">
        <v>168062.2</v>
      </c>
      <c r="AB1747" t="s">
        <v>242</v>
      </c>
      <c r="AC1747">
        <v>2</v>
      </c>
      <c r="AD1747">
        <v>83030.95</v>
      </c>
      <c r="AE1747">
        <v>0</v>
      </c>
      <c r="AF1747">
        <v>0</v>
      </c>
      <c r="AG1747">
        <v>5431.9313084112146</v>
      </c>
      <c r="AH1747" t="s">
        <v>58</v>
      </c>
    </row>
    <row r="1748" spans="1:34" x14ac:dyDescent="0.3">
      <c r="A1748" t="s">
        <v>798</v>
      </c>
      <c r="B1748">
        <v>52200157</v>
      </c>
      <c r="C1748">
        <v>23791485</v>
      </c>
      <c r="D1748" t="s">
        <v>839</v>
      </c>
      <c r="E1748" t="s">
        <v>436</v>
      </c>
      <c r="F1748" t="s">
        <v>431</v>
      </c>
      <c r="G1748" t="s">
        <v>82</v>
      </c>
      <c r="H1748" t="s">
        <v>83</v>
      </c>
      <c r="J1748" t="s">
        <v>52</v>
      </c>
      <c r="K1748" s="15">
        <v>1500</v>
      </c>
      <c r="L1748" s="15">
        <v>0</v>
      </c>
      <c r="M1748" s="13">
        <v>45287</v>
      </c>
      <c r="O1748">
        <v>0</v>
      </c>
      <c r="P1748">
        <v>0</v>
      </c>
      <c r="Q1748">
        <v>0</v>
      </c>
      <c r="R1748">
        <v>876.99665289834434</v>
      </c>
      <c r="S1748">
        <v>17676.03258223318</v>
      </c>
      <c r="T1748">
        <v>0</v>
      </c>
      <c r="U1748">
        <v>0</v>
      </c>
      <c r="V1748">
        <v>75485.65319241854</v>
      </c>
      <c r="W1748">
        <v>0</v>
      </c>
      <c r="X1748">
        <v>0</v>
      </c>
      <c r="Y1748">
        <v>94038.682427550069</v>
      </c>
      <c r="Z1748">
        <v>6521.3180042256208</v>
      </c>
      <c r="AA1748">
        <v>100560.0004317757</v>
      </c>
      <c r="AB1748" t="s">
        <v>242</v>
      </c>
      <c r="AC1748">
        <v>1</v>
      </c>
      <c r="AD1748">
        <v>1500</v>
      </c>
      <c r="AE1748">
        <v>0</v>
      </c>
      <c r="AF1748">
        <v>0</v>
      </c>
      <c r="AG1748">
        <v>97.214734301760927</v>
      </c>
      <c r="AH1748" t="s">
        <v>72</v>
      </c>
    </row>
    <row r="1749" spans="1:34" x14ac:dyDescent="0.3">
      <c r="A1749" t="s">
        <v>798</v>
      </c>
      <c r="B1749">
        <v>52201459</v>
      </c>
      <c r="C1749">
        <v>30148727</v>
      </c>
      <c r="D1749" t="s">
        <v>880</v>
      </c>
      <c r="E1749" t="s">
        <v>438</v>
      </c>
      <c r="F1749" t="s">
        <v>431</v>
      </c>
      <c r="G1749" t="s">
        <v>82</v>
      </c>
      <c r="H1749" t="s">
        <v>83</v>
      </c>
      <c r="J1749" t="s">
        <v>52</v>
      </c>
      <c r="K1749" s="15">
        <v>2500</v>
      </c>
      <c r="L1749" s="15">
        <v>0</v>
      </c>
      <c r="M1749" s="13">
        <v>45287</v>
      </c>
      <c r="O1749">
        <v>0</v>
      </c>
      <c r="P1749">
        <v>0</v>
      </c>
      <c r="Q1749">
        <v>0</v>
      </c>
      <c r="R1749">
        <v>1005.9912837012662</v>
      </c>
      <c r="S1749">
        <v>19739.260482522179</v>
      </c>
      <c r="T1749">
        <v>0</v>
      </c>
      <c r="U1749">
        <v>0</v>
      </c>
      <c r="V1749">
        <v>55607.476635514016</v>
      </c>
      <c r="W1749">
        <v>0</v>
      </c>
      <c r="X1749">
        <v>0</v>
      </c>
      <c r="Y1749">
        <v>76352.728401737462</v>
      </c>
      <c r="Z1749">
        <v>5274.2715982625341</v>
      </c>
      <c r="AA1749">
        <v>81627</v>
      </c>
      <c r="AB1749" t="s">
        <v>242</v>
      </c>
      <c r="AC1749">
        <v>1</v>
      </c>
      <c r="AD1749">
        <v>2500</v>
      </c>
      <c r="AE1749">
        <v>0</v>
      </c>
      <c r="AF1749">
        <v>0</v>
      </c>
      <c r="AG1749">
        <v>161.39195313933533</v>
      </c>
      <c r="AH1749" t="s">
        <v>72</v>
      </c>
    </row>
    <row r="1750" spans="1:34" x14ac:dyDescent="0.3">
      <c r="A1750" t="s">
        <v>798</v>
      </c>
      <c r="B1750">
        <v>4142300044</v>
      </c>
      <c r="C1750">
        <v>120810</v>
      </c>
      <c r="D1750" t="s">
        <v>186</v>
      </c>
      <c r="E1750" t="s">
        <v>444</v>
      </c>
      <c r="F1750" t="s">
        <v>430</v>
      </c>
      <c r="G1750" t="s">
        <v>233</v>
      </c>
      <c r="H1750" t="s">
        <v>231</v>
      </c>
      <c r="J1750" t="s">
        <v>52</v>
      </c>
      <c r="K1750" s="15">
        <v>1637</v>
      </c>
      <c r="L1750" s="15">
        <v>0</v>
      </c>
      <c r="M1750" s="13">
        <v>45287</v>
      </c>
      <c r="O1750">
        <v>0</v>
      </c>
      <c r="P1750">
        <v>0</v>
      </c>
      <c r="Q1750">
        <v>14589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14589</v>
      </c>
      <c r="Z1750">
        <v>0</v>
      </c>
      <c r="AA1750">
        <v>14589</v>
      </c>
      <c r="AB1750" t="s">
        <v>242</v>
      </c>
      <c r="AC1750">
        <v>5</v>
      </c>
      <c r="AD1750">
        <v>11411</v>
      </c>
      <c r="AE1750">
        <v>0</v>
      </c>
      <c r="AF1750">
        <v>0</v>
      </c>
      <c r="AG1750">
        <v>0</v>
      </c>
      <c r="AH1750" t="s">
        <v>58</v>
      </c>
    </row>
    <row r="1751" spans="1:34" x14ac:dyDescent="0.3">
      <c r="A1751" t="s">
        <v>798</v>
      </c>
      <c r="B1751">
        <v>4142300794</v>
      </c>
      <c r="C1751">
        <v>10379208</v>
      </c>
      <c r="D1751" t="s">
        <v>209</v>
      </c>
      <c r="E1751" t="s">
        <v>445</v>
      </c>
      <c r="F1751" t="s">
        <v>430</v>
      </c>
      <c r="G1751" t="s">
        <v>230</v>
      </c>
      <c r="H1751" t="s">
        <v>234</v>
      </c>
      <c r="J1751" t="s">
        <v>52</v>
      </c>
      <c r="K1751" s="15">
        <v>50000</v>
      </c>
      <c r="L1751" s="15">
        <v>0</v>
      </c>
      <c r="M1751" s="13">
        <v>45287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440280.62616822426</v>
      </c>
      <c r="Y1751">
        <v>440280.62616822426</v>
      </c>
      <c r="Z1751">
        <v>30819.643831775702</v>
      </c>
      <c r="AA1751">
        <v>471100.26999999996</v>
      </c>
      <c r="AB1751" t="s">
        <v>242</v>
      </c>
      <c r="AC1751">
        <v>5</v>
      </c>
      <c r="AD1751">
        <v>77000</v>
      </c>
      <c r="AE1751">
        <v>0</v>
      </c>
      <c r="AF1751">
        <v>0</v>
      </c>
      <c r="AG1751">
        <v>5037.3831775700937</v>
      </c>
      <c r="AH1751" t="s">
        <v>58</v>
      </c>
    </row>
    <row r="1752" spans="1:34" x14ac:dyDescent="0.3">
      <c r="A1752" t="s">
        <v>798</v>
      </c>
      <c r="B1752">
        <v>4142300939</v>
      </c>
      <c r="C1752">
        <v>10449473</v>
      </c>
      <c r="D1752" t="s">
        <v>214</v>
      </c>
      <c r="E1752" t="s">
        <v>445</v>
      </c>
      <c r="F1752" t="s">
        <v>430</v>
      </c>
      <c r="G1752" t="s">
        <v>230</v>
      </c>
      <c r="H1752" t="s">
        <v>234</v>
      </c>
      <c r="J1752" t="s">
        <v>52</v>
      </c>
      <c r="K1752" s="15">
        <v>1000</v>
      </c>
      <c r="L1752" s="15">
        <v>0</v>
      </c>
      <c r="M1752" s="13">
        <v>45287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333554.21495327103</v>
      </c>
      <c r="Y1752">
        <v>333554.21495327103</v>
      </c>
      <c r="Z1752">
        <v>23348.795046728974</v>
      </c>
      <c r="AA1752">
        <v>356903.01</v>
      </c>
      <c r="AB1752" t="s">
        <v>242</v>
      </c>
      <c r="AC1752">
        <v>4</v>
      </c>
      <c r="AD1752">
        <v>3000</v>
      </c>
      <c r="AE1752">
        <v>0</v>
      </c>
      <c r="AF1752">
        <v>0</v>
      </c>
      <c r="AG1752">
        <v>196.26168224299067</v>
      </c>
      <c r="AH1752" t="s">
        <v>58</v>
      </c>
    </row>
    <row r="1753" spans="1:34" x14ac:dyDescent="0.3">
      <c r="A1753" t="s">
        <v>798</v>
      </c>
      <c r="B1753">
        <v>4142301595</v>
      </c>
      <c r="C1753">
        <v>10644724</v>
      </c>
      <c r="D1753" t="s">
        <v>218</v>
      </c>
      <c r="E1753" t="s">
        <v>446</v>
      </c>
      <c r="F1753" t="s">
        <v>430</v>
      </c>
      <c r="G1753" t="s">
        <v>230</v>
      </c>
      <c r="H1753" t="s">
        <v>234</v>
      </c>
      <c r="J1753" t="s">
        <v>52</v>
      </c>
      <c r="K1753" s="15">
        <v>1000</v>
      </c>
      <c r="L1753" s="15">
        <v>0</v>
      </c>
      <c r="M1753" s="13">
        <v>45287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660635.51401869149</v>
      </c>
      <c r="Y1753">
        <v>660635.51401869149</v>
      </c>
      <c r="Z1753">
        <v>46244.485981308411</v>
      </c>
      <c r="AA1753">
        <v>706879.99999999988</v>
      </c>
      <c r="AB1753" t="s">
        <v>242</v>
      </c>
      <c r="AC1753">
        <v>1</v>
      </c>
      <c r="AD1753">
        <v>1000</v>
      </c>
      <c r="AE1753">
        <v>0</v>
      </c>
      <c r="AF1753">
        <v>0</v>
      </c>
      <c r="AG1753">
        <v>65.420560747663558</v>
      </c>
      <c r="AH1753" t="s">
        <v>72</v>
      </c>
    </row>
    <row r="1754" spans="1:34" x14ac:dyDescent="0.3">
      <c r="A1754" t="s">
        <v>798</v>
      </c>
      <c r="B1754">
        <v>4302300029</v>
      </c>
      <c r="C1754">
        <v>901014004279</v>
      </c>
      <c r="D1754" t="s">
        <v>226</v>
      </c>
      <c r="E1754" t="s">
        <v>447</v>
      </c>
      <c r="F1754" t="s">
        <v>433</v>
      </c>
      <c r="G1754" t="s">
        <v>82</v>
      </c>
      <c r="H1754" t="s">
        <v>83</v>
      </c>
      <c r="J1754" t="s">
        <v>52</v>
      </c>
      <c r="K1754" s="15">
        <v>4000</v>
      </c>
      <c r="L1754" s="15">
        <v>0</v>
      </c>
      <c r="M1754" s="13">
        <v>45287</v>
      </c>
      <c r="O1754">
        <v>0</v>
      </c>
      <c r="P1754">
        <v>0</v>
      </c>
      <c r="Q1754">
        <v>24380.487887905896</v>
      </c>
      <c r="R1754">
        <v>17136.900000000001</v>
      </c>
      <c r="S1754">
        <v>61219.52608606928</v>
      </c>
      <c r="T1754">
        <v>0</v>
      </c>
      <c r="U1754">
        <v>0</v>
      </c>
      <c r="V1754">
        <v>332423.83</v>
      </c>
      <c r="W1754">
        <v>0</v>
      </c>
      <c r="X1754">
        <v>0</v>
      </c>
      <c r="Y1754">
        <v>435160.74397397519</v>
      </c>
      <c r="Z1754">
        <v>27555.034926024855</v>
      </c>
      <c r="AA1754">
        <v>462715.77890000003</v>
      </c>
      <c r="AB1754" t="s">
        <v>242</v>
      </c>
      <c r="AC1754">
        <v>6</v>
      </c>
      <c r="AD1754">
        <v>24000</v>
      </c>
      <c r="AE1754">
        <v>0</v>
      </c>
      <c r="AF1754">
        <v>0</v>
      </c>
      <c r="AG1754">
        <v>1420.0139739751521</v>
      </c>
      <c r="AH1754" t="s">
        <v>58</v>
      </c>
    </row>
    <row r="1755" spans="1:34" x14ac:dyDescent="0.3">
      <c r="A1755" t="s">
        <v>798</v>
      </c>
      <c r="B1755">
        <v>4302300031</v>
      </c>
      <c r="C1755">
        <v>901014009726</v>
      </c>
      <c r="D1755" t="s">
        <v>226</v>
      </c>
      <c r="E1755" t="s">
        <v>447</v>
      </c>
      <c r="F1755" t="s">
        <v>433</v>
      </c>
      <c r="G1755" t="s">
        <v>82</v>
      </c>
      <c r="H1755" t="s">
        <v>83</v>
      </c>
      <c r="J1755" t="s">
        <v>52</v>
      </c>
      <c r="K1755" s="15">
        <v>4500</v>
      </c>
      <c r="L1755" s="15">
        <v>0</v>
      </c>
      <c r="M1755" s="13">
        <v>45287</v>
      </c>
      <c r="O1755">
        <v>0</v>
      </c>
      <c r="P1755">
        <v>0</v>
      </c>
      <c r="Q1755">
        <v>24337.350310847774</v>
      </c>
      <c r="R1755">
        <v>17745.22</v>
      </c>
      <c r="S1755">
        <v>62628.779616030108</v>
      </c>
      <c r="T1755">
        <v>0</v>
      </c>
      <c r="U1755">
        <v>0</v>
      </c>
      <c r="V1755">
        <v>367732.35</v>
      </c>
      <c r="W1755">
        <v>0</v>
      </c>
      <c r="X1755">
        <v>0</v>
      </c>
      <c r="Y1755">
        <v>472443.69992687786</v>
      </c>
      <c r="Z1755">
        <v>30125.27907312211</v>
      </c>
      <c r="AA1755">
        <v>502568.97899999999</v>
      </c>
      <c r="AB1755" t="s">
        <v>242</v>
      </c>
      <c r="AC1755">
        <v>6</v>
      </c>
      <c r="AD1755">
        <v>27000</v>
      </c>
      <c r="AE1755">
        <v>0</v>
      </c>
      <c r="AF1755">
        <v>0</v>
      </c>
      <c r="AG1755">
        <v>1608.709926877892</v>
      </c>
      <c r="AH1755" t="s">
        <v>58</v>
      </c>
    </row>
    <row r="1756" spans="1:34" x14ac:dyDescent="0.3">
      <c r="A1756" t="s">
        <v>798</v>
      </c>
      <c r="B1756">
        <v>4302300032</v>
      </c>
      <c r="C1756">
        <v>901014009730</v>
      </c>
      <c r="D1756" t="s">
        <v>226</v>
      </c>
      <c r="E1756" t="s">
        <v>447</v>
      </c>
      <c r="F1756" t="s">
        <v>433</v>
      </c>
      <c r="G1756" t="s">
        <v>82</v>
      </c>
      <c r="H1756" t="s">
        <v>83</v>
      </c>
      <c r="J1756" t="s">
        <v>52</v>
      </c>
      <c r="K1756" s="15">
        <v>4500</v>
      </c>
      <c r="L1756" s="15">
        <v>0</v>
      </c>
      <c r="M1756" s="13">
        <v>45287</v>
      </c>
      <c r="O1756">
        <v>0</v>
      </c>
      <c r="P1756">
        <v>0</v>
      </c>
      <c r="Q1756">
        <v>24338.125924074073</v>
      </c>
      <c r="R1756">
        <v>16879.09</v>
      </c>
      <c r="S1756">
        <v>62647.098856005519</v>
      </c>
      <c r="T1756">
        <v>0</v>
      </c>
      <c r="U1756">
        <v>0</v>
      </c>
      <c r="V1756">
        <v>367159.58</v>
      </c>
      <c r="W1756">
        <v>0</v>
      </c>
      <c r="X1756">
        <v>0</v>
      </c>
      <c r="Y1756">
        <v>471023.8947800796</v>
      </c>
      <c r="Z1756">
        <v>30086.467519920392</v>
      </c>
      <c r="AA1756">
        <v>501110.36229999998</v>
      </c>
      <c r="AB1756" t="s">
        <v>242</v>
      </c>
      <c r="AC1756">
        <v>6</v>
      </c>
      <c r="AD1756">
        <v>27000</v>
      </c>
      <c r="AE1756">
        <v>0</v>
      </c>
      <c r="AF1756">
        <v>0</v>
      </c>
      <c r="AG1756">
        <v>1611.4847800796128</v>
      </c>
      <c r="AH1756" t="s">
        <v>58</v>
      </c>
    </row>
    <row r="1757" spans="1:34" x14ac:dyDescent="0.3">
      <c r="A1757" t="s">
        <v>798</v>
      </c>
      <c r="B1757">
        <v>4302300033</v>
      </c>
      <c r="C1757">
        <v>901015003340</v>
      </c>
      <c r="D1757" t="s">
        <v>226</v>
      </c>
      <c r="E1757" t="s">
        <v>447</v>
      </c>
      <c r="F1757" t="s">
        <v>433</v>
      </c>
      <c r="G1757" t="s">
        <v>82</v>
      </c>
      <c r="H1757" t="s">
        <v>83</v>
      </c>
      <c r="J1757" t="s">
        <v>52</v>
      </c>
      <c r="K1757" s="15">
        <v>15000</v>
      </c>
      <c r="L1757" s="15">
        <v>0</v>
      </c>
      <c r="M1757" s="13">
        <v>45287</v>
      </c>
      <c r="O1757">
        <v>0</v>
      </c>
      <c r="P1757">
        <v>0</v>
      </c>
      <c r="Q1757">
        <v>82725.621765848075</v>
      </c>
      <c r="R1757">
        <v>40974.17</v>
      </c>
      <c r="S1757">
        <v>183696.58433098308</v>
      </c>
      <c r="T1757">
        <v>0</v>
      </c>
      <c r="U1757">
        <v>0</v>
      </c>
      <c r="V1757">
        <v>1237914.08</v>
      </c>
      <c r="W1757">
        <v>0</v>
      </c>
      <c r="X1757">
        <v>0</v>
      </c>
      <c r="Y1757">
        <v>1545310.4560968312</v>
      </c>
      <c r="Z1757">
        <v>99512.746503168819</v>
      </c>
      <c r="AA1757">
        <v>1644823.2026</v>
      </c>
      <c r="AB1757" t="s">
        <v>242</v>
      </c>
      <c r="AC1757">
        <v>6</v>
      </c>
      <c r="AD1757">
        <v>90000</v>
      </c>
      <c r="AE1757">
        <v>0</v>
      </c>
      <c r="AF1757">
        <v>0</v>
      </c>
      <c r="AG1757">
        <v>5415.5860968311845</v>
      </c>
      <c r="AH1757" t="s">
        <v>58</v>
      </c>
    </row>
    <row r="1758" spans="1:34" x14ac:dyDescent="0.3">
      <c r="A1758" t="s">
        <v>798</v>
      </c>
      <c r="B1758">
        <v>4302300034</v>
      </c>
      <c r="C1758">
        <v>901015004122</v>
      </c>
      <c r="D1758" t="s">
        <v>226</v>
      </c>
      <c r="E1758" t="s">
        <v>447</v>
      </c>
      <c r="F1758" t="s">
        <v>433</v>
      </c>
      <c r="G1758" t="s">
        <v>82</v>
      </c>
      <c r="H1758" t="s">
        <v>83</v>
      </c>
      <c r="J1758" t="s">
        <v>52</v>
      </c>
      <c r="K1758" s="15">
        <v>13000</v>
      </c>
      <c r="L1758" s="15">
        <v>0</v>
      </c>
      <c r="M1758" s="13">
        <v>45287</v>
      </c>
      <c r="O1758">
        <v>0</v>
      </c>
      <c r="P1758">
        <v>0</v>
      </c>
      <c r="Q1758">
        <v>74157.278046016188</v>
      </c>
      <c r="R1758">
        <v>28517.54</v>
      </c>
      <c r="S1758">
        <v>163958.95967662038</v>
      </c>
      <c r="T1758">
        <v>0</v>
      </c>
      <c r="U1758">
        <v>0</v>
      </c>
      <c r="V1758">
        <v>1103651.04</v>
      </c>
      <c r="W1758">
        <v>0</v>
      </c>
      <c r="X1758">
        <v>0</v>
      </c>
      <c r="Y1758">
        <v>1370284.8177226367</v>
      </c>
      <c r="Z1758">
        <v>88732.699977363431</v>
      </c>
      <c r="AA1758">
        <v>1459017.5177000002</v>
      </c>
      <c r="AB1758" t="s">
        <v>242</v>
      </c>
      <c r="AC1758">
        <v>5</v>
      </c>
      <c r="AD1758">
        <v>65000</v>
      </c>
      <c r="AE1758">
        <v>0</v>
      </c>
      <c r="AF1758">
        <v>0</v>
      </c>
      <c r="AG1758">
        <v>3933.1677226365737</v>
      </c>
      <c r="AH1758" t="s">
        <v>58</v>
      </c>
    </row>
    <row r="1759" spans="1:34" x14ac:dyDescent="0.3">
      <c r="A1759" t="s">
        <v>798</v>
      </c>
      <c r="B1759">
        <v>4302300035</v>
      </c>
      <c r="C1759">
        <v>901015004175</v>
      </c>
      <c r="D1759" t="s">
        <v>226</v>
      </c>
      <c r="E1759" t="s">
        <v>447</v>
      </c>
      <c r="F1759" t="s">
        <v>433</v>
      </c>
      <c r="G1759" t="s">
        <v>82</v>
      </c>
      <c r="H1759" t="s">
        <v>83</v>
      </c>
      <c r="J1759" t="s">
        <v>52</v>
      </c>
      <c r="K1759" s="15">
        <v>12000</v>
      </c>
      <c r="L1759" s="15">
        <v>0</v>
      </c>
      <c r="M1759" s="13">
        <v>45287</v>
      </c>
      <c r="O1759">
        <v>0</v>
      </c>
      <c r="P1759">
        <v>0</v>
      </c>
      <c r="Q1759">
        <v>66371.863251577539</v>
      </c>
      <c r="R1759">
        <v>21447.41</v>
      </c>
      <c r="S1759">
        <v>123587.12032562845</v>
      </c>
      <c r="T1759">
        <v>0</v>
      </c>
      <c r="U1759">
        <v>0</v>
      </c>
      <c r="V1759">
        <v>988232.46</v>
      </c>
      <c r="W1759">
        <v>0</v>
      </c>
      <c r="X1759">
        <v>0</v>
      </c>
      <c r="Y1759">
        <v>1199638.8535772059</v>
      </c>
      <c r="Z1759">
        <v>77827.370622793998</v>
      </c>
      <c r="AA1759">
        <v>1277466.2241999998</v>
      </c>
      <c r="AB1759" t="s">
        <v>242</v>
      </c>
      <c r="AC1759">
        <v>6</v>
      </c>
      <c r="AD1759">
        <v>72000</v>
      </c>
      <c r="AE1759">
        <v>0</v>
      </c>
      <c r="AF1759">
        <v>0</v>
      </c>
      <c r="AG1759">
        <v>4364.7435772060071</v>
      </c>
      <c r="AH1759" t="s">
        <v>58</v>
      </c>
    </row>
    <row r="1760" spans="1:34" x14ac:dyDescent="0.3">
      <c r="A1760" t="s">
        <v>798</v>
      </c>
      <c r="B1760">
        <v>4302300037</v>
      </c>
      <c r="C1760">
        <v>901016002166</v>
      </c>
      <c r="D1760" t="s">
        <v>226</v>
      </c>
      <c r="E1760" t="s">
        <v>447</v>
      </c>
      <c r="F1760" t="s">
        <v>433</v>
      </c>
      <c r="G1760" t="s">
        <v>82</v>
      </c>
      <c r="H1760" t="s">
        <v>83</v>
      </c>
      <c r="J1760" t="s">
        <v>52</v>
      </c>
      <c r="K1760" s="15">
        <v>25000</v>
      </c>
      <c r="L1760" s="15">
        <v>0</v>
      </c>
      <c r="M1760" s="13">
        <v>45287</v>
      </c>
      <c r="O1760">
        <v>0</v>
      </c>
      <c r="P1760">
        <v>0</v>
      </c>
      <c r="Q1760">
        <v>278500.7811352631</v>
      </c>
      <c r="R1760">
        <v>131054.42</v>
      </c>
      <c r="S1760">
        <v>522931.57426610915</v>
      </c>
      <c r="T1760">
        <v>0</v>
      </c>
      <c r="U1760">
        <v>0</v>
      </c>
      <c r="V1760">
        <v>4045543.13</v>
      </c>
      <c r="W1760">
        <v>0</v>
      </c>
      <c r="X1760">
        <v>0</v>
      </c>
      <c r="Y1760">
        <v>4978029.9054013724</v>
      </c>
      <c r="Z1760">
        <v>319793.22929862764</v>
      </c>
      <c r="AA1760">
        <v>5297823.1347000003</v>
      </c>
      <c r="AB1760" t="s">
        <v>242</v>
      </c>
      <c r="AC1760">
        <v>5</v>
      </c>
      <c r="AD1760">
        <v>125000</v>
      </c>
      <c r="AE1760">
        <v>0</v>
      </c>
      <c r="AF1760">
        <v>0</v>
      </c>
      <c r="AG1760">
        <v>7504.1754013723548</v>
      </c>
      <c r="AH1760" t="s">
        <v>58</v>
      </c>
    </row>
    <row r="1761" spans="1:34" x14ac:dyDescent="0.3">
      <c r="A1761" t="s">
        <v>798</v>
      </c>
      <c r="B1761">
        <v>4302300038</v>
      </c>
      <c r="C1761">
        <v>901016002316</v>
      </c>
      <c r="D1761" t="s">
        <v>226</v>
      </c>
      <c r="E1761" t="s">
        <v>447</v>
      </c>
      <c r="F1761" t="s">
        <v>433</v>
      </c>
      <c r="G1761" t="s">
        <v>82</v>
      </c>
      <c r="H1761" t="s">
        <v>83</v>
      </c>
      <c r="J1761" t="s">
        <v>52</v>
      </c>
      <c r="K1761" s="15">
        <v>3700</v>
      </c>
      <c r="L1761" s="15">
        <v>0</v>
      </c>
      <c r="M1761" s="13">
        <v>45287</v>
      </c>
      <c r="O1761">
        <v>0</v>
      </c>
      <c r="P1761">
        <v>0</v>
      </c>
      <c r="Q1761">
        <v>18943.876100023568</v>
      </c>
      <c r="R1761">
        <v>11130.72</v>
      </c>
      <c r="S1761">
        <v>26862.716915865822</v>
      </c>
      <c r="T1761">
        <v>0</v>
      </c>
      <c r="U1761">
        <v>0</v>
      </c>
      <c r="V1761">
        <v>290550.83</v>
      </c>
      <c r="W1761">
        <v>0</v>
      </c>
      <c r="X1761">
        <v>0</v>
      </c>
      <c r="Y1761">
        <v>347488.14301588939</v>
      </c>
      <c r="Z1761">
        <v>22218.948284110611</v>
      </c>
      <c r="AA1761">
        <v>369707.09130000003</v>
      </c>
      <c r="AB1761" t="s">
        <v>242</v>
      </c>
      <c r="AC1761">
        <v>6</v>
      </c>
      <c r="AD1761">
        <v>22200</v>
      </c>
      <c r="AE1761">
        <v>0</v>
      </c>
      <c r="AF1761">
        <v>0</v>
      </c>
      <c r="AG1761">
        <v>1326.363015889392</v>
      </c>
      <c r="AH1761" t="s">
        <v>58</v>
      </c>
    </row>
    <row r="1762" spans="1:34" x14ac:dyDescent="0.3">
      <c r="A1762" t="s">
        <v>798</v>
      </c>
      <c r="B1762">
        <v>4302300041</v>
      </c>
      <c r="C1762">
        <v>901016004670</v>
      </c>
      <c r="D1762" t="s">
        <v>226</v>
      </c>
      <c r="E1762" t="s">
        <v>447</v>
      </c>
      <c r="F1762" t="s">
        <v>433</v>
      </c>
      <c r="G1762" t="s">
        <v>82</v>
      </c>
      <c r="H1762" t="s">
        <v>83</v>
      </c>
      <c r="J1762" t="s">
        <v>52</v>
      </c>
      <c r="K1762" s="15">
        <v>12000</v>
      </c>
      <c r="L1762" s="15">
        <v>0</v>
      </c>
      <c r="M1762" s="13">
        <v>45287</v>
      </c>
      <c r="O1762">
        <v>0</v>
      </c>
      <c r="P1762">
        <v>0</v>
      </c>
      <c r="Q1762">
        <v>65714.301753070686</v>
      </c>
      <c r="R1762">
        <v>26910.12</v>
      </c>
      <c r="S1762">
        <v>97098.027613952654</v>
      </c>
      <c r="T1762">
        <v>0</v>
      </c>
      <c r="U1762">
        <v>0</v>
      </c>
      <c r="V1762">
        <v>981107.15</v>
      </c>
      <c r="W1762">
        <v>0</v>
      </c>
      <c r="X1762">
        <v>0</v>
      </c>
      <c r="Y1762">
        <v>1170829.5993670234</v>
      </c>
      <c r="Z1762">
        <v>75474.36243297669</v>
      </c>
      <c r="AA1762">
        <v>1246303.9618000002</v>
      </c>
      <c r="AB1762" t="s">
        <v>242</v>
      </c>
      <c r="AC1762">
        <v>5</v>
      </c>
      <c r="AD1762">
        <v>60000</v>
      </c>
      <c r="AE1762">
        <v>0</v>
      </c>
      <c r="AF1762">
        <v>0</v>
      </c>
      <c r="AG1762">
        <v>3614.1393670233156</v>
      </c>
      <c r="AH1762" t="s">
        <v>58</v>
      </c>
    </row>
    <row r="1763" spans="1:34" x14ac:dyDescent="0.3">
      <c r="A1763" t="s">
        <v>798</v>
      </c>
      <c r="B1763">
        <v>4302300046</v>
      </c>
      <c r="C1763">
        <v>901012034713</v>
      </c>
      <c r="D1763" t="s">
        <v>227</v>
      </c>
      <c r="E1763" t="s">
        <v>447</v>
      </c>
      <c r="F1763" t="s">
        <v>433</v>
      </c>
      <c r="G1763" t="s">
        <v>82</v>
      </c>
      <c r="H1763" t="s">
        <v>83</v>
      </c>
      <c r="J1763" t="s">
        <v>52</v>
      </c>
      <c r="K1763" s="15">
        <v>3000</v>
      </c>
      <c r="L1763" s="15">
        <v>0</v>
      </c>
      <c r="M1763" s="13">
        <v>45287</v>
      </c>
      <c r="O1763">
        <v>0</v>
      </c>
      <c r="P1763">
        <v>0</v>
      </c>
      <c r="Q1763">
        <v>51462.425323278228</v>
      </c>
      <c r="R1763">
        <v>46050.97</v>
      </c>
      <c r="S1763">
        <v>109875.77315581475</v>
      </c>
      <c r="T1763">
        <v>0</v>
      </c>
      <c r="U1763">
        <v>0</v>
      </c>
      <c r="V1763">
        <v>750980.5</v>
      </c>
      <c r="W1763">
        <v>0</v>
      </c>
      <c r="X1763">
        <v>0</v>
      </c>
      <c r="Y1763">
        <v>958369.668479093</v>
      </c>
      <c r="Z1763">
        <v>60259.939120907038</v>
      </c>
      <c r="AA1763">
        <v>1018629.6076</v>
      </c>
      <c r="AB1763" t="s">
        <v>242</v>
      </c>
      <c r="AC1763">
        <v>2</v>
      </c>
      <c r="AD1763">
        <v>10000</v>
      </c>
      <c r="AE1763">
        <v>0</v>
      </c>
      <c r="AF1763">
        <v>0</v>
      </c>
      <c r="AG1763">
        <v>587.60847909296808</v>
      </c>
      <c r="AH1763" t="s">
        <v>58</v>
      </c>
    </row>
    <row r="1764" spans="1:34" x14ac:dyDescent="0.3">
      <c r="A1764" t="s">
        <v>798</v>
      </c>
      <c r="B1764">
        <v>52200532</v>
      </c>
      <c r="C1764" t="s">
        <v>458</v>
      </c>
      <c r="D1764" t="s">
        <v>527</v>
      </c>
      <c r="E1764" t="s">
        <v>437</v>
      </c>
      <c r="F1764" t="s">
        <v>431</v>
      </c>
      <c r="G1764" t="s">
        <v>417</v>
      </c>
      <c r="H1764" t="s">
        <v>83</v>
      </c>
      <c r="J1764" t="s">
        <v>450</v>
      </c>
      <c r="K1764" s="15">
        <v>6000</v>
      </c>
      <c r="L1764" s="15">
        <v>1760</v>
      </c>
      <c r="M1764" s="13">
        <v>45287</v>
      </c>
      <c r="O1764">
        <v>1760</v>
      </c>
      <c r="P1764">
        <v>0</v>
      </c>
      <c r="Q1764">
        <v>0</v>
      </c>
      <c r="R1764">
        <v>0</v>
      </c>
      <c r="S1764">
        <v>6132.3846635939244</v>
      </c>
      <c r="T1764">
        <v>0</v>
      </c>
      <c r="U1764">
        <v>0</v>
      </c>
      <c r="V1764">
        <v>7297.0358971537389</v>
      </c>
      <c r="W1764">
        <v>0</v>
      </c>
      <c r="X1764">
        <v>0</v>
      </c>
      <c r="Y1764">
        <v>15189.420560747663</v>
      </c>
      <c r="Z1764">
        <v>940.05943925233657</v>
      </c>
      <c r="AA1764">
        <v>16129.48</v>
      </c>
      <c r="AB1764" t="s">
        <v>242</v>
      </c>
      <c r="AC1764">
        <v>0</v>
      </c>
      <c r="AD1764">
        <v>0</v>
      </c>
      <c r="AE1764">
        <v>0</v>
      </c>
      <c r="AF1764">
        <v>6000</v>
      </c>
      <c r="AG1764">
        <v>392.5233644859818</v>
      </c>
      <c r="AH1764" t="s">
        <v>72</v>
      </c>
    </row>
    <row r="1765" spans="1:34" x14ac:dyDescent="0.3">
      <c r="A1765" t="s">
        <v>798</v>
      </c>
      <c r="B1765">
        <v>4132300995</v>
      </c>
      <c r="C1765" t="s">
        <v>356</v>
      </c>
      <c r="D1765" t="s">
        <v>395</v>
      </c>
      <c r="E1765" t="s">
        <v>441</v>
      </c>
      <c r="F1765" t="s">
        <v>430</v>
      </c>
      <c r="G1765" t="s">
        <v>326</v>
      </c>
      <c r="H1765" t="s">
        <v>236</v>
      </c>
      <c r="J1765" t="s">
        <v>52</v>
      </c>
      <c r="K1765" s="15">
        <v>20000</v>
      </c>
      <c r="L1765" s="15">
        <v>0</v>
      </c>
      <c r="M1765" s="13">
        <v>45287</v>
      </c>
      <c r="O1765">
        <v>0</v>
      </c>
      <c r="P1765">
        <v>0</v>
      </c>
      <c r="Q1765">
        <v>0</v>
      </c>
      <c r="R1765">
        <v>0</v>
      </c>
      <c r="S1765">
        <v>16861.363162262343</v>
      </c>
      <c r="T1765">
        <v>0</v>
      </c>
      <c r="U1765">
        <v>0</v>
      </c>
      <c r="V1765">
        <v>35643.585829661351</v>
      </c>
      <c r="W1765">
        <v>0</v>
      </c>
      <c r="X1765">
        <v>0</v>
      </c>
      <c r="Y1765">
        <v>52504.948991923695</v>
      </c>
      <c r="Z1765">
        <v>2495.0510080762947</v>
      </c>
      <c r="AA1765">
        <v>54999.999999999993</v>
      </c>
      <c r="AB1765" t="s">
        <v>242</v>
      </c>
      <c r="AC1765">
        <v>5</v>
      </c>
      <c r="AD1765">
        <v>145000</v>
      </c>
      <c r="AE1765">
        <v>0</v>
      </c>
      <c r="AF1765">
        <v>0</v>
      </c>
      <c r="AG1765">
        <v>6267.8439206536532</v>
      </c>
      <c r="AH1765" t="s">
        <v>58</v>
      </c>
    </row>
    <row r="1766" spans="1:34" x14ac:dyDescent="0.3">
      <c r="A1766" t="s">
        <v>798</v>
      </c>
      <c r="B1766">
        <v>4142300066</v>
      </c>
      <c r="C1766" t="s">
        <v>374</v>
      </c>
      <c r="D1766" t="s">
        <v>413</v>
      </c>
      <c r="E1766" t="s">
        <v>444</v>
      </c>
      <c r="F1766" t="s">
        <v>430</v>
      </c>
      <c r="G1766" t="s">
        <v>419</v>
      </c>
      <c r="H1766" t="s">
        <v>231</v>
      </c>
      <c r="J1766" t="s">
        <v>52</v>
      </c>
      <c r="K1766" s="15">
        <v>95000</v>
      </c>
      <c r="L1766" s="15">
        <v>0</v>
      </c>
      <c r="M1766" s="13">
        <v>45287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 t="s">
        <v>242</v>
      </c>
      <c r="AC1766">
        <v>1</v>
      </c>
      <c r="AD1766">
        <v>95000</v>
      </c>
      <c r="AE1766">
        <v>0</v>
      </c>
      <c r="AF1766">
        <v>0</v>
      </c>
      <c r="AG1766">
        <v>0</v>
      </c>
      <c r="AH1766" t="s">
        <v>58</v>
      </c>
    </row>
    <row r="1767" spans="1:34" x14ac:dyDescent="0.3">
      <c r="A1767" t="s">
        <v>798</v>
      </c>
      <c r="B1767">
        <v>4312300010</v>
      </c>
      <c r="C1767" t="s">
        <v>517</v>
      </c>
      <c r="D1767" t="s">
        <v>592</v>
      </c>
      <c r="E1767" t="s">
        <v>448</v>
      </c>
      <c r="F1767" t="s">
        <v>433</v>
      </c>
      <c r="G1767" t="s">
        <v>82</v>
      </c>
      <c r="H1767" t="s">
        <v>71</v>
      </c>
      <c r="J1767" t="s">
        <v>52</v>
      </c>
      <c r="K1767" s="15">
        <v>100000</v>
      </c>
      <c r="L1767" s="15">
        <v>0</v>
      </c>
      <c r="M1767" s="13">
        <v>45287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209962.05607476635</v>
      </c>
      <c r="Y1767">
        <v>209962.05607476635</v>
      </c>
      <c r="Z1767">
        <v>14697.343925233647</v>
      </c>
      <c r="AA1767">
        <v>224659.4</v>
      </c>
      <c r="AB1767" t="s">
        <v>242</v>
      </c>
      <c r="AC1767">
        <v>1</v>
      </c>
      <c r="AD1767">
        <v>100000</v>
      </c>
      <c r="AE1767">
        <v>0</v>
      </c>
      <c r="AF1767">
        <v>0</v>
      </c>
      <c r="AG1767">
        <v>6542.0560747663549</v>
      </c>
      <c r="AH1767" t="s">
        <v>72</v>
      </c>
    </row>
    <row r="1768" spans="1:34" x14ac:dyDescent="0.3">
      <c r="A1768" t="s">
        <v>798</v>
      </c>
      <c r="B1768">
        <v>4142300505</v>
      </c>
      <c r="C1768">
        <v>10217231</v>
      </c>
      <c r="D1768" t="s">
        <v>312</v>
      </c>
      <c r="E1768" t="s">
        <v>445</v>
      </c>
      <c r="F1768" t="s">
        <v>430</v>
      </c>
      <c r="G1768" t="s">
        <v>237</v>
      </c>
      <c r="H1768" t="s">
        <v>234</v>
      </c>
      <c r="J1768" t="s">
        <v>425</v>
      </c>
      <c r="K1768" s="15">
        <v>168000</v>
      </c>
      <c r="L1768" s="15">
        <v>34</v>
      </c>
      <c r="M1768" s="13">
        <v>45288</v>
      </c>
      <c r="O1768">
        <v>34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383800.33644859807</v>
      </c>
      <c r="Y1768">
        <v>383834.33644859807</v>
      </c>
      <c r="Z1768">
        <v>26866.023551401868</v>
      </c>
      <c r="AA1768">
        <v>410700.35999999993</v>
      </c>
      <c r="AB1768" t="s">
        <v>242</v>
      </c>
      <c r="AC1768">
        <v>0</v>
      </c>
      <c r="AD1768">
        <v>0</v>
      </c>
      <c r="AE1768">
        <v>0</v>
      </c>
      <c r="AF1768">
        <v>179760</v>
      </c>
      <c r="AG1768">
        <v>11760</v>
      </c>
      <c r="AH1768" t="s">
        <v>72</v>
      </c>
    </row>
    <row r="1769" spans="1:34" x14ac:dyDescent="0.3">
      <c r="A1769" t="s">
        <v>798</v>
      </c>
      <c r="B1769">
        <v>4142300690</v>
      </c>
      <c r="C1769">
        <v>10318550</v>
      </c>
      <c r="D1769" t="s">
        <v>313</v>
      </c>
      <c r="E1769" t="s">
        <v>445</v>
      </c>
      <c r="F1769" t="s">
        <v>430</v>
      </c>
      <c r="G1769" t="s">
        <v>237</v>
      </c>
      <c r="H1769" t="s">
        <v>234</v>
      </c>
      <c r="J1769" t="s">
        <v>425</v>
      </c>
      <c r="K1769" s="15">
        <v>75000</v>
      </c>
      <c r="L1769" s="15">
        <v>44</v>
      </c>
      <c r="M1769" s="13">
        <v>45288</v>
      </c>
      <c r="O1769">
        <v>44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243751.4018691589</v>
      </c>
      <c r="Y1769">
        <v>243795.4018691589</v>
      </c>
      <c r="Z1769">
        <v>17062.598130841125</v>
      </c>
      <c r="AA1769">
        <v>260858.00000000003</v>
      </c>
      <c r="AB1769" t="s">
        <v>242</v>
      </c>
      <c r="AC1769">
        <v>0</v>
      </c>
      <c r="AD1769">
        <v>0</v>
      </c>
      <c r="AE1769">
        <v>0</v>
      </c>
      <c r="AF1769">
        <v>80250</v>
      </c>
      <c r="AG1769">
        <v>5250</v>
      </c>
      <c r="AH1769" t="s">
        <v>72</v>
      </c>
    </row>
    <row r="1770" spans="1:34" x14ac:dyDescent="0.3">
      <c r="A1770" t="s">
        <v>798</v>
      </c>
      <c r="B1770">
        <v>4142300872</v>
      </c>
      <c r="C1770">
        <v>10409729</v>
      </c>
      <c r="D1770" t="s">
        <v>314</v>
      </c>
      <c r="E1770" t="s">
        <v>445</v>
      </c>
      <c r="F1770" t="s">
        <v>430</v>
      </c>
      <c r="G1770" t="s">
        <v>237</v>
      </c>
      <c r="H1770" t="s">
        <v>234</v>
      </c>
      <c r="J1770" t="s">
        <v>425</v>
      </c>
      <c r="K1770" s="15">
        <v>90000</v>
      </c>
      <c r="L1770" s="15">
        <v>34</v>
      </c>
      <c r="M1770" s="13">
        <v>45288</v>
      </c>
      <c r="O1770">
        <v>34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183399.82242990652</v>
      </c>
      <c r="Y1770">
        <v>183433.82242990652</v>
      </c>
      <c r="Z1770">
        <v>12837.987570093457</v>
      </c>
      <c r="AA1770">
        <v>196271.80999999997</v>
      </c>
      <c r="AB1770" t="s">
        <v>242</v>
      </c>
      <c r="AC1770">
        <v>0</v>
      </c>
      <c r="AD1770">
        <v>0</v>
      </c>
      <c r="AE1770">
        <v>0</v>
      </c>
      <c r="AF1770">
        <v>96300</v>
      </c>
      <c r="AG1770">
        <v>6300</v>
      </c>
      <c r="AH1770" t="s">
        <v>72</v>
      </c>
    </row>
    <row r="1771" spans="1:34" x14ac:dyDescent="0.3">
      <c r="A1771" t="s">
        <v>798</v>
      </c>
      <c r="B1771">
        <v>12200122</v>
      </c>
      <c r="C1771">
        <v>5900440096</v>
      </c>
      <c r="D1771" t="s">
        <v>113</v>
      </c>
      <c r="E1771" t="s">
        <v>437</v>
      </c>
      <c r="F1771" t="s">
        <v>427</v>
      </c>
      <c r="G1771" t="s">
        <v>82</v>
      </c>
      <c r="H1771" t="s">
        <v>82</v>
      </c>
      <c r="J1771" t="s">
        <v>52</v>
      </c>
      <c r="K1771" s="15">
        <v>2000</v>
      </c>
      <c r="L1771" s="15">
        <v>0</v>
      </c>
      <c r="M1771" s="13">
        <v>45288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12499.490000000002</v>
      </c>
      <c r="W1771">
        <v>0</v>
      </c>
      <c r="X1771">
        <v>0</v>
      </c>
      <c r="Y1771">
        <v>12499.490000000002</v>
      </c>
      <c r="Z1771">
        <v>0</v>
      </c>
      <c r="AA1771">
        <v>12499.490000000002</v>
      </c>
      <c r="AB1771" t="s">
        <v>242</v>
      </c>
      <c r="AC1771">
        <v>8</v>
      </c>
      <c r="AD1771">
        <v>8776</v>
      </c>
      <c r="AE1771">
        <v>0</v>
      </c>
      <c r="AF1771">
        <v>0</v>
      </c>
      <c r="AG1771">
        <v>0</v>
      </c>
      <c r="AH1771" t="s">
        <v>58</v>
      </c>
    </row>
    <row r="1772" spans="1:34" x14ac:dyDescent="0.3">
      <c r="A1772" t="s">
        <v>798</v>
      </c>
      <c r="B1772">
        <v>12200176</v>
      </c>
      <c r="C1772">
        <v>28068851</v>
      </c>
      <c r="D1772" t="s">
        <v>119</v>
      </c>
      <c r="E1772" t="s">
        <v>438</v>
      </c>
      <c r="F1772" t="s">
        <v>427</v>
      </c>
      <c r="G1772" t="s">
        <v>82</v>
      </c>
      <c r="H1772" t="s">
        <v>82</v>
      </c>
      <c r="J1772" t="s">
        <v>52</v>
      </c>
      <c r="K1772" s="15">
        <v>3000</v>
      </c>
      <c r="L1772" s="15">
        <v>0</v>
      </c>
      <c r="M1772" s="13">
        <v>45288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141725.36979491089</v>
      </c>
      <c r="W1772">
        <v>0</v>
      </c>
      <c r="X1772">
        <v>0</v>
      </c>
      <c r="Y1772">
        <v>141725.36979491089</v>
      </c>
      <c r="Z1772">
        <v>0</v>
      </c>
      <c r="AA1772">
        <v>141725.36979491089</v>
      </c>
      <c r="AB1772" t="s">
        <v>242</v>
      </c>
      <c r="AC1772">
        <v>6</v>
      </c>
      <c r="AD1772">
        <v>24000</v>
      </c>
      <c r="AE1772">
        <v>0</v>
      </c>
      <c r="AF1772">
        <v>0</v>
      </c>
      <c r="AG1772">
        <v>0</v>
      </c>
      <c r="AH1772" t="s">
        <v>58</v>
      </c>
    </row>
    <row r="1773" spans="1:34" x14ac:dyDescent="0.3">
      <c r="A1773" t="s">
        <v>798</v>
      </c>
      <c r="B1773">
        <v>22200010</v>
      </c>
      <c r="C1773">
        <v>18928437</v>
      </c>
      <c r="D1773" t="s">
        <v>85</v>
      </c>
      <c r="E1773" t="s">
        <v>435</v>
      </c>
      <c r="F1773" t="s">
        <v>428</v>
      </c>
      <c r="G1773" t="s">
        <v>82</v>
      </c>
      <c r="H1773" t="s">
        <v>82</v>
      </c>
      <c r="J1773" t="s">
        <v>52</v>
      </c>
      <c r="K1773" s="15">
        <v>500</v>
      </c>
      <c r="L1773" s="15">
        <v>0</v>
      </c>
      <c r="M1773" s="13">
        <v>45288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16569.751865506852</v>
      </c>
      <c r="W1773">
        <v>0</v>
      </c>
      <c r="X1773">
        <v>0</v>
      </c>
      <c r="Y1773">
        <v>16569.751865506852</v>
      </c>
      <c r="Z1773">
        <v>0</v>
      </c>
      <c r="AA1773">
        <v>16569.751865506852</v>
      </c>
      <c r="AB1773" t="s">
        <v>242</v>
      </c>
      <c r="AC1773">
        <v>16</v>
      </c>
      <c r="AD1773">
        <v>11500</v>
      </c>
      <c r="AE1773">
        <v>0</v>
      </c>
      <c r="AF1773">
        <v>0</v>
      </c>
      <c r="AG1773">
        <v>0</v>
      </c>
      <c r="AH1773" t="s">
        <v>58</v>
      </c>
    </row>
    <row r="1774" spans="1:34" x14ac:dyDescent="0.3">
      <c r="A1774" t="s">
        <v>798</v>
      </c>
      <c r="B1774">
        <v>32200116</v>
      </c>
      <c r="C1774">
        <v>29893893</v>
      </c>
      <c r="D1774" t="s">
        <v>119</v>
      </c>
      <c r="E1774" t="s">
        <v>438</v>
      </c>
      <c r="F1774" t="s">
        <v>429</v>
      </c>
      <c r="G1774" t="s">
        <v>82</v>
      </c>
      <c r="H1774" t="s">
        <v>82</v>
      </c>
      <c r="J1774" t="s">
        <v>52</v>
      </c>
      <c r="K1774" s="15">
        <v>1000</v>
      </c>
      <c r="L1774" s="15">
        <v>0</v>
      </c>
      <c r="M1774" s="13">
        <v>45288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2885.1514200795491</v>
      </c>
      <c r="W1774">
        <v>0</v>
      </c>
      <c r="X1774">
        <v>0</v>
      </c>
      <c r="Y1774">
        <v>2885.1514200795491</v>
      </c>
      <c r="Z1774">
        <v>0</v>
      </c>
      <c r="AA1774">
        <v>2885.1514200795491</v>
      </c>
      <c r="AB1774" t="s">
        <v>242</v>
      </c>
      <c r="AC1774">
        <v>3</v>
      </c>
      <c r="AD1774">
        <v>5000</v>
      </c>
      <c r="AE1774">
        <v>0</v>
      </c>
      <c r="AF1774">
        <v>0</v>
      </c>
      <c r="AG1774">
        <v>0</v>
      </c>
      <c r="AH1774" t="s">
        <v>58</v>
      </c>
    </row>
    <row r="1775" spans="1:34" x14ac:dyDescent="0.3">
      <c r="A1775" t="s">
        <v>798</v>
      </c>
      <c r="B1775">
        <v>42201112</v>
      </c>
      <c r="C1775">
        <v>2756020075</v>
      </c>
      <c r="D1775" t="s">
        <v>128</v>
      </c>
      <c r="E1775" t="s">
        <v>439</v>
      </c>
      <c r="F1775" t="s">
        <v>430</v>
      </c>
      <c r="G1775" t="s">
        <v>233</v>
      </c>
      <c r="H1775" t="s">
        <v>234</v>
      </c>
      <c r="J1775" t="s">
        <v>52</v>
      </c>
      <c r="K1775" s="15">
        <v>5000</v>
      </c>
      <c r="L1775" s="15">
        <v>0</v>
      </c>
      <c r="M1775" s="13">
        <v>45288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42093.841121495316</v>
      </c>
      <c r="Y1775">
        <v>42093.841121495316</v>
      </c>
      <c r="Z1775">
        <v>2946.5688785046723</v>
      </c>
      <c r="AA1775">
        <v>45040.409999999989</v>
      </c>
      <c r="AB1775" t="s">
        <v>242</v>
      </c>
      <c r="AC1775">
        <v>7</v>
      </c>
      <c r="AD1775">
        <v>82000</v>
      </c>
      <c r="AE1775">
        <v>0</v>
      </c>
      <c r="AF1775">
        <v>0</v>
      </c>
      <c r="AG1775">
        <v>5364.4859813084086</v>
      </c>
      <c r="AH1775" t="s">
        <v>58</v>
      </c>
    </row>
    <row r="1776" spans="1:34" x14ac:dyDescent="0.3">
      <c r="A1776" t="s">
        <v>798</v>
      </c>
      <c r="B1776">
        <v>42201150</v>
      </c>
      <c r="C1776">
        <v>2758020463</v>
      </c>
      <c r="D1776" t="s">
        <v>129</v>
      </c>
      <c r="E1776" t="s">
        <v>439</v>
      </c>
      <c r="F1776" t="s">
        <v>430</v>
      </c>
      <c r="G1776" t="s">
        <v>230</v>
      </c>
      <c r="H1776" t="s">
        <v>234</v>
      </c>
      <c r="J1776" t="s">
        <v>52</v>
      </c>
      <c r="K1776" s="15">
        <v>5000</v>
      </c>
      <c r="L1776" s="15">
        <v>0</v>
      </c>
      <c r="M1776" s="13">
        <v>45288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317608.75700934586</v>
      </c>
      <c r="Y1776">
        <v>317608.75700934586</v>
      </c>
      <c r="Z1776">
        <v>22232.612990654212</v>
      </c>
      <c r="AA1776">
        <v>339841.37000000005</v>
      </c>
      <c r="AB1776" t="s">
        <v>242</v>
      </c>
      <c r="AC1776">
        <v>8</v>
      </c>
      <c r="AD1776">
        <v>75000</v>
      </c>
      <c r="AE1776">
        <v>0</v>
      </c>
      <c r="AF1776">
        <v>0</v>
      </c>
      <c r="AG1776">
        <v>4906.5420560747634</v>
      </c>
      <c r="AH1776" t="s">
        <v>58</v>
      </c>
    </row>
    <row r="1777" spans="1:34" x14ac:dyDescent="0.3">
      <c r="A1777" t="s">
        <v>798</v>
      </c>
      <c r="B1777">
        <v>42201414</v>
      </c>
      <c r="C1777">
        <v>2759011778</v>
      </c>
      <c r="D1777" t="s">
        <v>130</v>
      </c>
      <c r="E1777" t="s">
        <v>439</v>
      </c>
      <c r="F1777" t="s">
        <v>430</v>
      </c>
      <c r="G1777" t="s">
        <v>230</v>
      </c>
      <c r="H1777" t="s">
        <v>234</v>
      </c>
      <c r="J1777" t="s">
        <v>52</v>
      </c>
      <c r="K1777" s="15">
        <v>2000</v>
      </c>
      <c r="L1777" s="15">
        <v>0</v>
      </c>
      <c r="M1777" s="13">
        <v>45288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123704.07476635513</v>
      </c>
      <c r="Y1777">
        <v>123704.07476635513</v>
      </c>
      <c r="Z1777">
        <v>8659.2852336448595</v>
      </c>
      <c r="AA1777">
        <v>132363.35999999999</v>
      </c>
      <c r="AB1777" t="s">
        <v>242</v>
      </c>
      <c r="AC1777">
        <v>1</v>
      </c>
      <c r="AD1777">
        <v>2000</v>
      </c>
      <c r="AE1777">
        <v>0</v>
      </c>
      <c r="AF1777">
        <v>0</v>
      </c>
      <c r="AG1777">
        <v>130.84112149532712</v>
      </c>
      <c r="AH1777" t="s">
        <v>72</v>
      </c>
    </row>
    <row r="1778" spans="1:34" x14ac:dyDescent="0.3">
      <c r="A1778" t="s">
        <v>798</v>
      </c>
      <c r="B1778">
        <v>52200647</v>
      </c>
      <c r="C1778">
        <v>29594859</v>
      </c>
      <c r="D1778" t="s">
        <v>139</v>
      </c>
      <c r="E1778" t="s">
        <v>438</v>
      </c>
      <c r="F1778" t="s">
        <v>431</v>
      </c>
      <c r="G1778" t="s">
        <v>82</v>
      </c>
      <c r="H1778" t="s">
        <v>83</v>
      </c>
      <c r="J1778" t="s">
        <v>52</v>
      </c>
      <c r="K1778" s="15">
        <v>5000</v>
      </c>
      <c r="L1778" s="15">
        <v>0</v>
      </c>
      <c r="M1778" s="13">
        <v>45288</v>
      </c>
      <c r="O1778">
        <v>0</v>
      </c>
      <c r="P1778">
        <v>0</v>
      </c>
      <c r="Q1778">
        <v>0</v>
      </c>
      <c r="R1778">
        <v>821.79708702084577</v>
      </c>
      <c r="S1778">
        <v>24818.153096242197</v>
      </c>
      <c r="T1778">
        <v>0</v>
      </c>
      <c r="U1778">
        <v>0</v>
      </c>
      <c r="V1778">
        <v>58470.824672897194</v>
      </c>
      <c r="W1778">
        <v>0</v>
      </c>
      <c r="X1778">
        <v>0</v>
      </c>
      <c r="Y1778">
        <v>84110.774856160235</v>
      </c>
      <c r="Z1778">
        <v>5830.2284438397583</v>
      </c>
      <c r="AA1778">
        <v>89941.003299999997</v>
      </c>
      <c r="AB1778" t="s">
        <v>242</v>
      </c>
      <c r="AC1778">
        <v>7</v>
      </c>
      <c r="AD1778">
        <v>22000</v>
      </c>
      <c r="AE1778">
        <v>0</v>
      </c>
      <c r="AF1778">
        <v>0</v>
      </c>
      <c r="AG1778">
        <v>1425.0428000854763</v>
      </c>
      <c r="AH1778" t="s">
        <v>58</v>
      </c>
    </row>
    <row r="1779" spans="1:34" x14ac:dyDescent="0.3">
      <c r="A1779" t="s">
        <v>798</v>
      </c>
      <c r="B1779">
        <v>52201335</v>
      </c>
      <c r="C1779">
        <v>26922769</v>
      </c>
      <c r="D1779" t="s">
        <v>878</v>
      </c>
      <c r="E1779" t="s">
        <v>438</v>
      </c>
      <c r="F1779" t="s">
        <v>431</v>
      </c>
      <c r="G1779" t="s">
        <v>82</v>
      </c>
      <c r="H1779" t="s">
        <v>83</v>
      </c>
      <c r="J1779" t="s">
        <v>52</v>
      </c>
      <c r="K1779" s="15">
        <v>2500</v>
      </c>
      <c r="L1779" s="15">
        <v>0</v>
      </c>
      <c r="M1779" s="13">
        <v>45288</v>
      </c>
      <c r="O1779">
        <v>0</v>
      </c>
      <c r="P1779">
        <v>0</v>
      </c>
      <c r="Q1779">
        <v>0</v>
      </c>
      <c r="R1779">
        <v>1010.1241149634078</v>
      </c>
      <c r="S1779">
        <v>32556.804409740904</v>
      </c>
      <c r="T1779">
        <v>0</v>
      </c>
      <c r="U1779">
        <v>0</v>
      </c>
      <c r="V1779">
        <v>54048.686613046368</v>
      </c>
      <c r="W1779">
        <v>0</v>
      </c>
      <c r="X1779">
        <v>0</v>
      </c>
      <c r="Y1779">
        <v>87615.615137750676</v>
      </c>
      <c r="Z1779">
        <v>6062.3843715951098</v>
      </c>
      <c r="AA1779">
        <v>93677.999509345784</v>
      </c>
      <c r="AB1779" t="s">
        <v>242</v>
      </c>
      <c r="AC1779">
        <v>1</v>
      </c>
      <c r="AD1779">
        <v>2500</v>
      </c>
      <c r="AE1779">
        <v>0</v>
      </c>
      <c r="AF1779">
        <v>0</v>
      </c>
      <c r="AG1779">
        <v>161.66232527798002</v>
      </c>
      <c r="AH1779" t="s">
        <v>72</v>
      </c>
    </row>
    <row r="1780" spans="1:34" x14ac:dyDescent="0.3">
      <c r="A1780" t="s">
        <v>798</v>
      </c>
      <c r="B1780">
        <v>52201890</v>
      </c>
      <c r="C1780">
        <v>26738561</v>
      </c>
      <c r="D1780" t="s">
        <v>168</v>
      </c>
      <c r="E1780" t="s">
        <v>438</v>
      </c>
      <c r="F1780" t="s">
        <v>431</v>
      </c>
      <c r="G1780" t="s">
        <v>82</v>
      </c>
      <c r="H1780" t="s">
        <v>83</v>
      </c>
      <c r="J1780" t="s">
        <v>52</v>
      </c>
      <c r="K1780" s="15">
        <v>1000</v>
      </c>
      <c r="L1780" s="15">
        <v>0</v>
      </c>
      <c r="M1780" s="13">
        <v>45288</v>
      </c>
      <c r="O1780">
        <v>0</v>
      </c>
      <c r="P1780">
        <v>0</v>
      </c>
      <c r="Q1780">
        <v>0</v>
      </c>
      <c r="R1780">
        <v>1042.0656636906517</v>
      </c>
      <c r="S1780">
        <v>24409.289722757083</v>
      </c>
      <c r="T1780">
        <v>0</v>
      </c>
      <c r="U1780">
        <v>0</v>
      </c>
      <c r="V1780">
        <v>41284.106700381184</v>
      </c>
      <c r="W1780">
        <v>0</v>
      </c>
      <c r="X1780">
        <v>0</v>
      </c>
      <c r="Y1780">
        <v>66735.46208682892</v>
      </c>
      <c r="Z1780">
        <v>4598.5377496196797</v>
      </c>
      <c r="AA1780">
        <v>71333.999836448595</v>
      </c>
      <c r="AB1780" t="s">
        <v>242</v>
      </c>
      <c r="AC1780">
        <v>3</v>
      </c>
      <c r="AD1780">
        <v>3000</v>
      </c>
      <c r="AE1780">
        <v>0</v>
      </c>
      <c r="AF1780">
        <v>0</v>
      </c>
      <c r="AG1780">
        <v>193.19121164331364</v>
      </c>
      <c r="AH1780" t="s">
        <v>58</v>
      </c>
    </row>
    <row r="1781" spans="1:34" x14ac:dyDescent="0.3">
      <c r="A1781" t="s">
        <v>798</v>
      </c>
      <c r="B1781">
        <v>62200025</v>
      </c>
      <c r="C1781">
        <v>9001302</v>
      </c>
      <c r="D1781" t="s">
        <v>79</v>
      </c>
      <c r="E1781" t="s">
        <v>435</v>
      </c>
      <c r="F1781" t="s">
        <v>432</v>
      </c>
      <c r="G1781" t="s">
        <v>82</v>
      </c>
      <c r="H1781" t="s">
        <v>82</v>
      </c>
      <c r="J1781" t="s">
        <v>52</v>
      </c>
      <c r="K1781" s="15">
        <v>1000</v>
      </c>
      <c r="L1781" s="15">
        <v>0</v>
      </c>
      <c r="M1781" s="13">
        <v>45288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14024.843263835617</v>
      </c>
      <c r="W1781">
        <v>0</v>
      </c>
      <c r="X1781">
        <v>0</v>
      </c>
      <c r="Y1781">
        <v>14024.843263835617</v>
      </c>
      <c r="Z1781">
        <v>0</v>
      </c>
      <c r="AA1781">
        <v>14024.843263835617</v>
      </c>
      <c r="AB1781" t="s">
        <v>242</v>
      </c>
      <c r="AC1781">
        <v>16</v>
      </c>
      <c r="AD1781">
        <v>16170</v>
      </c>
      <c r="AE1781">
        <v>0</v>
      </c>
      <c r="AF1781">
        <v>0</v>
      </c>
      <c r="AG1781">
        <v>0</v>
      </c>
      <c r="AH1781" t="s">
        <v>58</v>
      </c>
    </row>
    <row r="1782" spans="1:34" x14ac:dyDescent="0.3">
      <c r="A1782" t="s">
        <v>798</v>
      </c>
      <c r="B1782">
        <v>4132300176</v>
      </c>
      <c r="C1782">
        <v>9060005726</v>
      </c>
      <c r="D1782" t="s">
        <v>172</v>
      </c>
      <c r="E1782" t="s">
        <v>441</v>
      </c>
      <c r="F1782" t="s">
        <v>430</v>
      </c>
      <c r="G1782" t="s">
        <v>230</v>
      </c>
      <c r="H1782" t="s">
        <v>231</v>
      </c>
      <c r="J1782" t="s">
        <v>52</v>
      </c>
      <c r="K1782" s="15">
        <v>1000</v>
      </c>
      <c r="L1782" s="15">
        <v>0</v>
      </c>
      <c r="M1782" s="13">
        <v>45288</v>
      </c>
      <c r="O1782">
        <v>0</v>
      </c>
      <c r="P1782">
        <v>3920.9848248603366</v>
      </c>
      <c r="Q1782">
        <v>0</v>
      </c>
      <c r="R1782">
        <v>0</v>
      </c>
      <c r="S1782">
        <v>4144.1917808219177</v>
      </c>
      <c r="T1782">
        <v>20447.677733775388</v>
      </c>
      <c r="U1782">
        <v>0</v>
      </c>
      <c r="V1782">
        <v>0</v>
      </c>
      <c r="W1782">
        <v>61682.242990654209</v>
      </c>
      <c r="X1782">
        <v>0</v>
      </c>
      <c r="Y1782">
        <v>90195.09733011185</v>
      </c>
      <c r="Z1782">
        <v>5749.0944507100721</v>
      </c>
      <c r="AA1782">
        <v>95944.191780821915</v>
      </c>
      <c r="AB1782" t="s">
        <v>242</v>
      </c>
      <c r="AC1782">
        <v>2</v>
      </c>
      <c r="AD1782">
        <v>2000</v>
      </c>
      <c r="AE1782">
        <v>0</v>
      </c>
      <c r="AF1782">
        <v>0</v>
      </c>
      <c r="AG1782">
        <v>119.12984835534905</v>
      </c>
      <c r="AH1782" t="s">
        <v>58</v>
      </c>
    </row>
    <row r="1783" spans="1:34" x14ac:dyDescent="0.3">
      <c r="A1783" t="s">
        <v>798</v>
      </c>
      <c r="B1783">
        <v>4132300824</v>
      </c>
      <c r="C1783">
        <v>9070041828</v>
      </c>
      <c r="D1783" t="s">
        <v>177</v>
      </c>
      <c r="E1783" t="s">
        <v>441</v>
      </c>
      <c r="F1783" t="s">
        <v>430</v>
      </c>
      <c r="G1783" t="s">
        <v>233</v>
      </c>
      <c r="H1783" t="s">
        <v>231</v>
      </c>
      <c r="J1783" t="s">
        <v>52</v>
      </c>
      <c r="K1783" s="15">
        <v>1000</v>
      </c>
      <c r="L1783" s="15">
        <v>0</v>
      </c>
      <c r="M1783" s="13">
        <v>45288</v>
      </c>
      <c r="O1783">
        <v>0</v>
      </c>
      <c r="P1783">
        <v>3203.0131361643143</v>
      </c>
      <c r="Q1783">
        <v>0</v>
      </c>
      <c r="R1783">
        <v>0</v>
      </c>
      <c r="S1783">
        <v>10431.390410958904</v>
      </c>
      <c r="T1783">
        <v>16819.61389143522</v>
      </c>
      <c r="U1783">
        <v>0</v>
      </c>
      <c r="V1783">
        <v>0</v>
      </c>
      <c r="W1783">
        <v>0</v>
      </c>
      <c r="X1783">
        <v>0</v>
      </c>
      <c r="Y1783">
        <v>30454.01743855844</v>
      </c>
      <c r="Z1783">
        <v>1177.3729724004654</v>
      </c>
      <c r="AA1783">
        <v>31631.390410958906</v>
      </c>
      <c r="AB1783" t="s">
        <v>242</v>
      </c>
      <c r="AC1783">
        <v>2</v>
      </c>
      <c r="AD1783">
        <v>2000</v>
      </c>
      <c r="AE1783">
        <v>0</v>
      </c>
      <c r="AF1783">
        <v>0</v>
      </c>
      <c r="AG1783">
        <v>72.159737879908448</v>
      </c>
      <c r="AH1783" t="s">
        <v>58</v>
      </c>
    </row>
    <row r="1784" spans="1:34" x14ac:dyDescent="0.3">
      <c r="A1784" t="s">
        <v>798</v>
      </c>
      <c r="B1784">
        <v>4132301112</v>
      </c>
      <c r="C1784">
        <v>3010184753</v>
      </c>
      <c r="D1784" t="s">
        <v>179</v>
      </c>
      <c r="E1784" t="s">
        <v>441</v>
      </c>
      <c r="F1784" t="s">
        <v>430</v>
      </c>
      <c r="G1784" t="s">
        <v>233</v>
      </c>
      <c r="H1784" t="s">
        <v>231</v>
      </c>
      <c r="J1784" t="s">
        <v>52</v>
      </c>
      <c r="K1784" s="15">
        <v>500</v>
      </c>
      <c r="L1784" s="15">
        <v>0</v>
      </c>
      <c r="M1784" s="13">
        <v>45288</v>
      </c>
      <c r="O1784">
        <v>0</v>
      </c>
      <c r="P1784">
        <v>3629.9219791936835</v>
      </c>
      <c r="Q1784">
        <v>0</v>
      </c>
      <c r="R1784">
        <v>0</v>
      </c>
      <c r="S1784">
        <v>21290.753424657534</v>
      </c>
      <c r="T1784">
        <v>54644.932729725522</v>
      </c>
      <c r="U1784">
        <v>0</v>
      </c>
      <c r="V1784">
        <v>0</v>
      </c>
      <c r="W1784">
        <v>0</v>
      </c>
      <c r="X1784">
        <v>0</v>
      </c>
      <c r="Y1784">
        <v>79565.608133576738</v>
      </c>
      <c r="Z1784">
        <v>3825.145291080787</v>
      </c>
      <c r="AA1784">
        <v>83390.753424657523</v>
      </c>
      <c r="AB1784" t="s">
        <v>242</v>
      </c>
      <c r="AC1784">
        <v>3</v>
      </c>
      <c r="AD1784">
        <v>1500</v>
      </c>
      <c r="AE1784">
        <v>0</v>
      </c>
      <c r="AF1784">
        <v>0</v>
      </c>
      <c r="AG1784">
        <v>67.378073405194243</v>
      </c>
      <c r="AH1784" t="s">
        <v>58</v>
      </c>
    </row>
    <row r="1785" spans="1:34" x14ac:dyDescent="0.3">
      <c r="A1785" t="s">
        <v>798</v>
      </c>
      <c r="B1785">
        <v>4132301517</v>
      </c>
      <c r="C1785" t="s">
        <v>98</v>
      </c>
      <c r="D1785" t="s">
        <v>181</v>
      </c>
      <c r="E1785" t="s">
        <v>442</v>
      </c>
      <c r="F1785" t="s">
        <v>430</v>
      </c>
      <c r="G1785" t="s">
        <v>230</v>
      </c>
      <c r="H1785" t="s">
        <v>231</v>
      </c>
      <c r="J1785" t="s">
        <v>52</v>
      </c>
      <c r="K1785" s="15">
        <v>7000</v>
      </c>
      <c r="L1785" s="15">
        <v>0</v>
      </c>
      <c r="M1785" s="13">
        <v>45288</v>
      </c>
      <c r="O1785">
        <v>0</v>
      </c>
      <c r="P1785">
        <v>6355.1340461807786</v>
      </c>
      <c r="Q1785">
        <v>0</v>
      </c>
      <c r="R1785">
        <v>0</v>
      </c>
      <c r="S1785">
        <v>138975.37</v>
      </c>
      <c r="T1785">
        <v>0</v>
      </c>
      <c r="U1785">
        <v>0</v>
      </c>
      <c r="V1785">
        <v>0</v>
      </c>
      <c r="W1785">
        <v>216476.51023721421</v>
      </c>
      <c r="X1785">
        <v>0</v>
      </c>
      <c r="Y1785">
        <v>361807.01428339502</v>
      </c>
      <c r="Z1785">
        <v>15153.355716604996</v>
      </c>
      <c r="AA1785">
        <v>376960.37</v>
      </c>
      <c r="AB1785" t="s">
        <v>242</v>
      </c>
      <c r="AC1785">
        <v>2</v>
      </c>
      <c r="AD1785">
        <v>14000</v>
      </c>
      <c r="AE1785">
        <v>0</v>
      </c>
      <c r="AF1785">
        <v>0</v>
      </c>
      <c r="AG1785">
        <v>547.5788628342566</v>
      </c>
      <c r="AH1785" t="s">
        <v>58</v>
      </c>
    </row>
    <row r="1786" spans="1:34" x14ac:dyDescent="0.3">
      <c r="A1786" t="s">
        <v>798</v>
      </c>
      <c r="B1786">
        <v>4132302164</v>
      </c>
      <c r="C1786">
        <v>95471</v>
      </c>
      <c r="D1786" t="s">
        <v>912</v>
      </c>
      <c r="E1786" t="s">
        <v>443</v>
      </c>
      <c r="F1786" t="s">
        <v>430</v>
      </c>
      <c r="G1786" t="s">
        <v>230</v>
      </c>
      <c r="H1786" t="s">
        <v>231</v>
      </c>
      <c r="J1786" t="s">
        <v>52</v>
      </c>
      <c r="K1786" s="15">
        <v>100000</v>
      </c>
      <c r="L1786" s="15">
        <v>0</v>
      </c>
      <c r="M1786" s="13">
        <v>45288</v>
      </c>
      <c r="O1786">
        <v>0</v>
      </c>
      <c r="P1786">
        <v>10002.669867473618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469266.66367525829</v>
      </c>
      <c r="X1786">
        <v>0</v>
      </c>
      <c r="Y1786">
        <v>479269.33354273188</v>
      </c>
      <c r="Z1786">
        <v>32848.666457268082</v>
      </c>
      <c r="AA1786">
        <v>512117.99999999994</v>
      </c>
      <c r="AB1786" t="s">
        <v>242</v>
      </c>
      <c r="AC1786">
        <v>1</v>
      </c>
      <c r="AD1786">
        <v>100000</v>
      </c>
      <c r="AE1786">
        <v>0</v>
      </c>
      <c r="AF1786">
        <v>0</v>
      </c>
      <c r="AG1786">
        <v>6403.6699913300545</v>
      </c>
      <c r="AH1786" t="s">
        <v>72</v>
      </c>
    </row>
    <row r="1787" spans="1:34" x14ac:dyDescent="0.3">
      <c r="A1787" t="s">
        <v>798</v>
      </c>
      <c r="B1787">
        <v>4142300008</v>
      </c>
      <c r="C1787">
        <v>132635</v>
      </c>
      <c r="D1787" t="s">
        <v>185</v>
      </c>
      <c r="E1787" t="s">
        <v>444</v>
      </c>
      <c r="F1787" t="s">
        <v>430</v>
      </c>
      <c r="G1787" t="s">
        <v>237</v>
      </c>
      <c r="H1787" t="s">
        <v>231</v>
      </c>
      <c r="J1787" t="s">
        <v>52</v>
      </c>
      <c r="K1787" s="15">
        <v>12000</v>
      </c>
      <c r="L1787" s="15">
        <v>0</v>
      </c>
      <c r="M1787" s="13">
        <v>45288</v>
      </c>
      <c r="O1787">
        <v>0</v>
      </c>
      <c r="P1787">
        <v>37187.274176614439</v>
      </c>
      <c r="Q1787">
        <v>0</v>
      </c>
      <c r="R1787">
        <v>0</v>
      </c>
      <c r="S1787">
        <v>0</v>
      </c>
      <c r="T1787">
        <v>11746.472732136042</v>
      </c>
      <c r="U1787">
        <v>39953.271028037387</v>
      </c>
      <c r="V1787">
        <v>0</v>
      </c>
      <c r="W1787">
        <v>0</v>
      </c>
      <c r="X1787">
        <v>0</v>
      </c>
      <c r="Y1787">
        <v>88887.017936787859</v>
      </c>
      <c r="Z1787">
        <v>3618.9820632121405</v>
      </c>
      <c r="AA1787">
        <v>92506</v>
      </c>
      <c r="AB1787" t="s">
        <v>242</v>
      </c>
      <c r="AC1787">
        <v>6</v>
      </c>
      <c r="AD1787">
        <v>56000</v>
      </c>
      <c r="AE1787">
        <v>0</v>
      </c>
      <c r="AF1787">
        <v>0</v>
      </c>
      <c r="AG1787">
        <v>2111.8590582831876</v>
      </c>
      <c r="AH1787" t="s">
        <v>58</v>
      </c>
    </row>
    <row r="1788" spans="1:34" x14ac:dyDescent="0.3">
      <c r="A1788" t="s">
        <v>798</v>
      </c>
      <c r="B1788">
        <v>4142300221</v>
      </c>
      <c r="C1788">
        <v>10089343</v>
      </c>
      <c r="D1788" t="s">
        <v>194</v>
      </c>
      <c r="E1788" t="s">
        <v>445</v>
      </c>
      <c r="F1788" t="s">
        <v>430</v>
      </c>
      <c r="G1788" t="s">
        <v>230</v>
      </c>
      <c r="H1788" t="s">
        <v>234</v>
      </c>
      <c r="J1788" t="s">
        <v>52</v>
      </c>
      <c r="K1788" s="15">
        <v>15000</v>
      </c>
      <c r="L1788" s="15">
        <v>0</v>
      </c>
      <c r="M1788" s="13">
        <v>45288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116414.0186915888</v>
      </c>
      <c r="Y1788">
        <v>116414.0186915888</v>
      </c>
      <c r="Z1788">
        <v>8148.9813084112175</v>
      </c>
      <c r="AA1788">
        <v>124563.00000000003</v>
      </c>
      <c r="AB1788" t="s">
        <v>242</v>
      </c>
      <c r="AC1788">
        <v>5</v>
      </c>
      <c r="AD1788">
        <v>70000</v>
      </c>
      <c r="AE1788">
        <v>0</v>
      </c>
      <c r="AF1788">
        <v>0</v>
      </c>
      <c r="AG1788">
        <v>4579.4392523364495</v>
      </c>
      <c r="AH1788" t="s">
        <v>58</v>
      </c>
    </row>
    <row r="1789" spans="1:34" x14ac:dyDescent="0.3">
      <c r="A1789" t="s">
        <v>798</v>
      </c>
      <c r="B1789">
        <v>4142300221</v>
      </c>
      <c r="C1789">
        <v>10089343</v>
      </c>
      <c r="D1789" t="s">
        <v>194</v>
      </c>
      <c r="E1789" t="s">
        <v>445</v>
      </c>
      <c r="F1789" t="s">
        <v>430</v>
      </c>
      <c r="G1789" t="s">
        <v>230</v>
      </c>
      <c r="H1789" t="s">
        <v>234</v>
      </c>
      <c r="J1789" t="s">
        <v>52</v>
      </c>
      <c r="K1789" s="15">
        <v>15000</v>
      </c>
      <c r="L1789" s="15">
        <v>0</v>
      </c>
      <c r="M1789" s="13">
        <v>45288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102395.32710280376</v>
      </c>
      <c r="Y1789">
        <v>102395.32710280376</v>
      </c>
      <c r="Z1789">
        <v>7167.6728971962639</v>
      </c>
      <c r="AA1789">
        <v>109563.00000000001</v>
      </c>
      <c r="AB1789" t="s">
        <v>242</v>
      </c>
      <c r="AC1789">
        <v>6</v>
      </c>
      <c r="AD1789">
        <v>85000</v>
      </c>
      <c r="AE1789">
        <v>0</v>
      </c>
      <c r="AF1789">
        <v>0</v>
      </c>
      <c r="AG1789">
        <v>5560.7476635514031</v>
      </c>
      <c r="AH1789" t="s">
        <v>58</v>
      </c>
    </row>
    <row r="1790" spans="1:34" x14ac:dyDescent="0.3">
      <c r="A1790" t="s">
        <v>798</v>
      </c>
      <c r="B1790">
        <v>4142300254</v>
      </c>
      <c r="C1790">
        <v>10153969</v>
      </c>
      <c r="D1790" t="s">
        <v>195</v>
      </c>
      <c r="E1790" t="s">
        <v>445</v>
      </c>
      <c r="F1790" t="s">
        <v>430</v>
      </c>
      <c r="G1790" t="s">
        <v>237</v>
      </c>
      <c r="H1790" t="s">
        <v>234</v>
      </c>
      <c r="J1790" t="s">
        <v>52</v>
      </c>
      <c r="K1790" s="15">
        <v>5000</v>
      </c>
      <c r="L1790" s="15">
        <v>0</v>
      </c>
      <c r="M1790" s="13">
        <v>45288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62252.542056074781</v>
      </c>
      <c r="Y1790">
        <v>62252.542056074781</v>
      </c>
      <c r="Z1790">
        <v>4357.677943925235</v>
      </c>
      <c r="AA1790">
        <v>66610.220000000016</v>
      </c>
      <c r="AB1790" t="s">
        <v>242</v>
      </c>
      <c r="AC1790">
        <v>5</v>
      </c>
      <c r="AD1790">
        <v>25000</v>
      </c>
      <c r="AE1790">
        <v>0</v>
      </c>
      <c r="AF1790">
        <v>0</v>
      </c>
      <c r="AG1790">
        <v>1635.5140186915878</v>
      </c>
      <c r="AH1790" t="s">
        <v>58</v>
      </c>
    </row>
    <row r="1791" spans="1:34" x14ac:dyDescent="0.3">
      <c r="A1791" t="s">
        <v>798</v>
      </c>
      <c r="B1791">
        <v>4142300425</v>
      </c>
      <c r="C1791">
        <v>10188307</v>
      </c>
      <c r="D1791" t="s">
        <v>199</v>
      </c>
      <c r="E1791" t="s">
        <v>445</v>
      </c>
      <c r="F1791" t="s">
        <v>430</v>
      </c>
      <c r="G1791" t="s">
        <v>230</v>
      </c>
      <c r="H1791" t="s">
        <v>234</v>
      </c>
      <c r="J1791" t="s">
        <v>52</v>
      </c>
      <c r="K1791" s="15">
        <v>10000</v>
      </c>
      <c r="L1791" s="15">
        <v>0</v>
      </c>
      <c r="M1791" s="13">
        <v>45288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270659.84112149541</v>
      </c>
      <c r="Y1791">
        <v>270659.84112149541</v>
      </c>
      <c r="Z1791">
        <v>18946.188878504679</v>
      </c>
      <c r="AA1791">
        <v>289606.03000000009</v>
      </c>
      <c r="AB1791" t="s">
        <v>242</v>
      </c>
      <c r="AC1791">
        <v>3</v>
      </c>
      <c r="AD1791">
        <v>51000</v>
      </c>
      <c r="AE1791">
        <v>0</v>
      </c>
      <c r="AF1791">
        <v>0</v>
      </c>
      <c r="AG1791">
        <v>3336.4485981308408</v>
      </c>
      <c r="AH1791" t="s">
        <v>58</v>
      </c>
    </row>
    <row r="1792" spans="1:34" x14ac:dyDescent="0.3">
      <c r="A1792" t="s">
        <v>798</v>
      </c>
      <c r="B1792">
        <v>4142300599</v>
      </c>
      <c r="C1792">
        <v>10259999</v>
      </c>
      <c r="D1792" t="s">
        <v>201</v>
      </c>
      <c r="E1792" t="s">
        <v>445</v>
      </c>
      <c r="F1792" t="s">
        <v>430</v>
      </c>
      <c r="G1792" t="s">
        <v>230</v>
      </c>
      <c r="H1792" t="s">
        <v>234</v>
      </c>
      <c r="J1792" t="s">
        <v>52</v>
      </c>
      <c r="K1792" s="15">
        <v>10000</v>
      </c>
      <c r="L1792" s="15">
        <v>0</v>
      </c>
      <c r="M1792" s="13">
        <v>45288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247046.72897196264</v>
      </c>
      <c r="Y1792">
        <v>247046.72897196264</v>
      </c>
      <c r="Z1792">
        <v>17293.271028037387</v>
      </c>
      <c r="AA1792">
        <v>264340</v>
      </c>
      <c r="AB1792" t="s">
        <v>242</v>
      </c>
      <c r="AC1792">
        <v>2</v>
      </c>
      <c r="AD1792">
        <v>20000</v>
      </c>
      <c r="AE1792">
        <v>0</v>
      </c>
      <c r="AF1792">
        <v>0</v>
      </c>
      <c r="AG1792">
        <v>1308.4112149532702</v>
      </c>
      <c r="AH1792" t="s">
        <v>58</v>
      </c>
    </row>
    <row r="1793" spans="1:34" x14ac:dyDescent="0.3">
      <c r="A1793" t="s">
        <v>798</v>
      </c>
      <c r="B1793">
        <v>4142300720</v>
      </c>
      <c r="C1793">
        <v>10326408</v>
      </c>
      <c r="D1793" t="s">
        <v>205</v>
      </c>
      <c r="E1793" t="s">
        <v>445</v>
      </c>
      <c r="F1793" t="s">
        <v>430</v>
      </c>
      <c r="G1793" t="s">
        <v>230</v>
      </c>
      <c r="H1793" t="s">
        <v>234</v>
      </c>
      <c r="J1793" t="s">
        <v>52</v>
      </c>
      <c r="K1793" s="15">
        <v>5000</v>
      </c>
      <c r="L1793" s="15">
        <v>0</v>
      </c>
      <c r="M1793" s="13">
        <v>45288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506366.91588785045</v>
      </c>
      <c r="Y1793">
        <v>506366.91588785045</v>
      </c>
      <c r="Z1793">
        <v>35445.684112149538</v>
      </c>
      <c r="AA1793">
        <v>541812.6</v>
      </c>
      <c r="AB1793" t="s">
        <v>242</v>
      </c>
      <c r="AC1793">
        <v>5</v>
      </c>
      <c r="AD1793">
        <v>25000</v>
      </c>
      <c r="AE1793">
        <v>0</v>
      </c>
      <c r="AF1793">
        <v>0</v>
      </c>
      <c r="AG1793">
        <v>1635.5140186915878</v>
      </c>
      <c r="AH1793" t="s">
        <v>58</v>
      </c>
    </row>
    <row r="1794" spans="1:34" x14ac:dyDescent="0.3">
      <c r="A1794" t="s">
        <v>798</v>
      </c>
      <c r="B1794">
        <v>4142300897</v>
      </c>
      <c r="C1794">
        <v>10425033</v>
      </c>
      <c r="D1794" t="s">
        <v>212</v>
      </c>
      <c r="E1794" t="s">
        <v>445</v>
      </c>
      <c r="F1794" t="s">
        <v>430</v>
      </c>
      <c r="G1794" t="s">
        <v>237</v>
      </c>
      <c r="H1794" t="s">
        <v>234</v>
      </c>
      <c r="J1794" t="s">
        <v>52</v>
      </c>
      <c r="K1794" s="15">
        <v>2000</v>
      </c>
      <c r="L1794" s="15">
        <v>0</v>
      </c>
      <c r="M1794" s="13">
        <v>45288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235385.83177570088</v>
      </c>
      <c r="Y1794">
        <v>235385.83177570088</v>
      </c>
      <c r="Z1794">
        <v>16477.008224299065</v>
      </c>
      <c r="AA1794">
        <v>251862.83999999994</v>
      </c>
      <c r="AB1794" t="s">
        <v>242</v>
      </c>
      <c r="AC1794">
        <v>5</v>
      </c>
      <c r="AD1794">
        <v>10000</v>
      </c>
      <c r="AE1794">
        <v>0</v>
      </c>
      <c r="AF1794">
        <v>0</v>
      </c>
      <c r="AG1794">
        <v>654.20560747663558</v>
      </c>
      <c r="AH1794" t="s">
        <v>58</v>
      </c>
    </row>
    <row r="1795" spans="1:34" x14ac:dyDescent="0.3">
      <c r="A1795" t="s">
        <v>798</v>
      </c>
      <c r="B1795">
        <v>4142301211</v>
      </c>
      <c r="C1795">
        <v>10143524</v>
      </c>
      <c r="D1795" t="s">
        <v>216</v>
      </c>
      <c r="E1795" t="s">
        <v>446</v>
      </c>
      <c r="F1795" t="s">
        <v>430</v>
      </c>
      <c r="G1795" t="s">
        <v>230</v>
      </c>
      <c r="H1795" t="s">
        <v>234</v>
      </c>
      <c r="J1795" t="s">
        <v>52</v>
      </c>
      <c r="K1795" s="15">
        <v>33000</v>
      </c>
      <c r="L1795" s="15">
        <v>0</v>
      </c>
      <c r="M1795" s="13">
        <v>45288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157938.48598130842</v>
      </c>
      <c r="Y1795">
        <v>157938.48598130842</v>
      </c>
      <c r="Z1795">
        <v>11055.694018691591</v>
      </c>
      <c r="AA1795">
        <v>168994.18000000002</v>
      </c>
      <c r="AB1795" t="s">
        <v>242</v>
      </c>
      <c r="AC1795">
        <v>3</v>
      </c>
      <c r="AD1795">
        <v>233000</v>
      </c>
      <c r="AE1795">
        <v>0</v>
      </c>
      <c r="AF1795">
        <v>0</v>
      </c>
      <c r="AG1795">
        <v>15242.990654205609</v>
      </c>
      <c r="AH1795" t="s">
        <v>58</v>
      </c>
    </row>
    <row r="1796" spans="1:34" x14ac:dyDescent="0.3">
      <c r="A1796" t="s">
        <v>798</v>
      </c>
      <c r="B1796">
        <v>4302300019</v>
      </c>
      <c r="C1796">
        <v>901019008726</v>
      </c>
      <c r="D1796" t="s">
        <v>224</v>
      </c>
      <c r="E1796" t="s">
        <v>447</v>
      </c>
      <c r="F1796" t="s">
        <v>433</v>
      </c>
      <c r="G1796" t="s">
        <v>82</v>
      </c>
      <c r="H1796" t="s">
        <v>83</v>
      </c>
      <c r="J1796" t="s">
        <v>52</v>
      </c>
      <c r="K1796" s="15">
        <v>50000</v>
      </c>
      <c r="L1796" s="15">
        <v>0</v>
      </c>
      <c r="M1796" s="13">
        <v>45288</v>
      </c>
      <c r="O1796">
        <v>0</v>
      </c>
      <c r="P1796">
        <v>0</v>
      </c>
      <c r="Q1796">
        <v>31183.52022830514</v>
      </c>
      <c r="R1796">
        <v>1621.7399999999998</v>
      </c>
      <c r="S1796">
        <v>20032.861188499868</v>
      </c>
      <c r="T1796">
        <v>0</v>
      </c>
      <c r="U1796">
        <v>0</v>
      </c>
      <c r="V1796">
        <v>472792.41</v>
      </c>
      <c r="W1796">
        <v>0</v>
      </c>
      <c r="X1796">
        <v>0</v>
      </c>
      <c r="Y1796">
        <v>525630.531416805</v>
      </c>
      <c r="Z1796">
        <v>34497.768983194997</v>
      </c>
      <c r="AA1796">
        <v>560128.30039999995</v>
      </c>
      <c r="AB1796" t="s">
        <v>242</v>
      </c>
      <c r="AC1796">
        <v>1</v>
      </c>
      <c r="AD1796">
        <v>50000</v>
      </c>
      <c r="AE1796">
        <v>0</v>
      </c>
      <c r="AF1796">
        <v>0</v>
      </c>
      <c r="AG1796">
        <v>3065.6814168050114</v>
      </c>
      <c r="AH1796" t="s">
        <v>72</v>
      </c>
    </row>
    <row r="1797" spans="1:34" x14ac:dyDescent="0.3">
      <c r="A1797" t="s">
        <v>798</v>
      </c>
      <c r="B1797">
        <v>4302300030</v>
      </c>
      <c r="C1797">
        <v>901014009060</v>
      </c>
      <c r="D1797" t="s">
        <v>226</v>
      </c>
      <c r="E1797" t="s">
        <v>447</v>
      </c>
      <c r="F1797" t="s">
        <v>433</v>
      </c>
      <c r="G1797" t="s">
        <v>82</v>
      </c>
      <c r="H1797" t="s">
        <v>83</v>
      </c>
      <c r="J1797" t="s">
        <v>52</v>
      </c>
      <c r="K1797" s="15">
        <v>20000</v>
      </c>
      <c r="L1797" s="15">
        <v>0</v>
      </c>
      <c r="M1797" s="13">
        <v>45288</v>
      </c>
      <c r="O1797">
        <v>0</v>
      </c>
      <c r="P1797">
        <v>0</v>
      </c>
      <c r="Q1797">
        <v>30198.078723899533</v>
      </c>
      <c r="R1797">
        <v>24628.69</v>
      </c>
      <c r="S1797">
        <v>6460.8152113088217</v>
      </c>
      <c r="T1797">
        <v>0</v>
      </c>
      <c r="U1797">
        <v>0</v>
      </c>
      <c r="V1797">
        <v>587264.66</v>
      </c>
      <c r="W1797">
        <v>0</v>
      </c>
      <c r="X1797">
        <v>0</v>
      </c>
      <c r="Y1797">
        <v>648552.24393520842</v>
      </c>
      <c r="Z1797">
        <v>41560.783264791622</v>
      </c>
      <c r="AA1797">
        <v>690113.02720000001</v>
      </c>
      <c r="AB1797" t="s">
        <v>242</v>
      </c>
      <c r="AC1797">
        <v>8</v>
      </c>
      <c r="AD1797">
        <v>147000</v>
      </c>
      <c r="AE1797">
        <v>0</v>
      </c>
      <c r="AF1797">
        <v>0</v>
      </c>
      <c r="AG1797">
        <v>8797.9139352083803</v>
      </c>
      <c r="AH1797" t="s">
        <v>58</v>
      </c>
    </row>
    <row r="1798" spans="1:34" x14ac:dyDescent="0.3">
      <c r="A1798" t="s">
        <v>798</v>
      </c>
      <c r="B1798">
        <v>4302300036</v>
      </c>
      <c r="C1798">
        <v>901015004180</v>
      </c>
      <c r="D1798" t="s">
        <v>226</v>
      </c>
      <c r="E1798" t="s">
        <v>447</v>
      </c>
      <c r="F1798" t="s">
        <v>433</v>
      </c>
      <c r="G1798" t="s">
        <v>82</v>
      </c>
      <c r="H1798" t="s">
        <v>83</v>
      </c>
      <c r="J1798" t="s">
        <v>52</v>
      </c>
      <c r="K1798" s="15">
        <v>20000</v>
      </c>
      <c r="L1798" s="15">
        <v>0</v>
      </c>
      <c r="M1798" s="13">
        <v>45288</v>
      </c>
      <c r="O1798">
        <v>0</v>
      </c>
      <c r="P1798">
        <v>0</v>
      </c>
      <c r="Q1798">
        <v>64397.827548459652</v>
      </c>
      <c r="R1798">
        <v>32364.02</v>
      </c>
      <c r="S1798">
        <v>81457.974253776003</v>
      </c>
      <c r="T1798">
        <v>0</v>
      </c>
      <c r="U1798">
        <v>0</v>
      </c>
      <c r="V1798">
        <v>1054424.3799999999</v>
      </c>
      <c r="W1798">
        <v>0</v>
      </c>
      <c r="X1798">
        <v>0</v>
      </c>
      <c r="Y1798">
        <v>1232644.2018022356</v>
      </c>
      <c r="Z1798">
        <v>79511.764797764321</v>
      </c>
      <c r="AA1798">
        <v>1312155.9665999999</v>
      </c>
      <c r="AB1798" t="s">
        <v>242</v>
      </c>
      <c r="AC1798">
        <v>8</v>
      </c>
      <c r="AD1798">
        <v>153000</v>
      </c>
      <c r="AE1798">
        <v>0</v>
      </c>
      <c r="AF1798">
        <v>0</v>
      </c>
      <c r="AG1798">
        <v>9220.4018022356795</v>
      </c>
      <c r="AH1798" t="s">
        <v>58</v>
      </c>
    </row>
    <row r="1799" spans="1:34" x14ac:dyDescent="0.3">
      <c r="A1799" t="s">
        <v>798</v>
      </c>
      <c r="B1799">
        <v>4312300002</v>
      </c>
      <c r="C1799" t="s">
        <v>59</v>
      </c>
      <c r="D1799" t="s">
        <v>60</v>
      </c>
      <c r="E1799" t="s">
        <v>448</v>
      </c>
      <c r="F1799" t="s">
        <v>433</v>
      </c>
      <c r="G1799" t="s">
        <v>82</v>
      </c>
      <c r="H1799" t="s">
        <v>71</v>
      </c>
      <c r="J1799" t="s">
        <v>52</v>
      </c>
      <c r="K1799" s="15">
        <v>20000</v>
      </c>
      <c r="L1799" s="15">
        <v>0</v>
      </c>
      <c r="M1799" s="13">
        <v>45288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718118.14018691599</v>
      </c>
      <c r="Y1799">
        <v>718118.14018691599</v>
      </c>
      <c r="Z1799">
        <v>50268.269813084124</v>
      </c>
      <c r="AA1799">
        <v>768386.41000000015</v>
      </c>
      <c r="AB1799" t="s">
        <v>242</v>
      </c>
      <c r="AC1799">
        <v>2</v>
      </c>
      <c r="AD1799">
        <v>40000</v>
      </c>
      <c r="AE1799">
        <v>0</v>
      </c>
      <c r="AF1799">
        <v>0</v>
      </c>
      <c r="AG1799">
        <v>2616.8224299065405</v>
      </c>
      <c r="AH1799" t="s">
        <v>58</v>
      </c>
    </row>
    <row r="1800" spans="1:34" x14ac:dyDescent="0.3">
      <c r="A1800" t="s">
        <v>798</v>
      </c>
      <c r="B1800">
        <v>4312300011</v>
      </c>
      <c r="C1800" t="s">
        <v>70</v>
      </c>
      <c r="D1800" t="s">
        <v>64</v>
      </c>
      <c r="E1800" t="s">
        <v>448</v>
      </c>
      <c r="F1800" t="s">
        <v>433</v>
      </c>
      <c r="G1800" t="s">
        <v>82</v>
      </c>
      <c r="H1800" t="s">
        <v>71</v>
      </c>
      <c r="J1800" t="s">
        <v>52</v>
      </c>
      <c r="K1800" s="15">
        <v>33000</v>
      </c>
      <c r="L1800" s="15">
        <v>0</v>
      </c>
      <c r="M1800" s="13">
        <v>45288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335058.8785046729</v>
      </c>
      <c r="Y1800">
        <v>335058.8785046729</v>
      </c>
      <c r="Z1800">
        <v>23454.121495327105</v>
      </c>
      <c r="AA1800">
        <v>358513</v>
      </c>
      <c r="AB1800" t="s">
        <v>242</v>
      </c>
      <c r="AC1800">
        <v>1</v>
      </c>
      <c r="AD1800">
        <v>33000</v>
      </c>
      <c r="AE1800">
        <v>0</v>
      </c>
      <c r="AF1800">
        <v>0</v>
      </c>
      <c r="AG1800">
        <v>2158.878504672899</v>
      </c>
      <c r="AH1800" t="s">
        <v>72</v>
      </c>
    </row>
    <row r="1801" spans="1:34" x14ac:dyDescent="0.3">
      <c r="A1801" t="s">
        <v>798</v>
      </c>
      <c r="B1801">
        <v>4312300012</v>
      </c>
      <c r="C1801" t="s">
        <v>61</v>
      </c>
      <c r="D1801" t="s">
        <v>62</v>
      </c>
      <c r="E1801" t="s">
        <v>448</v>
      </c>
      <c r="F1801" t="s">
        <v>433</v>
      </c>
      <c r="G1801" t="s">
        <v>82</v>
      </c>
      <c r="H1801" t="s">
        <v>71</v>
      </c>
      <c r="J1801" t="s">
        <v>52</v>
      </c>
      <c r="K1801" s="15">
        <v>15000</v>
      </c>
      <c r="L1801" s="15">
        <v>0</v>
      </c>
      <c r="M1801" s="13">
        <v>45288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1959878.7663551401</v>
      </c>
      <c r="Y1801">
        <v>1959878.7663551401</v>
      </c>
      <c r="Z1801">
        <v>137191.51364485984</v>
      </c>
      <c r="AA1801">
        <v>2097070.28</v>
      </c>
      <c r="AB1801" t="s">
        <v>242</v>
      </c>
      <c r="AC1801">
        <v>1</v>
      </c>
      <c r="AD1801">
        <v>15000</v>
      </c>
      <c r="AE1801">
        <v>0</v>
      </c>
      <c r="AF1801">
        <v>0</v>
      </c>
      <c r="AG1801">
        <v>981.30841121495359</v>
      </c>
      <c r="AH1801" t="s">
        <v>72</v>
      </c>
    </row>
    <row r="1802" spans="1:34" x14ac:dyDescent="0.3">
      <c r="A1802" t="s">
        <v>798</v>
      </c>
      <c r="B1802">
        <v>4312300012</v>
      </c>
      <c r="C1802" t="s">
        <v>61</v>
      </c>
      <c r="D1802" t="s">
        <v>62</v>
      </c>
      <c r="E1802" t="s">
        <v>448</v>
      </c>
      <c r="F1802" t="s">
        <v>433</v>
      </c>
      <c r="G1802" t="s">
        <v>82</v>
      </c>
      <c r="H1802" t="s">
        <v>71</v>
      </c>
      <c r="J1802" t="s">
        <v>52</v>
      </c>
      <c r="K1802" s="15">
        <v>10000</v>
      </c>
      <c r="L1802" s="15">
        <v>0</v>
      </c>
      <c r="M1802" s="13">
        <v>45288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1950532.9719626168</v>
      </c>
      <c r="Y1802">
        <v>1950532.9719626168</v>
      </c>
      <c r="Z1802">
        <v>136537.30803738319</v>
      </c>
      <c r="AA1802">
        <v>2087070.28</v>
      </c>
      <c r="AB1802" t="s">
        <v>242</v>
      </c>
      <c r="AC1802">
        <v>2</v>
      </c>
      <c r="AD1802">
        <v>25000</v>
      </c>
      <c r="AE1802">
        <v>0</v>
      </c>
      <c r="AF1802">
        <v>0</v>
      </c>
      <c r="AG1802">
        <v>1635.5140186915887</v>
      </c>
      <c r="AH1802" t="s">
        <v>58</v>
      </c>
    </row>
    <row r="1803" spans="1:34" x14ac:dyDescent="0.3">
      <c r="A1803" t="s">
        <v>798</v>
      </c>
      <c r="B1803">
        <v>4312300012</v>
      </c>
      <c r="C1803" t="s">
        <v>61</v>
      </c>
      <c r="D1803" t="s">
        <v>62</v>
      </c>
      <c r="E1803" t="s">
        <v>448</v>
      </c>
      <c r="F1803" t="s">
        <v>433</v>
      </c>
      <c r="G1803" t="s">
        <v>82</v>
      </c>
      <c r="H1803" t="s">
        <v>71</v>
      </c>
      <c r="J1803" t="s">
        <v>52</v>
      </c>
      <c r="K1803" s="15">
        <v>15000</v>
      </c>
      <c r="L1803" s="15">
        <v>0</v>
      </c>
      <c r="M1803" s="13">
        <v>45288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1936514.2803738317</v>
      </c>
      <c r="Y1803">
        <v>1936514.2803738317</v>
      </c>
      <c r="Z1803">
        <v>135555.99962616822</v>
      </c>
      <c r="AA1803">
        <v>2072070.28</v>
      </c>
      <c r="AB1803" t="s">
        <v>242</v>
      </c>
      <c r="AC1803">
        <v>3</v>
      </c>
      <c r="AD1803">
        <v>40000</v>
      </c>
      <c r="AE1803">
        <v>0</v>
      </c>
      <c r="AF1803">
        <v>0</v>
      </c>
      <c r="AG1803">
        <v>2616.8224299065423</v>
      </c>
      <c r="AH1803" t="s">
        <v>58</v>
      </c>
    </row>
    <row r="1804" spans="1:34" x14ac:dyDescent="0.3">
      <c r="A1804" t="s">
        <v>798</v>
      </c>
      <c r="B1804">
        <v>4312300012</v>
      </c>
      <c r="C1804" t="s">
        <v>61</v>
      </c>
      <c r="D1804" t="s">
        <v>62</v>
      </c>
      <c r="E1804" t="s">
        <v>448</v>
      </c>
      <c r="F1804" t="s">
        <v>433</v>
      </c>
      <c r="G1804" t="s">
        <v>82</v>
      </c>
      <c r="H1804" t="s">
        <v>71</v>
      </c>
      <c r="J1804" t="s">
        <v>52</v>
      </c>
      <c r="K1804" s="15">
        <v>15000</v>
      </c>
      <c r="L1804" s="15">
        <v>0</v>
      </c>
      <c r="M1804" s="13">
        <v>45288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1922495.5887850467</v>
      </c>
      <c r="Y1804">
        <v>1922495.5887850467</v>
      </c>
      <c r="Z1804">
        <v>134574.69121495329</v>
      </c>
      <c r="AA1804">
        <v>2057070.28</v>
      </c>
      <c r="AB1804" t="s">
        <v>242</v>
      </c>
      <c r="AC1804">
        <v>4</v>
      </c>
      <c r="AD1804">
        <v>55000</v>
      </c>
      <c r="AE1804">
        <v>0</v>
      </c>
      <c r="AF1804">
        <v>0</v>
      </c>
      <c r="AG1804">
        <v>3598.1308411214959</v>
      </c>
      <c r="AH1804" t="s">
        <v>58</v>
      </c>
    </row>
    <row r="1805" spans="1:34" x14ac:dyDescent="0.3">
      <c r="A1805" t="s">
        <v>798</v>
      </c>
      <c r="B1805">
        <v>4312300012</v>
      </c>
      <c r="C1805" t="s">
        <v>61</v>
      </c>
      <c r="D1805" t="s">
        <v>62</v>
      </c>
      <c r="E1805" t="s">
        <v>448</v>
      </c>
      <c r="F1805" t="s">
        <v>433</v>
      </c>
      <c r="G1805" t="s">
        <v>82</v>
      </c>
      <c r="H1805" t="s">
        <v>71</v>
      </c>
      <c r="J1805" t="s">
        <v>52</v>
      </c>
      <c r="K1805" s="15">
        <v>15000</v>
      </c>
      <c r="L1805" s="15">
        <v>0</v>
      </c>
      <c r="M1805" s="13">
        <v>45288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1908476.8971962617</v>
      </c>
      <c r="Y1805">
        <v>1908476.8971962617</v>
      </c>
      <c r="Z1805">
        <v>133593.38280373832</v>
      </c>
      <c r="AA1805">
        <v>2042070.28</v>
      </c>
      <c r="AB1805" t="s">
        <v>242</v>
      </c>
      <c r="AC1805">
        <v>5</v>
      </c>
      <c r="AD1805">
        <v>70000</v>
      </c>
      <c r="AE1805">
        <v>0</v>
      </c>
      <c r="AF1805">
        <v>0</v>
      </c>
      <c r="AG1805">
        <v>4579.4392523364495</v>
      </c>
      <c r="AH1805" t="s">
        <v>58</v>
      </c>
    </row>
    <row r="1806" spans="1:34" x14ac:dyDescent="0.3">
      <c r="A1806" t="s">
        <v>798</v>
      </c>
      <c r="B1806">
        <v>4312300012</v>
      </c>
      <c r="C1806" t="s">
        <v>61</v>
      </c>
      <c r="D1806" t="s">
        <v>62</v>
      </c>
      <c r="E1806" t="s">
        <v>448</v>
      </c>
      <c r="F1806" t="s">
        <v>433</v>
      </c>
      <c r="G1806" t="s">
        <v>82</v>
      </c>
      <c r="H1806" t="s">
        <v>71</v>
      </c>
      <c r="J1806" t="s">
        <v>52</v>
      </c>
      <c r="K1806" s="15">
        <v>10165</v>
      </c>
      <c r="L1806" s="15">
        <v>0</v>
      </c>
      <c r="M1806" s="13">
        <v>45288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1898976.8971962617</v>
      </c>
      <c r="Y1806">
        <v>1898976.8971962617</v>
      </c>
      <c r="Z1806">
        <v>132928.38280373832</v>
      </c>
      <c r="AA1806">
        <v>2031905.28</v>
      </c>
      <c r="AB1806" t="s">
        <v>242</v>
      </c>
      <c r="AC1806">
        <v>6</v>
      </c>
      <c r="AD1806">
        <v>80165</v>
      </c>
      <c r="AE1806">
        <v>0</v>
      </c>
      <c r="AF1806">
        <v>0</v>
      </c>
      <c r="AG1806">
        <v>5244.4392523364495</v>
      </c>
      <c r="AH1806" t="s">
        <v>58</v>
      </c>
    </row>
    <row r="1807" spans="1:34" x14ac:dyDescent="0.3">
      <c r="A1807" t="s">
        <v>798</v>
      </c>
      <c r="B1807">
        <v>4312300013</v>
      </c>
      <c r="C1807" t="s">
        <v>67</v>
      </c>
      <c r="D1807" t="s">
        <v>68</v>
      </c>
      <c r="E1807" t="s">
        <v>448</v>
      </c>
      <c r="F1807" t="s">
        <v>433</v>
      </c>
      <c r="G1807" t="s">
        <v>82</v>
      </c>
      <c r="H1807" t="s">
        <v>71</v>
      </c>
      <c r="J1807" t="s">
        <v>52</v>
      </c>
      <c r="K1807" s="15">
        <v>17500</v>
      </c>
      <c r="L1807" s="15">
        <v>0</v>
      </c>
      <c r="M1807" s="13">
        <v>45288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1852207.7663551404</v>
      </c>
      <c r="Y1807">
        <v>1852207.7663551404</v>
      </c>
      <c r="Z1807">
        <v>129654.54364485983</v>
      </c>
      <c r="AA1807">
        <v>1981862.3100000003</v>
      </c>
      <c r="AB1807" t="s">
        <v>242</v>
      </c>
      <c r="AC1807">
        <v>1</v>
      </c>
      <c r="AD1807">
        <v>17500</v>
      </c>
      <c r="AE1807">
        <v>0</v>
      </c>
      <c r="AF1807">
        <v>0</v>
      </c>
      <c r="AG1807">
        <v>1144.8598130841128</v>
      </c>
      <c r="AH1807" t="s">
        <v>72</v>
      </c>
    </row>
    <row r="1808" spans="1:34" x14ac:dyDescent="0.3">
      <c r="A1808" t="s">
        <v>798</v>
      </c>
      <c r="B1808">
        <v>4312300014</v>
      </c>
      <c r="C1808" t="s">
        <v>69</v>
      </c>
      <c r="D1808" t="s">
        <v>68</v>
      </c>
      <c r="E1808" t="s">
        <v>448</v>
      </c>
      <c r="F1808" t="s">
        <v>433</v>
      </c>
      <c r="G1808" t="s">
        <v>82</v>
      </c>
      <c r="H1808" t="s">
        <v>71</v>
      </c>
      <c r="J1808" t="s">
        <v>52</v>
      </c>
      <c r="K1808" s="15">
        <v>17500</v>
      </c>
      <c r="L1808" s="15">
        <v>0</v>
      </c>
      <c r="M1808" s="13">
        <v>45288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1877190.8598130844</v>
      </c>
      <c r="Y1808">
        <v>1877190.8598130844</v>
      </c>
      <c r="Z1808">
        <v>131403.36018691593</v>
      </c>
      <c r="AA1808">
        <v>2008594.2200000002</v>
      </c>
      <c r="AB1808" t="s">
        <v>242</v>
      </c>
      <c r="AC1808">
        <v>1</v>
      </c>
      <c r="AD1808">
        <v>17500</v>
      </c>
      <c r="AE1808">
        <v>0</v>
      </c>
      <c r="AF1808">
        <v>0</v>
      </c>
      <c r="AG1808">
        <v>1144.8598130841128</v>
      </c>
      <c r="AH1808" t="s">
        <v>72</v>
      </c>
    </row>
    <row r="1809" spans="1:34" x14ac:dyDescent="0.3">
      <c r="A1809" t="s">
        <v>798</v>
      </c>
      <c r="B1809">
        <v>5212300001</v>
      </c>
      <c r="C1809" t="s">
        <v>65</v>
      </c>
      <c r="D1809" t="s">
        <v>66</v>
      </c>
      <c r="E1809" t="s">
        <v>448</v>
      </c>
      <c r="F1809" t="s">
        <v>434</v>
      </c>
      <c r="G1809" t="s">
        <v>82</v>
      </c>
      <c r="H1809" t="s">
        <v>71</v>
      </c>
      <c r="J1809" t="s">
        <v>52</v>
      </c>
      <c r="K1809" s="15">
        <v>32170</v>
      </c>
      <c r="L1809" s="15">
        <v>0</v>
      </c>
      <c r="M1809" s="13">
        <v>45288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516579.43925233645</v>
      </c>
      <c r="Y1809">
        <v>516579.43925233645</v>
      </c>
      <c r="Z1809">
        <v>36160.560747663556</v>
      </c>
      <c r="AA1809">
        <v>552740</v>
      </c>
      <c r="AB1809" t="s">
        <v>242</v>
      </c>
      <c r="AC1809">
        <v>1</v>
      </c>
      <c r="AD1809">
        <v>32170</v>
      </c>
      <c r="AE1809">
        <v>0</v>
      </c>
      <c r="AF1809">
        <v>0</v>
      </c>
      <c r="AG1809">
        <v>2104.5794392523385</v>
      </c>
      <c r="AH1809" t="s">
        <v>72</v>
      </c>
    </row>
    <row r="1810" spans="1:34" x14ac:dyDescent="0.3">
      <c r="A1810" t="s">
        <v>798</v>
      </c>
      <c r="B1810">
        <v>4132300713</v>
      </c>
      <c r="C1810" t="s">
        <v>247</v>
      </c>
      <c r="D1810" t="s">
        <v>318</v>
      </c>
      <c r="E1810" t="s">
        <v>441</v>
      </c>
      <c r="F1810" t="s">
        <v>430</v>
      </c>
      <c r="G1810" t="s">
        <v>233</v>
      </c>
      <c r="H1810" t="s">
        <v>231</v>
      </c>
      <c r="J1810" t="s">
        <v>52</v>
      </c>
      <c r="K1810" s="15">
        <v>2000</v>
      </c>
      <c r="L1810" s="15">
        <v>0</v>
      </c>
      <c r="M1810" s="13">
        <v>45288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 t="s">
        <v>242</v>
      </c>
      <c r="AC1810">
        <v>6</v>
      </c>
      <c r="AD1810">
        <v>12000</v>
      </c>
      <c r="AE1810">
        <v>0</v>
      </c>
      <c r="AF1810">
        <v>0</v>
      </c>
      <c r="AG1810">
        <v>0</v>
      </c>
      <c r="AH1810" t="s">
        <v>58</v>
      </c>
    </row>
    <row r="1811" spans="1:34" x14ac:dyDescent="0.3">
      <c r="A1811" t="s">
        <v>798</v>
      </c>
      <c r="B1811">
        <v>4132300995</v>
      </c>
      <c r="C1811" t="s">
        <v>356</v>
      </c>
      <c r="D1811" t="s">
        <v>395</v>
      </c>
      <c r="E1811" t="s">
        <v>441</v>
      </c>
      <c r="F1811" t="s">
        <v>430</v>
      </c>
      <c r="G1811" t="s">
        <v>326</v>
      </c>
      <c r="H1811" t="s">
        <v>236</v>
      </c>
      <c r="J1811" t="s">
        <v>52</v>
      </c>
      <c r="K1811" s="15">
        <v>10000</v>
      </c>
      <c r="L1811" s="15">
        <v>0</v>
      </c>
      <c r="M1811" s="13">
        <v>45288</v>
      </c>
      <c r="O1811">
        <v>0</v>
      </c>
      <c r="P1811">
        <v>0</v>
      </c>
      <c r="Q1811">
        <v>0</v>
      </c>
      <c r="R1811">
        <v>0</v>
      </c>
      <c r="S1811">
        <v>13649.977666991039</v>
      </c>
      <c r="T1811">
        <v>0</v>
      </c>
      <c r="U1811">
        <v>0</v>
      </c>
      <c r="V1811">
        <v>29299.086292531731</v>
      </c>
      <c r="W1811">
        <v>0</v>
      </c>
      <c r="X1811">
        <v>0</v>
      </c>
      <c r="Y1811">
        <v>42949.063959522769</v>
      </c>
      <c r="Z1811">
        <v>2050.9360404772215</v>
      </c>
      <c r="AA1811">
        <v>44999.999999999993</v>
      </c>
      <c r="AB1811" t="s">
        <v>242</v>
      </c>
      <c r="AC1811">
        <v>6</v>
      </c>
      <c r="AD1811">
        <v>155000</v>
      </c>
      <c r="AE1811">
        <v>0</v>
      </c>
      <c r="AF1811">
        <v>0</v>
      </c>
      <c r="AG1811">
        <v>6711.9588882527269</v>
      </c>
      <c r="AH1811" t="s">
        <v>58</v>
      </c>
    </row>
    <row r="1812" spans="1:34" x14ac:dyDescent="0.3">
      <c r="A1812" t="s">
        <v>798</v>
      </c>
      <c r="B1812">
        <v>4132301048</v>
      </c>
      <c r="C1812" t="s">
        <v>357</v>
      </c>
      <c r="D1812" t="s">
        <v>396</v>
      </c>
      <c r="E1812" t="s">
        <v>441</v>
      </c>
      <c r="F1812" t="s">
        <v>430</v>
      </c>
      <c r="G1812" t="s">
        <v>233</v>
      </c>
      <c r="H1812" t="s">
        <v>231</v>
      </c>
      <c r="J1812" t="s">
        <v>416</v>
      </c>
      <c r="K1812" s="15">
        <v>0.52629656540284253</v>
      </c>
      <c r="L1812" s="15">
        <v>0</v>
      </c>
      <c r="M1812" s="13">
        <v>45288</v>
      </c>
      <c r="O1812">
        <v>0</v>
      </c>
      <c r="P1812">
        <v>5386.0080513696803</v>
      </c>
      <c r="Q1812">
        <v>0</v>
      </c>
      <c r="R1812">
        <v>0</v>
      </c>
      <c r="S1812">
        <v>12008.257800999962</v>
      </c>
      <c r="T1812">
        <v>10846.480511804073</v>
      </c>
      <c r="U1812">
        <v>0</v>
      </c>
      <c r="V1812">
        <v>0</v>
      </c>
      <c r="W1812">
        <v>0</v>
      </c>
      <c r="X1812">
        <v>0</v>
      </c>
      <c r="Y1812">
        <v>28240.746364173712</v>
      </c>
      <c r="Z1812">
        <v>759.25363582628518</v>
      </c>
      <c r="AA1812">
        <v>28999.999999999996</v>
      </c>
      <c r="AB1812" t="s">
        <v>242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 t="s">
        <v>72</v>
      </c>
    </row>
    <row r="1813" spans="1:34" x14ac:dyDescent="0.3">
      <c r="A1813" t="s">
        <v>798</v>
      </c>
      <c r="B1813">
        <v>4132301048</v>
      </c>
      <c r="C1813" t="s">
        <v>357</v>
      </c>
      <c r="D1813" t="s">
        <v>396</v>
      </c>
      <c r="E1813" t="s">
        <v>441</v>
      </c>
      <c r="F1813" t="s">
        <v>430</v>
      </c>
      <c r="G1813" t="s">
        <v>419</v>
      </c>
      <c r="H1813" t="s">
        <v>231</v>
      </c>
      <c r="J1813" t="s">
        <v>52</v>
      </c>
      <c r="K1813" s="15">
        <v>29000</v>
      </c>
      <c r="L1813" s="15">
        <v>0</v>
      </c>
      <c r="M1813" s="13">
        <v>45288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 t="s">
        <v>242</v>
      </c>
      <c r="AC1813">
        <v>1</v>
      </c>
      <c r="AD1813">
        <v>29000</v>
      </c>
      <c r="AE1813">
        <v>0</v>
      </c>
      <c r="AF1813">
        <v>0</v>
      </c>
      <c r="AG1813">
        <v>759.25363582628597</v>
      </c>
      <c r="AH1813" t="s">
        <v>58</v>
      </c>
    </row>
    <row r="1814" spans="1:34" x14ac:dyDescent="0.3">
      <c r="A1814" t="s">
        <v>798</v>
      </c>
      <c r="B1814">
        <v>4132301267</v>
      </c>
      <c r="C1814" t="s">
        <v>468</v>
      </c>
      <c r="D1814" t="s">
        <v>541</v>
      </c>
      <c r="E1814" t="s">
        <v>441</v>
      </c>
      <c r="F1814" t="s">
        <v>430</v>
      </c>
      <c r="G1814" t="s">
        <v>421</v>
      </c>
      <c r="H1814" t="s">
        <v>231</v>
      </c>
      <c r="J1814" t="s">
        <v>450</v>
      </c>
      <c r="K1814" s="15">
        <v>321000</v>
      </c>
      <c r="L1814" s="15">
        <v>0</v>
      </c>
      <c r="M1814" s="13">
        <v>45288</v>
      </c>
      <c r="O1814">
        <v>0</v>
      </c>
      <c r="P1814">
        <v>8980</v>
      </c>
      <c r="Q1814">
        <v>0</v>
      </c>
      <c r="R1814">
        <v>0</v>
      </c>
      <c r="S1814">
        <v>0</v>
      </c>
      <c r="T1814">
        <v>56074.766355140186</v>
      </c>
      <c r="U1814">
        <v>0</v>
      </c>
      <c r="V1814">
        <v>0</v>
      </c>
      <c r="W1814">
        <v>0</v>
      </c>
      <c r="X1814">
        <v>0</v>
      </c>
      <c r="Y1814">
        <v>65054.766355140186</v>
      </c>
      <c r="Z1814">
        <v>3925.2336448598135</v>
      </c>
      <c r="AA1814">
        <v>68980</v>
      </c>
      <c r="AB1814" t="s">
        <v>594</v>
      </c>
      <c r="AC1814">
        <v>0</v>
      </c>
      <c r="AD1814">
        <v>0</v>
      </c>
      <c r="AE1814">
        <v>0</v>
      </c>
      <c r="AF1814">
        <v>321000</v>
      </c>
      <c r="AG1814">
        <v>21000</v>
      </c>
      <c r="AH1814" t="s">
        <v>72</v>
      </c>
    </row>
    <row r="1815" spans="1:34" x14ac:dyDescent="0.3">
      <c r="A1815" t="s">
        <v>798</v>
      </c>
      <c r="B1815">
        <v>4142300444</v>
      </c>
      <c r="C1815" t="s">
        <v>491</v>
      </c>
      <c r="D1815" t="s">
        <v>563</v>
      </c>
      <c r="E1815" t="s">
        <v>445</v>
      </c>
      <c r="F1815" t="s">
        <v>430</v>
      </c>
      <c r="G1815" t="s">
        <v>230</v>
      </c>
      <c r="H1815" t="s">
        <v>234</v>
      </c>
      <c r="J1815" t="s">
        <v>52</v>
      </c>
      <c r="K1815" s="15">
        <v>100000</v>
      </c>
      <c r="L1815" s="15">
        <v>0</v>
      </c>
      <c r="M1815" s="13">
        <v>45288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93457.943925233616</v>
      </c>
      <c r="Y1815">
        <v>93457.943925233616</v>
      </c>
      <c r="Z1815">
        <v>6542.056074766354</v>
      </c>
      <c r="AA1815">
        <v>99999.999999999971</v>
      </c>
      <c r="AB1815" t="s">
        <v>242</v>
      </c>
      <c r="AC1815">
        <v>4</v>
      </c>
      <c r="AD1815">
        <v>302000</v>
      </c>
      <c r="AE1815">
        <v>0</v>
      </c>
      <c r="AF1815">
        <v>0</v>
      </c>
      <c r="AG1815">
        <v>19757.009345794391</v>
      </c>
      <c r="AH1815" t="s">
        <v>58</v>
      </c>
    </row>
    <row r="1816" spans="1:34" x14ac:dyDescent="0.3">
      <c r="A1816" t="s">
        <v>798</v>
      </c>
      <c r="B1816">
        <v>4312300010</v>
      </c>
      <c r="C1816" t="s">
        <v>517</v>
      </c>
      <c r="D1816" t="s">
        <v>592</v>
      </c>
      <c r="E1816" t="s">
        <v>448</v>
      </c>
      <c r="F1816" t="s">
        <v>433</v>
      </c>
      <c r="G1816" t="s">
        <v>82</v>
      </c>
      <c r="H1816" t="s">
        <v>71</v>
      </c>
      <c r="J1816" t="s">
        <v>52</v>
      </c>
      <c r="K1816" s="15">
        <v>24973.8</v>
      </c>
      <c r="L1816" s="15">
        <v>0</v>
      </c>
      <c r="M1816" s="13">
        <v>45288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186622.05607476635</v>
      </c>
      <c r="Y1816">
        <v>186622.05607476635</v>
      </c>
      <c r="Z1816">
        <v>13063.543925233645</v>
      </c>
      <c r="AA1816">
        <v>199685.6</v>
      </c>
      <c r="AB1816" t="s">
        <v>242</v>
      </c>
      <c r="AC1816">
        <v>2</v>
      </c>
      <c r="AD1816">
        <v>124973.8</v>
      </c>
      <c r="AE1816">
        <v>0</v>
      </c>
      <c r="AF1816">
        <v>0</v>
      </c>
      <c r="AG1816">
        <v>8175.8560747663541</v>
      </c>
      <c r="AH1816" t="s">
        <v>58</v>
      </c>
    </row>
    <row r="1817" spans="1:34" x14ac:dyDescent="0.3">
      <c r="A1817" t="s">
        <v>798</v>
      </c>
      <c r="B1817">
        <v>42201112</v>
      </c>
      <c r="C1817" t="s">
        <v>92</v>
      </c>
      <c r="D1817" t="s">
        <v>128</v>
      </c>
      <c r="E1817" t="s">
        <v>439</v>
      </c>
      <c r="F1817" t="s">
        <v>430</v>
      </c>
      <c r="G1817" t="s">
        <v>233</v>
      </c>
      <c r="H1817" t="s">
        <v>234</v>
      </c>
      <c r="J1817" t="s">
        <v>416</v>
      </c>
      <c r="K1817" s="15">
        <v>0.40048452840414384</v>
      </c>
      <c r="M1817" s="13">
        <v>45288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25235.909011234307</v>
      </c>
      <c r="Y1817">
        <v>25235.909011234307</v>
      </c>
      <c r="Z1817">
        <v>1766.5136307864018</v>
      </c>
      <c r="AA1817">
        <v>27002.422642020709</v>
      </c>
      <c r="AB1817" t="s">
        <v>242</v>
      </c>
      <c r="AC1817">
        <v>7</v>
      </c>
      <c r="AD1817">
        <v>82000</v>
      </c>
      <c r="AE1817">
        <v>0</v>
      </c>
      <c r="AF1817">
        <v>0</v>
      </c>
      <c r="AG1817">
        <v>5364.4859813084086</v>
      </c>
      <c r="AH1817" t="s">
        <v>58</v>
      </c>
    </row>
    <row r="1818" spans="1:34" x14ac:dyDescent="0.3">
      <c r="A1818" t="s">
        <v>798</v>
      </c>
      <c r="B1818">
        <v>4142300794</v>
      </c>
      <c r="C1818" t="s">
        <v>104</v>
      </c>
      <c r="D1818" t="s">
        <v>209</v>
      </c>
      <c r="E1818" t="s">
        <v>445</v>
      </c>
      <c r="F1818" t="s">
        <v>430</v>
      </c>
      <c r="G1818" t="s">
        <v>230</v>
      </c>
      <c r="H1818" t="s">
        <v>234</v>
      </c>
      <c r="J1818" t="s">
        <v>416</v>
      </c>
      <c r="K1818" s="15">
        <v>0.1535</v>
      </c>
      <c r="M1818" s="13">
        <v>45288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372697.55005140183</v>
      </c>
      <c r="Y1818">
        <v>372697.55005140183</v>
      </c>
      <c r="Z1818">
        <v>26088.828503598132</v>
      </c>
      <c r="AA1818">
        <v>398786.37855499994</v>
      </c>
      <c r="AB1818" t="s">
        <v>242</v>
      </c>
      <c r="AC1818">
        <v>5</v>
      </c>
      <c r="AD1818">
        <v>77000</v>
      </c>
      <c r="AE1818">
        <v>0</v>
      </c>
      <c r="AF1818">
        <v>0</v>
      </c>
      <c r="AG1818">
        <v>5037.3831775700937</v>
      </c>
      <c r="AH1818" t="s">
        <v>58</v>
      </c>
    </row>
    <row r="1819" spans="1:34" x14ac:dyDescent="0.3">
      <c r="A1819" t="s">
        <v>798</v>
      </c>
      <c r="B1819">
        <v>52200709</v>
      </c>
      <c r="C1819">
        <v>25387582</v>
      </c>
      <c r="D1819" t="s">
        <v>859</v>
      </c>
      <c r="E1819" t="s">
        <v>438</v>
      </c>
      <c r="F1819" t="s">
        <v>431</v>
      </c>
      <c r="G1819" t="s">
        <v>82</v>
      </c>
      <c r="H1819" t="s">
        <v>83</v>
      </c>
      <c r="J1819" t="s">
        <v>52</v>
      </c>
      <c r="K1819" s="15">
        <v>500</v>
      </c>
      <c r="L1819" s="15">
        <v>0</v>
      </c>
      <c r="M1819" s="13">
        <v>45289</v>
      </c>
      <c r="O1819">
        <v>0</v>
      </c>
      <c r="P1819">
        <v>0</v>
      </c>
      <c r="Q1819">
        <v>0</v>
      </c>
      <c r="R1819">
        <v>852.40454436537755</v>
      </c>
      <c r="S1819">
        <v>30953.408034597967</v>
      </c>
      <c r="T1819">
        <v>0</v>
      </c>
      <c r="U1819">
        <v>0</v>
      </c>
      <c r="V1819">
        <v>50076.119419790222</v>
      </c>
      <c r="W1819">
        <v>0</v>
      </c>
      <c r="X1819">
        <v>0</v>
      </c>
      <c r="Y1819">
        <v>81881.931998753571</v>
      </c>
      <c r="Z1819">
        <v>5672.0669218071735</v>
      </c>
      <c r="AA1819">
        <v>87553.998920560742</v>
      </c>
      <c r="AB1819" t="s">
        <v>242</v>
      </c>
      <c r="AC1819">
        <v>3</v>
      </c>
      <c r="AD1819">
        <v>3700</v>
      </c>
      <c r="AE1819">
        <v>0</v>
      </c>
      <c r="AF1819">
        <v>0</v>
      </c>
      <c r="AG1819">
        <v>239.53113841642664</v>
      </c>
      <c r="AH1819" t="s">
        <v>58</v>
      </c>
    </row>
    <row r="1820" spans="1:34" x14ac:dyDescent="0.3">
      <c r="A1820" t="s">
        <v>798</v>
      </c>
      <c r="B1820">
        <v>52200925</v>
      </c>
      <c r="C1820">
        <v>26945932</v>
      </c>
      <c r="D1820" t="s">
        <v>866</v>
      </c>
      <c r="E1820" t="s">
        <v>438</v>
      </c>
      <c r="F1820" t="s">
        <v>431</v>
      </c>
      <c r="G1820" t="s">
        <v>82</v>
      </c>
      <c r="H1820" t="s">
        <v>83</v>
      </c>
      <c r="J1820" t="s">
        <v>52</v>
      </c>
      <c r="K1820" s="15">
        <v>1000</v>
      </c>
      <c r="L1820" s="15">
        <v>0</v>
      </c>
      <c r="M1820" s="13">
        <v>45289</v>
      </c>
      <c r="O1820">
        <v>0</v>
      </c>
      <c r="P1820">
        <v>0</v>
      </c>
      <c r="Q1820">
        <v>0</v>
      </c>
      <c r="R1820">
        <v>695.32139860008829</v>
      </c>
      <c r="S1820">
        <v>3804.5626919698634</v>
      </c>
      <c r="T1820">
        <v>0</v>
      </c>
      <c r="U1820">
        <v>0</v>
      </c>
      <c r="V1820">
        <v>45808.220686926034</v>
      </c>
      <c r="W1820">
        <v>0</v>
      </c>
      <c r="X1820">
        <v>0</v>
      </c>
      <c r="Y1820">
        <v>50308.104777495988</v>
      </c>
      <c r="Z1820">
        <v>3472.8948365227129</v>
      </c>
      <c r="AA1820">
        <v>53780.9996140187</v>
      </c>
      <c r="AB1820" t="s">
        <v>242</v>
      </c>
      <c r="AC1820">
        <v>4</v>
      </c>
      <c r="AD1820">
        <v>14000</v>
      </c>
      <c r="AE1820">
        <v>0</v>
      </c>
      <c r="AF1820">
        <v>0</v>
      </c>
      <c r="AG1820">
        <v>903.08644663738937</v>
      </c>
      <c r="AH1820" t="s">
        <v>58</v>
      </c>
    </row>
    <row r="1821" spans="1:34" x14ac:dyDescent="0.3">
      <c r="A1821" t="s">
        <v>798</v>
      </c>
      <c r="B1821">
        <v>52201065</v>
      </c>
      <c r="C1821">
        <v>26216751</v>
      </c>
      <c r="D1821" t="s">
        <v>148</v>
      </c>
      <c r="E1821" t="s">
        <v>438</v>
      </c>
      <c r="F1821" t="s">
        <v>431</v>
      </c>
      <c r="G1821" t="s">
        <v>82</v>
      </c>
      <c r="H1821" t="s">
        <v>83</v>
      </c>
      <c r="J1821" t="s">
        <v>52</v>
      </c>
      <c r="K1821" s="15">
        <v>3500</v>
      </c>
      <c r="L1821" s="15">
        <v>0</v>
      </c>
      <c r="M1821" s="13">
        <v>45289</v>
      </c>
      <c r="O1821">
        <v>0</v>
      </c>
      <c r="P1821">
        <v>0</v>
      </c>
      <c r="Q1821">
        <v>0</v>
      </c>
      <c r="R1821">
        <v>882.60917536930947</v>
      </c>
      <c r="S1821">
        <v>15189.294274647336</v>
      </c>
      <c r="T1821">
        <v>0</v>
      </c>
      <c r="U1821">
        <v>0</v>
      </c>
      <c r="V1821">
        <v>43621.351324133189</v>
      </c>
      <c r="W1821">
        <v>0</v>
      </c>
      <c r="X1821">
        <v>0</v>
      </c>
      <c r="Y1821">
        <v>59693.254774149835</v>
      </c>
      <c r="Z1821">
        <v>4116.745191914637</v>
      </c>
      <c r="AA1821">
        <v>63809.999966064468</v>
      </c>
      <c r="AB1821" t="s">
        <v>242</v>
      </c>
      <c r="AC1821">
        <v>3</v>
      </c>
      <c r="AD1821">
        <v>10500</v>
      </c>
      <c r="AE1821">
        <v>0</v>
      </c>
      <c r="AF1821">
        <v>0</v>
      </c>
      <c r="AG1821">
        <v>676.68471240733788</v>
      </c>
      <c r="AH1821" t="s">
        <v>58</v>
      </c>
    </row>
    <row r="1822" spans="1:34" x14ac:dyDescent="0.3">
      <c r="A1822" t="s">
        <v>798</v>
      </c>
      <c r="B1822">
        <v>52201274</v>
      </c>
      <c r="C1822">
        <v>25806950</v>
      </c>
      <c r="D1822" t="s">
        <v>152</v>
      </c>
      <c r="E1822" t="s">
        <v>438</v>
      </c>
      <c r="F1822" t="s">
        <v>431</v>
      </c>
      <c r="G1822" t="s">
        <v>82</v>
      </c>
      <c r="H1822" t="s">
        <v>83</v>
      </c>
      <c r="J1822" t="s">
        <v>52</v>
      </c>
      <c r="K1822" s="15">
        <v>1000</v>
      </c>
      <c r="L1822" s="15">
        <v>0</v>
      </c>
      <c r="M1822" s="13">
        <v>45289</v>
      </c>
      <c r="O1822">
        <v>0</v>
      </c>
      <c r="P1822">
        <v>0</v>
      </c>
      <c r="Q1822">
        <v>0</v>
      </c>
      <c r="R1822">
        <v>835.66718799234604</v>
      </c>
      <c r="S1822">
        <v>15402.85140579192</v>
      </c>
      <c r="T1822">
        <v>0</v>
      </c>
      <c r="U1822">
        <v>0</v>
      </c>
      <c r="V1822">
        <v>82200.263157792826</v>
      </c>
      <c r="W1822">
        <v>0</v>
      </c>
      <c r="X1822">
        <v>0</v>
      </c>
      <c r="Y1822">
        <v>98438.781751577088</v>
      </c>
      <c r="Z1822">
        <v>6832.2180194509328</v>
      </c>
      <c r="AA1822">
        <v>105270.99977102801</v>
      </c>
      <c r="AB1822" t="s">
        <v>242</v>
      </c>
      <c r="AC1822">
        <v>4</v>
      </c>
      <c r="AD1822">
        <v>6500</v>
      </c>
      <c r="AE1822">
        <v>0</v>
      </c>
      <c r="AF1822">
        <v>0</v>
      </c>
      <c r="AG1822">
        <v>421.61374127052738</v>
      </c>
      <c r="AH1822" t="s">
        <v>58</v>
      </c>
    </row>
    <row r="1823" spans="1:34" x14ac:dyDescent="0.3">
      <c r="A1823" t="s">
        <v>798</v>
      </c>
      <c r="B1823">
        <v>52201340</v>
      </c>
      <c r="C1823">
        <v>28518241</v>
      </c>
      <c r="D1823" t="s">
        <v>154</v>
      </c>
      <c r="E1823" t="s">
        <v>438</v>
      </c>
      <c r="F1823" t="s">
        <v>431</v>
      </c>
      <c r="G1823" t="s">
        <v>82</v>
      </c>
      <c r="H1823" t="s">
        <v>83</v>
      </c>
      <c r="J1823" t="s">
        <v>52</v>
      </c>
      <c r="K1823" s="15">
        <v>1000</v>
      </c>
      <c r="L1823" s="15">
        <v>0</v>
      </c>
      <c r="M1823" s="13">
        <v>45289</v>
      </c>
      <c r="O1823">
        <v>0</v>
      </c>
      <c r="P1823">
        <v>0</v>
      </c>
      <c r="Q1823">
        <v>0</v>
      </c>
      <c r="R1823">
        <v>885.41849860674563</v>
      </c>
      <c r="S1823">
        <v>13958.747790197565</v>
      </c>
      <c r="T1823">
        <v>0</v>
      </c>
      <c r="U1823">
        <v>0</v>
      </c>
      <c r="V1823">
        <v>46100.673645528383</v>
      </c>
      <c r="W1823">
        <v>0</v>
      </c>
      <c r="X1823">
        <v>0</v>
      </c>
      <c r="Y1823">
        <v>60944.839934332689</v>
      </c>
      <c r="Z1823">
        <v>4204.1595005008166</v>
      </c>
      <c r="AA1823">
        <v>65148.999434833502</v>
      </c>
      <c r="AB1823" t="s">
        <v>242</v>
      </c>
      <c r="AC1823">
        <v>7</v>
      </c>
      <c r="AD1823">
        <v>10500</v>
      </c>
      <c r="AE1823">
        <v>0</v>
      </c>
      <c r="AF1823">
        <v>0</v>
      </c>
      <c r="AG1823">
        <v>676.86849990885253</v>
      </c>
      <c r="AH1823" t="s">
        <v>58</v>
      </c>
    </row>
    <row r="1824" spans="1:34" x14ac:dyDescent="0.3">
      <c r="A1824" t="s">
        <v>798</v>
      </c>
      <c r="B1824">
        <v>52201352</v>
      </c>
      <c r="C1824">
        <v>26584588</v>
      </c>
      <c r="D1824" t="s">
        <v>156</v>
      </c>
      <c r="E1824" t="s">
        <v>438</v>
      </c>
      <c r="F1824" t="s">
        <v>431</v>
      </c>
      <c r="G1824" t="s">
        <v>82</v>
      </c>
      <c r="H1824" t="s">
        <v>83</v>
      </c>
      <c r="J1824" t="s">
        <v>52</v>
      </c>
      <c r="K1824" s="15">
        <v>2000</v>
      </c>
      <c r="L1824" s="15">
        <v>0</v>
      </c>
      <c r="M1824" s="13">
        <v>45289</v>
      </c>
      <c r="O1824">
        <v>0</v>
      </c>
      <c r="P1824">
        <v>0</v>
      </c>
      <c r="Q1824">
        <v>0</v>
      </c>
      <c r="R1824">
        <v>951.31051406037818</v>
      </c>
      <c r="S1824">
        <v>39344.051881022737</v>
      </c>
      <c r="T1824">
        <v>0</v>
      </c>
      <c r="U1824">
        <v>0</v>
      </c>
      <c r="V1824">
        <v>58235.096694359752</v>
      </c>
      <c r="W1824">
        <v>0</v>
      </c>
      <c r="X1824">
        <v>0</v>
      </c>
      <c r="Y1824">
        <v>98530.459089442869</v>
      </c>
      <c r="Z1824">
        <v>6830.5404002767746</v>
      </c>
      <c r="AA1824">
        <v>105360.99948971964</v>
      </c>
      <c r="AB1824" t="s">
        <v>242</v>
      </c>
      <c r="AC1824">
        <v>3</v>
      </c>
      <c r="AD1824">
        <v>4000</v>
      </c>
      <c r="AE1824">
        <v>0</v>
      </c>
      <c r="AF1824">
        <v>0</v>
      </c>
      <c r="AG1824">
        <v>259.15115512544537</v>
      </c>
      <c r="AH1824" t="s">
        <v>58</v>
      </c>
    </row>
    <row r="1825" spans="1:34" x14ac:dyDescent="0.3">
      <c r="A1825" t="s">
        <v>798</v>
      </c>
      <c r="B1825">
        <v>52201479</v>
      </c>
      <c r="C1825">
        <v>26373941</v>
      </c>
      <c r="D1825" t="s">
        <v>159</v>
      </c>
      <c r="E1825" t="s">
        <v>438</v>
      </c>
      <c r="F1825" t="s">
        <v>431</v>
      </c>
      <c r="G1825" t="s">
        <v>82</v>
      </c>
      <c r="H1825" t="s">
        <v>83</v>
      </c>
      <c r="J1825" t="s">
        <v>52</v>
      </c>
      <c r="K1825" s="15">
        <v>4700</v>
      </c>
      <c r="L1825" s="15">
        <v>0</v>
      </c>
      <c r="M1825" s="13">
        <v>45289</v>
      </c>
      <c r="O1825">
        <v>0</v>
      </c>
      <c r="P1825">
        <v>0</v>
      </c>
      <c r="Q1825">
        <v>0</v>
      </c>
      <c r="R1825">
        <v>330.53843048483122</v>
      </c>
      <c r="S1825">
        <v>0</v>
      </c>
      <c r="T1825">
        <v>0</v>
      </c>
      <c r="U1825">
        <v>0</v>
      </c>
      <c r="V1825">
        <v>27011.646406132615</v>
      </c>
      <c r="W1825">
        <v>0</v>
      </c>
      <c r="X1825">
        <v>0</v>
      </c>
      <c r="Y1825">
        <v>27342.184836617445</v>
      </c>
      <c r="Z1825">
        <v>1890.8152484292832</v>
      </c>
      <c r="AA1825">
        <v>29233.00008504673</v>
      </c>
      <c r="AB1825" t="s">
        <v>242</v>
      </c>
      <c r="AC1825">
        <v>10</v>
      </c>
      <c r="AD1825">
        <v>44400</v>
      </c>
      <c r="AE1825">
        <v>0</v>
      </c>
      <c r="AF1825">
        <v>0</v>
      </c>
      <c r="AG1825">
        <v>2868.0071870410643</v>
      </c>
      <c r="AH1825" t="s">
        <v>58</v>
      </c>
    </row>
    <row r="1826" spans="1:34" x14ac:dyDescent="0.3">
      <c r="A1826" t="s">
        <v>798</v>
      </c>
      <c r="B1826">
        <v>52201828</v>
      </c>
      <c r="C1826">
        <v>25536725</v>
      </c>
      <c r="D1826" t="s">
        <v>166</v>
      </c>
      <c r="E1826" t="s">
        <v>438</v>
      </c>
      <c r="F1826" t="s">
        <v>431</v>
      </c>
      <c r="G1826" t="s">
        <v>82</v>
      </c>
      <c r="H1826" t="s">
        <v>83</v>
      </c>
      <c r="J1826" t="s">
        <v>52</v>
      </c>
      <c r="K1826" s="15">
        <v>500</v>
      </c>
      <c r="L1826" s="15">
        <v>0</v>
      </c>
      <c r="M1826" s="13">
        <v>45289</v>
      </c>
      <c r="O1826">
        <v>0</v>
      </c>
      <c r="P1826">
        <v>0</v>
      </c>
      <c r="Q1826">
        <v>0</v>
      </c>
      <c r="R1826">
        <v>814.96630517406766</v>
      </c>
      <c r="S1826">
        <v>13475.603640855939</v>
      </c>
      <c r="T1826">
        <v>0</v>
      </c>
      <c r="U1826">
        <v>0</v>
      </c>
      <c r="V1826">
        <v>46273.024665951423</v>
      </c>
      <c r="W1826">
        <v>0</v>
      </c>
      <c r="X1826">
        <v>0</v>
      </c>
      <c r="Y1826">
        <v>60563.594611981433</v>
      </c>
      <c r="Z1826">
        <v>4182.4039814765156</v>
      </c>
      <c r="AA1826">
        <v>64745.998593457945</v>
      </c>
      <c r="AB1826" t="s">
        <v>242</v>
      </c>
      <c r="AC1826">
        <v>11</v>
      </c>
      <c r="AD1826">
        <v>16500</v>
      </c>
      <c r="AE1826">
        <v>0</v>
      </c>
      <c r="AF1826">
        <v>0</v>
      </c>
      <c r="AG1826">
        <v>1064.782842394565</v>
      </c>
      <c r="AH1826" t="s">
        <v>58</v>
      </c>
    </row>
    <row r="1827" spans="1:34" x14ac:dyDescent="0.3">
      <c r="A1827" t="s">
        <v>798</v>
      </c>
      <c r="B1827">
        <v>4132300026</v>
      </c>
      <c r="C1827">
        <v>1011635942</v>
      </c>
      <c r="D1827" t="s">
        <v>899</v>
      </c>
      <c r="E1827" t="s">
        <v>441</v>
      </c>
      <c r="F1827" t="s">
        <v>430</v>
      </c>
      <c r="G1827" t="s">
        <v>235</v>
      </c>
      <c r="H1827" t="s">
        <v>236</v>
      </c>
      <c r="J1827" t="s">
        <v>52</v>
      </c>
      <c r="K1827" s="15">
        <v>1000</v>
      </c>
      <c r="L1827" s="15">
        <v>0</v>
      </c>
      <c r="M1827" s="13">
        <v>45289</v>
      </c>
      <c r="O1827">
        <v>0</v>
      </c>
      <c r="P1827">
        <v>0</v>
      </c>
      <c r="Q1827">
        <v>0</v>
      </c>
      <c r="R1827">
        <v>0</v>
      </c>
      <c r="S1827">
        <v>220728.78584175557</v>
      </c>
      <c r="T1827">
        <v>0</v>
      </c>
      <c r="U1827">
        <v>0</v>
      </c>
      <c r="V1827">
        <v>456379.44736335735</v>
      </c>
      <c r="W1827">
        <v>0</v>
      </c>
      <c r="X1827">
        <v>0</v>
      </c>
      <c r="Y1827">
        <v>677108.23320511286</v>
      </c>
      <c r="Z1827">
        <v>31946.561315435018</v>
      </c>
      <c r="AA1827">
        <v>709054.79452054785</v>
      </c>
      <c r="AB1827" t="s">
        <v>242</v>
      </c>
      <c r="AC1827">
        <v>1</v>
      </c>
      <c r="AD1827">
        <v>1000</v>
      </c>
      <c r="AE1827">
        <v>0</v>
      </c>
      <c r="AF1827">
        <v>0</v>
      </c>
      <c r="AG1827">
        <v>44.092890172462717</v>
      </c>
      <c r="AH1827" t="s">
        <v>72</v>
      </c>
    </row>
    <row r="1828" spans="1:34" x14ac:dyDescent="0.3">
      <c r="A1828" t="s">
        <v>798</v>
      </c>
      <c r="B1828">
        <v>4132301147</v>
      </c>
      <c r="C1828">
        <v>3100025875</v>
      </c>
      <c r="D1828" t="s">
        <v>180</v>
      </c>
      <c r="E1828" t="s">
        <v>441</v>
      </c>
      <c r="F1828" t="s">
        <v>430</v>
      </c>
      <c r="G1828" t="s">
        <v>233</v>
      </c>
      <c r="H1828" t="s">
        <v>231</v>
      </c>
      <c r="J1828" t="s">
        <v>52</v>
      </c>
      <c r="K1828" s="15">
        <v>1000</v>
      </c>
      <c r="L1828" s="15">
        <v>0</v>
      </c>
      <c r="M1828" s="13">
        <v>45289</v>
      </c>
      <c r="O1828">
        <v>0</v>
      </c>
      <c r="P1828">
        <v>744.54864015769635</v>
      </c>
      <c r="Q1828">
        <v>0</v>
      </c>
      <c r="R1828">
        <v>0</v>
      </c>
      <c r="S1828">
        <v>1065.7191780821918</v>
      </c>
      <c r="T1828">
        <v>1500.4218316283213</v>
      </c>
      <c r="U1828">
        <v>0</v>
      </c>
      <c r="V1828">
        <v>0</v>
      </c>
      <c r="W1828">
        <v>0</v>
      </c>
      <c r="X1828">
        <v>0</v>
      </c>
      <c r="Y1828">
        <v>3310.6896498682095</v>
      </c>
      <c r="Z1828">
        <v>105.0295282139825</v>
      </c>
      <c r="AA1828">
        <v>3415.7191780821918</v>
      </c>
      <c r="AB1828" t="s">
        <v>242</v>
      </c>
      <c r="AC1828">
        <v>6</v>
      </c>
      <c r="AD1828">
        <v>6000</v>
      </c>
      <c r="AE1828">
        <v>0</v>
      </c>
      <c r="AF1828">
        <v>0</v>
      </c>
      <c r="AG1828">
        <v>173.00785496358765</v>
      </c>
      <c r="AH1828" t="s">
        <v>58</v>
      </c>
    </row>
    <row r="1829" spans="1:34" x14ac:dyDescent="0.3">
      <c r="A1829" t="s">
        <v>798</v>
      </c>
      <c r="B1829">
        <v>4132301981</v>
      </c>
      <c r="C1829" t="s">
        <v>101</v>
      </c>
      <c r="D1829" t="s">
        <v>184</v>
      </c>
      <c r="E1829" t="s">
        <v>442</v>
      </c>
      <c r="F1829" t="s">
        <v>430</v>
      </c>
      <c r="G1829" t="s">
        <v>230</v>
      </c>
      <c r="H1829" t="s">
        <v>231</v>
      </c>
      <c r="J1829" t="s">
        <v>52</v>
      </c>
      <c r="K1829" s="15">
        <v>3000</v>
      </c>
      <c r="L1829" s="15">
        <v>0</v>
      </c>
      <c r="M1829" s="13">
        <v>45289</v>
      </c>
      <c r="O1829">
        <v>0</v>
      </c>
      <c r="P1829">
        <v>20997.439620627705</v>
      </c>
      <c r="Q1829">
        <v>0</v>
      </c>
      <c r="R1829">
        <v>0</v>
      </c>
      <c r="S1829">
        <v>23352.81</v>
      </c>
      <c r="T1829">
        <v>13413.607831189063</v>
      </c>
      <c r="U1829">
        <v>78504.672897196258</v>
      </c>
      <c r="V1829">
        <v>0</v>
      </c>
      <c r="W1829">
        <v>619149.53271028039</v>
      </c>
      <c r="X1829">
        <v>0</v>
      </c>
      <c r="Y1829">
        <v>755418.06305929343</v>
      </c>
      <c r="Z1829">
        <v>49774.746940706602</v>
      </c>
      <c r="AA1829">
        <v>805192.81</v>
      </c>
      <c r="AB1829" t="s">
        <v>242</v>
      </c>
      <c r="AC1829">
        <v>2</v>
      </c>
      <c r="AD1829">
        <v>23000</v>
      </c>
      <c r="AE1829">
        <v>0</v>
      </c>
      <c r="AF1829">
        <v>0</v>
      </c>
      <c r="AG1829">
        <v>1416.1876387326556</v>
      </c>
      <c r="AH1829" t="s">
        <v>58</v>
      </c>
    </row>
    <row r="1830" spans="1:34" x14ac:dyDescent="0.3">
      <c r="A1830" t="s">
        <v>798</v>
      </c>
      <c r="B1830">
        <v>4142300107</v>
      </c>
      <c r="C1830">
        <v>96093</v>
      </c>
      <c r="D1830" t="s">
        <v>188</v>
      </c>
      <c r="E1830" t="s">
        <v>444</v>
      </c>
      <c r="F1830" t="s">
        <v>430</v>
      </c>
      <c r="G1830" t="s">
        <v>230</v>
      </c>
      <c r="H1830" t="s">
        <v>231</v>
      </c>
      <c r="J1830" t="s">
        <v>52</v>
      </c>
      <c r="K1830" s="15">
        <v>32000</v>
      </c>
      <c r="L1830" s="15">
        <v>0</v>
      </c>
      <c r="M1830" s="13">
        <v>45289</v>
      </c>
      <c r="O1830">
        <v>0</v>
      </c>
      <c r="P1830">
        <v>3001.4847535224444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114359.36004343699</v>
      </c>
      <c r="X1830">
        <v>0</v>
      </c>
      <c r="Y1830">
        <v>117360.84479695943</v>
      </c>
      <c r="Z1830">
        <v>8005.1552030405901</v>
      </c>
      <c r="AA1830">
        <v>125366.00000000001</v>
      </c>
      <c r="AB1830" t="s">
        <v>242</v>
      </c>
      <c r="AC1830">
        <v>2</v>
      </c>
      <c r="AD1830">
        <v>112320</v>
      </c>
      <c r="AE1830">
        <v>0</v>
      </c>
      <c r="AF1830">
        <v>0</v>
      </c>
      <c r="AG1830">
        <v>7151.8728343425937</v>
      </c>
      <c r="AH1830" t="s">
        <v>58</v>
      </c>
    </row>
    <row r="1831" spans="1:34" x14ac:dyDescent="0.3">
      <c r="A1831" t="s">
        <v>798</v>
      </c>
      <c r="B1831">
        <v>4142300160</v>
      </c>
      <c r="C1831">
        <v>10044677</v>
      </c>
      <c r="D1831" t="s">
        <v>190</v>
      </c>
      <c r="E1831" t="s">
        <v>445</v>
      </c>
      <c r="F1831" t="s">
        <v>430</v>
      </c>
      <c r="G1831" t="s">
        <v>230</v>
      </c>
      <c r="H1831" t="s">
        <v>234</v>
      </c>
      <c r="J1831" t="s">
        <v>52</v>
      </c>
      <c r="K1831" s="15">
        <v>28000</v>
      </c>
      <c r="L1831" s="15">
        <v>0</v>
      </c>
      <c r="M1831" s="13">
        <v>45289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34453.841121495345</v>
      </c>
      <c r="Y1831">
        <v>34453.841121495345</v>
      </c>
      <c r="Z1831">
        <v>2411.7688785046744</v>
      </c>
      <c r="AA1831">
        <v>36865.610000000022</v>
      </c>
      <c r="AB1831" t="s">
        <v>242</v>
      </c>
      <c r="AC1831">
        <v>8</v>
      </c>
      <c r="AD1831">
        <v>50000</v>
      </c>
      <c r="AE1831">
        <v>0</v>
      </c>
      <c r="AF1831">
        <v>0</v>
      </c>
      <c r="AG1831">
        <v>3271.0280373831788</v>
      </c>
      <c r="AH1831" t="s">
        <v>58</v>
      </c>
    </row>
    <row r="1832" spans="1:34" x14ac:dyDescent="0.3">
      <c r="A1832" t="s">
        <v>798</v>
      </c>
      <c r="B1832">
        <v>4142300201</v>
      </c>
      <c r="C1832">
        <v>10077114</v>
      </c>
      <c r="D1832" t="s">
        <v>193</v>
      </c>
      <c r="E1832" t="s">
        <v>445</v>
      </c>
      <c r="F1832" t="s">
        <v>430</v>
      </c>
      <c r="G1832" t="s">
        <v>237</v>
      </c>
      <c r="H1832" t="s">
        <v>234</v>
      </c>
      <c r="J1832" t="s">
        <v>52</v>
      </c>
      <c r="K1832" s="15">
        <v>3000</v>
      </c>
      <c r="L1832" s="15">
        <v>0</v>
      </c>
      <c r="M1832" s="13">
        <v>45289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39457.644859813088</v>
      </c>
      <c r="Y1832">
        <v>39457.644859813088</v>
      </c>
      <c r="Z1832">
        <v>2762.0351401869166</v>
      </c>
      <c r="AA1832">
        <v>42219.680000000008</v>
      </c>
      <c r="AB1832" t="s">
        <v>242</v>
      </c>
      <c r="AC1832">
        <v>2</v>
      </c>
      <c r="AD1832">
        <v>6000</v>
      </c>
      <c r="AE1832">
        <v>0</v>
      </c>
      <c r="AF1832">
        <v>0</v>
      </c>
      <c r="AG1832">
        <v>392.5233644859818</v>
      </c>
      <c r="AH1832" t="s">
        <v>58</v>
      </c>
    </row>
    <row r="1833" spans="1:34" x14ac:dyDescent="0.3">
      <c r="A1833" t="s">
        <v>798</v>
      </c>
      <c r="B1833">
        <v>4142300377</v>
      </c>
      <c r="C1833">
        <v>10166278</v>
      </c>
      <c r="D1833" t="s">
        <v>917</v>
      </c>
      <c r="E1833" t="s">
        <v>445</v>
      </c>
      <c r="F1833" t="s">
        <v>430</v>
      </c>
      <c r="G1833" t="s">
        <v>230</v>
      </c>
      <c r="H1833" t="s">
        <v>234</v>
      </c>
      <c r="J1833" t="s">
        <v>52</v>
      </c>
      <c r="K1833" s="15">
        <v>20000</v>
      </c>
      <c r="L1833" s="15">
        <v>0</v>
      </c>
      <c r="M1833" s="13">
        <v>45289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551140.95506337238</v>
      </c>
      <c r="Y1833">
        <v>551140.95506337238</v>
      </c>
      <c r="Z1833">
        <v>38579.86685443607</v>
      </c>
      <c r="AA1833">
        <v>589720.8219178085</v>
      </c>
      <c r="AB1833" t="s">
        <v>242</v>
      </c>
      <c r="AC1833">
        <v>6</v>
      </c>
      <c r="AD1833">
        <v>160000</v>
      </c>
      <c r="AE1833">
        <v>0</v>
      </c>
      <c r="AF1833">
        <v>0</v>
      </c>
      <c r="AG1833">
        <v>10467.289719626166</v>
      </c>
      <c r="AH1833" t="s">
        <v>58</v>
      </c>
    </row>
    <row r="1834" spans="1:34" x14ac:dyDescent="0.3">
      <c r="A1834" t="s">
        <v>798</v>
      </c>
      <c r="B1834">
        <v>4142300416</v>
      </c>
      <c r="C1834">
        <v>10179898</v>
      </c>
      <c r="D1834" t="s">
        <v>198</v>
      </c>
      <c r="E1834" t="s">
        <v>445</v>
      </c>
      <c r="F1834" t="s">
        <v>430</v>
      </c>
      <c r="G1834" t="s">
        <v>230</v>
      </c>
      <c r="H1834" t="s">
        <v>234</v>
      </c>
      <c r="J1834" t="s">
        <v>52</v>
      </c>
      <c r="K1834" s="15">
        <v>3200</v>
      </c>
      <c r="L1834" s="15">
        <v>0</v>
      </c>
      <c r="M1834" s="13">
        <v>45289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309866.34579439252</v>
      </c>
      <c r="Y1834">
        <v>309866.34579439252</v>
      </c>
      <c r="Z1834">
        <v>21690.644205607477</v>
      </c>
      <c r="AA1834">
        <v>331556.99</v>
      </c>
      <c r="AB1834" t="s">
        <v>242</v>
      </c>
      <c r="AC1834">
        <v>11</v>
      </c>
      <c r="AD1834">
        <v>45200</v>
      </c>
      <c r="AE1834">
        <v>0</v>
      </c>
      <c r="AF1834">
        <v>0</v>
      </c>
      <c r="AG1834">
        <v>2957.0093457943922</v>
      </c>
      <c r="AH1834" t="s">
        <v>58</v>
      </c>
    </row>
    <row r="1835" spans="1:34" x14ac:dyDescent="0.3">
      <c r="A1835" t="s">
        <v>798</v>
      </c>
      <c r="B1835">
        <v>4142300798</v>
      </c>
      <c r="C1835">
        <v>10364170</v>
      </c>
      <c r="D1835" t="s">
        <v>210</v>
      </c>
      <c r="E1835" t="s">
        <v>445</v>
      </c>
      <c r="F1835" t="s">
        <v>430</v>
      </c>
      <c r="G1835" t="s">
        <v>230</v>
      </c>
      <c r="H1835" t="s">
        <v>234</v>
      </c>
      <c r="J1835" t="s">
        <v>52</v>
      </c>
      <c r="K1835" s="15">
        <v>12000</v>
      </c>
      <c r="L1835" s="15">
        <v>0</v>
      </c>
      <c r="M1835" s="13">
        <v>45289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765614.03046985029</v>
      </c>
      <c r="Y1835">
        <v>765614.03046985029</v>
      </c>
      <c r="Z1835">
        <v>53592.982132889527</v>
      </c>
      <c r="AA1835">
        <v>819207.01260273985</v>
      </c>
      <c r="AB1835" t="s">
        <v>242</v>
      </c>
      <c r="AC1835">
        <v>4</v>
      </c>
      <c r="AD1835">
        <v>152000</v>
      </c>
      <c r="AE1835">
        <v>0</v>
      </c>
      <c r="AF1835">
        <v>0</v>
      </c>
      <c r="AG1835">
        <v>9943.9252336448644</v>
      </c>
      <c r="AH1835" t="s">
        <v>58</v>
      </c>
    </row>
    <row r="1836" spans="1:34" x14ac:dyDescent="0.3">
      <c r="A1836" t="s">
        <v>798</v>
      </c>
      <c r="B1836">
        <v>4142301211</v>
      </c>
      <c r="C1836">
        <v>10143524</v>
      </c>
      <c r="D1836" t="s">
        <v>216</v>
      </c>
      <c r="E1836" t="s">
        <v>446</v>
      </c>
      <c r="F1836" t="s">
        <v>430</v>
      </c>
      <c r="G1836" t="s">
        <v>230</v>
      </c>
      <c r="H1836" t="s">
        <v>234</v>
      </c>
      <c r="J1836" t="s">
        <v>52</v>
      </c>
      <c r="K1836" s="15">
        <v>20000</v>
      </c>
      <c r="L1836" s="15">
        <v>0</v>
      </c>
      <c r="M1836" s="13">
        <v>45289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139246.89719626168</v>
      </c>
      <c r="Y1836">
        <v>139246.89719626168</v>
      </c>
      <c r="Z1836">
        <v>9747.2828037383188</v>
      </c>
      <c r="AA1836">
        <v>148994.18</v>
      </c>
      <c r="AB1836" t="s">
        <v>242</v>
      </c>
      <c r="AC1836">
        <v>4</v>
      </c>
      <c r="AD1836">
        <v>253000</v>
      </c>
      <c r="AE1836">
        <v>0</v>
      </c>
      <c r="AF1836">
        <v>0</v>
      </c>
      <c r="AG1836">
        <v>16551.401869158879</v>
      </c>
      <c r="AH1836" t="s">
        <v>58</v>
      </c>
    </row>
    <row r="1837" spans="1:34" x14ac:dyDescent="0.3">
      <c r="A1837" t="s">
        <v>798</v>
      </c>
      <c r="B1837">
        <v>4302300043</v>
      </c>
      <c r="C1837">
        <v>901012030332</v>
      </c>
      <c r="D1837" t="s">
        <v>227</v>
      </c>
      <c r="E1837" t="s">
        <v>447</v>
      </c>
      <c r="F1837" t="s">
        <v>433</v>
      </c>
      <c r="G1837" t="s">
        <v>82</v>
      </c>
      <c r="H1837" t="s">
        <v>83</v>
      </c>
      <c r="J1837" t="s">
        <v>52</v>
      </c>
      <c r="K1837" s="15">
        <v>2000</v>
      </c>
      <c r="L1837" s="15">
        <v>0</v>
      </c>
      <c r="M1837" s="13">
        <v>45289</v>
      </c>
      <c r="O1837">
        <v>0</v>
      </c>
      <c r="P1837">
        <v>0</v>
      </c>
      <c r="Q1837">
        <v>48451.50610862871</v>
      </c>
      <c r="R1837">
        <v>41417.75</v>
      </c>
      <c r="S1837">
        <v>105256.71700128159</v>
      </c>
      <c r="T1837">
        <v>0</v>
      </c>
      <c r="U1837">
        <v>0</v>
      </c>
      <c r="V1837">
        <v>706553.99</v>
      </c>
      <c r="W1837">
        <v>0</v>
      </c>
      <c r="X1837">
        <v>0</v>
      </c>
      <c r="Y1837">
        <v>901679.96310991026</v>
      </c>
      <c r="Z1837">
        <v>56826.749490089715</v>
      </c>
      <c r="AA1837">
        <v>958506.71259999997</v>
      </c>
      <c r="AB1837" t="s">
        <v>242</v>
      </c>
      <c r="AC1837">
        <v>2</v>
      </c>
      <c r="AD1837">
        <v>9000</v>
      </c>
      <c r="AE1837">
        <v>0</v>
      </c>
      <c r="AF1837">
        <v>0</v>
      </c>
      <c r="AG1837">
        <v>530.07310991028885</v>
      </c>
      <c r="AH1837" t="s">
        <v>58</v>
      </c>
    </row>
    <row r="1838" spans="1:34" x14ac:dyDescent="0.3">
      <c r="A1838" t="s">
        <v>798</v>
      </c>
      <c r="B1838">
        <v>4302300047</v>
      </c>
      <c r="C1838">
        <v>901012034728</v>
      </c>
      <c r="D1838" t="s">
        <v>227</v>
      </c>
      <c r="E1838" t="s">
        <v>447</v>
      </c>
      <c r="F1838" t="s">
        <v>433</v>
      </c>
      <c r="G1838" t="s">
        <v>82</v>
      </c>
      <c r="H1838" t="s">
        <v>83</v>
      </c>
      <c r="J1838" t="s">
        <v>52</v>
      </c>
      <c r="K1838" s="15">
        <v>3000</v>
      </c>
      <c r="L1838" s="15">
        <v>0</v>
      </c>
      <c r="M1838" s="13">
        <v>45289</v>
      </c>
      <c r="O1838">
        <v>0</v>
      </c>
      <c r="P1838">
        <v>0</v>
      </c>
      <c r="Q1838">
        <v>51005.00723633029</v>
      </c>
      <c r="R1838">
        <v>45094.06</v>
      </c>
      <c r="S1838">
        <v>109128.53959221467</v>
      </c>
      <c r="T1838">
        <v>0</v>
      </c>
      <c r="U1838">
        <v>0</v>
      </c>
      <c r="V1838">
        <v>745073.02</v>
      </c>
      <c r="W1838">
        <v>0</v>
      </c>
      <c r="X1838">
        <v>0</v>
      </c>
      <c r="Y1838">
        <v>950300.62682854501</v>
      </c>
      <c r="Z1838">
        <v>59794.109171455028</v>
      </c>
      <c r="AA1838">
        <v>1010094.736</v>
      </c>
      <c r="AB1838" t="s">
        <v>242</v>
      </c>
      <c r="AC1838">
        <v>2</v>
      </c>
      <c r="AD1838">
        <v>10000</v>
      </c>
      <c r="AE1838">
        <v>0</v>
      </c>
      <c r="AF1838">
        <v>0</v>
      </c>
      <c r="AG1838">
        <v>588.01682854497267</v>
      </c>
      <c r="AH1838" t="s">
        <v>58</v>
      </c>
    </row>
    <row r="1839" spans="1:34" x14ac:dyDescent="0.3">
      <c r="A1839" t="s">
        <v>798</v>
      </c>
      <c r="B1839">
        <v>4312300003</v>
      </c>
      <c r="C1839" t="s">
        <v>63</v>
      </c>
      <c r="D1839" t="s">
        <v>64</v>
      </c>
      <c r="E1839" t="s">
        <v>448</v>
      </c>
      <c r="F1839" t="s">
        <v>433</v>
      </c>
      <c r="G1839" t="s">
        <v>82</v>
      </c>
      <c r="H1839" t="s">
        <v>71</v>
      </c>
      <c r="J1839" t="s">
        <v>52</v>
      </c>
      <c r="K1839" s="15">
        <v>20000</v>
      </c>
      <c r="L1839" s="15">
        <v>0</v>
      </c>
      <c r="M1839" s="13">
        <v>45289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286097.35514018696</v>
      </c>
      <c r="Y1839">
        <v>286097.35514018696</v>
      </c>
      <c r="Z1839">
        <v>20026.81485981309</v>
      </c>
      <c r="AA1839">
        <v>306124.17000000004</v>
      </c>
      <c r="AB1839" t="s">
        <v>242</v>
      </c>
      <c r="AC1839">
        <v>1</v>
      </c>
      <c r="AD1839">
        <v>20000</v>
      </c>
      <c r="AE1839">
        <v>0</v>
      </c>
      <c r="AF1839">
        <v>0</v>
      </c>
      <c r="AG1839">
        <v>1308.4112149532702</v>
      </c>
      <c r="AH1839" t="s">
        <v>72</v>
      </c>
    </row>
    <row r="1840" spans="1:34" x14ac:dyDescent="0.3">
      <c r="A1840" t="s">
        <v>798</v>
      </c>
      <c r="B1840">
        <v>4312300011</v>
      </c>
      <c r="C1840" t="s">
        <v>70</v>
      </c>
      <c r="D1840" t="s">
        <v>64</v>
      </c>
      <c r="E1840" t="s">
        <v>448</v>
      </c>
      <c r="F1840" t="s">
        <v>433</v>
      </c>
      <c r="G1840" t="s">
        <v>82</v>
      </c>
      <c r="H1840" t="s">
        <v>71</v>
      </c>
      <c r="J1840" t="s">
        <v>52</v>
      </c>
      <c r="K1840" s="15">
        <v>20000</v>
      </c>
      <c r="L1840" s="15">
        <v>0</v>
      </c>
      <c r="M1840" s="13">
        <v>45289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316367.28971962619</v>
      </c>
      <c r="Y1840">
        <v>316367.28971962619</v>
      </c>
      <c r="Z1840">
        <v>22145.710280373834</v>
      </c>
      <c r="AA1840">
        <v>338513</v>
      </c>
      <c r="AB1840" t="s">
        <v>242</v>
      </c>
      <c r="AC1840">
        <v>2</v>
      </c>
      <c r="AD1840">
        <v>53000</v>
      </c>
      <c r="AE1840">
        <v>0</v>
      </c>
      <c r="AF1840">
        <v>0</v>
      </c>
      <c r="AG1840">
        <v>3467.2897196261692</v>
      </c>
      <c r="AH1840" t="s">
        <v>58</v>
      </c>
    </row>
    <row r="1841" spans="1:34" x14ac:dyDescent="0.3">
      <c r="A1841" t="s">
        <v>798</v>
      </c>
      <c r="B1841">
        <v>42200850</v>
      </c>
      <c r="C1841" t="s">
        <v>345</v>
      </c>
      <c r="D1841" t="s">
        <v>384</v>
      </c>
      <c r="E1841" t="s">
        <v>439</v>
      </c>
      <c r="F1841" t="s">
        <v>430</v>
      </c>
      <c r="G1841" t="s">
        <v>233</v>
      </c>
      <c r="H1841" t="s">
        <v>234</v>
      </c>
      <c r="J1841" t="s">
        <v>52</v>
      </c>
      <c r="K1841" s="15">
        <v>12000</v>
      </c>
      <c r="L1841" s="15">
        <v>0</v>
      </c>
      <c r="M1841" s="13">
        <v>45289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10280.373831775705</v>
      </c>
      <c r="Y1841">
        <v>10280.373831775705</v>
      </c>
      <c r="Z1841">
        <v>719.62616822429948</v>
      </c>
      <c r="AA1841">
        <v>11000.000000000005</v>
      </c>
      <c r="AB1841" t="s">
        <v>242</v>
      </c>
      <c r="AC1841">
        <v>5</v>
      </c>
      <c r="AD1841">
        <v>33500</v>
      </c>
      <c r="AE1841">
        <v>0</v>
      </c>
      <c r="AF1841">
        <v>0</v>
      </c>
      <c r="AG1841">
        <v>2191.5887850467307</v>
      </c>
      <c r="AH1841" t="s">
        <v>58</v>
      </c>
    </row>
    <row r="1842" spans="1:34" x14ac:dyDescent="0.3">
      <c r="A1842" t="s">
        <v>798</v>
      </c>
      <c r="B1842">
        <v>4142300737</v>
      </c>
      <c r="C1842" t="s">
        <v>358</v>
      </c>
      <c r="D1842" t="s">
        <v>397</v>
      </c>
      <c r="E1842" t="s">
        <v>445</v>
      </c>
      <c r="F1842" t="s">
        <v>430</v>
      </c>
      <c r="G1842" t="s">
        <v>422</v>
      </c>
      <c r="H1842" t="s">
        <v>234</v>
      </c>
      <c r="J1842" t="s">
        <v>52</v>
      </c>
      <c r="K1842" s="15">
        <v>18000</v>
      </c>
      <c r="L1842" s="15">
        <v>0</v>
      </c>
      <c r="M1842" s="13">
        <v>45289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 t="s">
        <v>242</v>
      </c>
      <c r="AC1842">
        <v>6</v>
      </c>
      <c r="AD1842">
        <v>72000</v>
      </c>
      <c r="AE1842">
        <v>0</v>
      </c>
      <c r="AF1842">
        <v>0</v>
      </c>
      <c r="AG1842">
        <v>4710.2803738317798</v>
      </c>
      <c r="AH1842" t="s">
        <v>58</v>
      </c>
    </row>
    <row r="1843" spans="1:34" x14ac:dyDescent="0.3">
      <c r="A1843" t="s">
        <v>798</v>
      </c>
      <c r="B1843">
        <v>4142301088</v>
      </c>
      <c r="C1843" t="s">
        <v>509</v>
      </c>
      <c r="D1843" t="s">
        <v>581</v>
      </c>
      <c r="E1843" t="s">
        <v>445</v>
      </c>
      <c r="F1843" t="s">
        <v>430</v>
      </c>
      <c r="G1843" t="s">
        <v>421</v>
      </c>
      <c r="H1843" t="s">
        <v>234</v>
      </c>
      <c r="J1843" t="s">
        <v>52</v>
      </c>
      <c r="K1843" s="15">
        <v>40000</v>
      </c>
      <c r="L1843" s="15">
        <v>0</v>
      </c>
      <c r="M1843" s="13">
        <v>45289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 t="s">
        <v>242</v>
      </c>
      <c r="AC1843">
        <v>6</v>
      </c>
      <c r="AD1843">
        <v>250000</v>
      </c>
      <c r="AE1843">
        <v>0</v>
      </c>
      <c r="AF1843">
        <v>0</v>
      </c>
      <c r="AG1843">
        <v>16355.14018691588</v>
      </c>
      <c r="AH1843" t="s">
        <v>58</v>
      </c>
    </row>
    <row r="1844" spans="1:34" x14ac:dyDescent="0.3">
      <c r="A1844" t="s">
        <v>798</v>
      </c>
      <c r="B1844">
        <v>4142301223</v>
      </c>
      <c r="C1844" t="s">
        <v>511</v>
      </c>
      <c r="D1844" t="s">
        <v>583</v>
      </c>
      <c r="E1844" t="s">
        <v>446</v>
      </c>
      <c r="F1844" t="s">
        <v>430</v>
      </c>
      <c r="G1844" t="s">
        <v>230</v>
      </c>
      <c r="H1844" t="s">
        <v>234</v>
      </c>
      <c r="J1844" t="s">
        <v>416</v>
      </c>
      <c r="K1844" s="15">
        <v>0.29908188190115315</v>
      </c>
      <c r="L1844" s="15">
        <v>0</v>
      </c>
      <c r="M1844" s="13">
        <v>45289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74766.355140186919</v>
      </c>
      <c r="Y1844">
        <v>74766.355140186919</v>
      </c>
      <c r="Z1844">
        <v>5233.6448598130846</v>
      </c>
      <c r="AA1844">
        <v>80000</v>
      </c>
      <c r="AB1844" t="s">
        <v>242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 t="s">
        <v>72</v>
      </c>
    </row>
    <row r="1845" spans="1:34" x14ac:dyDescent="0.3">
      <c r="A1845" t="s">
        <v>798</v>
      </c>
      <c r="B1845">
        <v>4142301223</v>
      </c>
      <c r="C1845" t="s">
        <v>511</v>
      </c>
      <c r="D1845" t="s">
        <v>583</v>
      </c>
      <c r="E1845" t="s">
        <v>446</v>
      </c>
      <c r="F1845" t="s">
        <v>430</v>
      </c>
      <c r="G1845" t="s">
        <v>421</v>
      </c>
      <c r="H1845" t="s">
        <v>234</v>
      </c>
      <c r="J1845" t="s">
        <v>52</v>
      </c>
      <c r="K1845" s="15">
        <v>80000</v>
      </c>
      <c r="L1845" s="15">
        <v>0</v>
      </c>
      <c r="M1845" s="13">
        <v>45289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 t="s">
        <v>242</v>
      </c>
      <c r="AC1845">
        <v>1</v>
      </c>
      <c r="AD1845">
        <v>80000</v>
      </c>
      <c r="AE1845">
        <v>0</v>
      </c>
      <c r="AF1845">
        <v>0</v>
      </c>
      <c r="AG1845">
        <v>5233.644859813081</v>
      </c>
      <c r="AH1845" t="s">
        <v>58</v>
      </c>
    </row>
    <row r="1846" spans="1:34" x14ac:dyDescent="0.3">
      <c r="A1846" t="s">
        <v>798</v>
      </c>
      <c r="B1846">
        <v>52201672</v>
      </c>
      <c r="C1846" t="s">
        <v>671</v>
      </c>
      <c r="D1846" t="s">
        <v>670</v>
      </c>
      <c r="E1846" t="s">
        <v>438</v>
      </c>
      <c r="F1846" t="s">
        <v>431</v>
      </c>
      <c r="G1846" t="s">
        <v>230</v>
      </c>
      <c r="H1846" t="s">
        <v>231</v>
      </c>
      <c r="J1846" t="s">
        <v>52</v>
      </c>
      <c r="K1846" s="15">
        <v>1500</v>
      </c>
      <c r="M1846" s="13">
        <v>45289</v>
      </c>
      <c r="O1846">
        <v>4570.8823085058166</v>
      </c>
      <c r="P1846">
        <v>0</v>
      </c>
      <c r="Q1846">
        <v>0</v>
      </c>
      <c r="R1846">
        <v>0</v>
      </c>
      <c r="S1846">
        <v>0</v>
      </c>
      <c r="T1846">
        <v>17232.820272424469</v>
      </c>
      <c r="U1846">
        <v>0</v>
      </c>
      <c r="V1846">
        <v>0</v>
      </c>
      <c r="W1846">
        <v>41121.495327102806</v>
      </c>
      <c r="X1846">
        <v>0</v>
      </c>
      <c r="Y1846">
        <v>62925.197908033093</v>
      </c>
      <c r="Z1846">
        <v>4084.8020919669098</v>
      </c>
      <c r="AA1846">
        <v>67010</v>
      </c>
      <c r="AB1846" t="s">
        <v>242</v>
      </c>
      <c r="AC1846">
        <v>1</v>
      </c>
      <c r="AD1846">
        <v>1500</v>
      </c>
      <c r="AE1846">
        <v>0</v>
      </c>
      <c r="AF1846">
        <v>0</v>
      </c>
      <c r="AG1846">
        <v>90.992300556455348</v>
      </c>
      <c r="AH1846" t="s">
        <v>58</v>
      </c>
    </row>
    <row r="1847" spans="1:34" x14ac:dyDescent="0.3">
      <c r="A1847" t="s">
        <v>798</v>
      </c>
      <c r="B1847">
        <v>82200023</v>
      </c>
      <c r="C1847" t="s">
        <v>109</v>
      </c>
      <c r="D1847" t="s">
        <v>615</v>
      </c>
      <c r="E1847" t="s">
        <v>440</v>
      </c>
      <c r="F1847" t="s">
        <v>433</v>
      </c>
      <c r="G1847" t="s">
        <v>82</v>
      </c>
      <c r="H1847" t="s">
        <v>83</v>
      </c>
      <c r="J1847" t="s">
        <v>52</v>
      </c>
      <c r="K1847" s="15">
        <v>100000</v>
      </c>
      <c r="M1847" s="13">
        <v>45289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2316014.5607476635</v>
      </c>
      <c r="W1847">
        <v>0</v>
      </c>
      <c r="X1847">
        <v>0</v>
      </c>
      <c r="Y1847">
        <v>2316014.5607476635</v>
      </c>
      <c r="Z1847">
        <v>162121.01925233647</v>
      </c>
      <c r="AA1847">
        <v>2478135.58</v>
      </c>
      <c r="AB1847" t="s">
        <v>242</v>
      </c>
      <c r="AC1847">
        <v>3</v>
      </c>
      <c r="AD1847">
        <v>160000</v>
      </c>
      <c r="AE1847">
        <v>0</v>
      </c>
      <c r="AF1847">
        <v>0</v>
      </c>
      <c r="AG1847">
        <v>9229.8587185090983</v>
      </c>
      <c r="AH1847" t="s">
        <v>58</v>
      </c>
    </row>
    <row r="1848" spans="1:34" x14ac:dyDescent="0.3">
      <c r="A1848" t="s">
        <v>798</v>
      </c>
      <c r="B1848">
        <v>12200190</v>
      </c>
      <c r="C1848">
        <v>24889993</v>
      </c>
      <c r="D1848" t="s">
        <v>813</v>
      </c>
      <c r="E1848" t="s">
        <v>438</v>
      </c>
      <c r="F1848" t="s">
        <v>427</v>
      </c>
      <c r="G1848" t="s">
        <v>82</v>
      </c>
      <c r="H1848" t="s">
        <v>82</v>
      </c>
      <c r="J1848" t="s">
        <v>52</v>
      </c>
      <c r="K1848" s="15">
        <v>1000</v>
      </c>
      <c r="L1848" s="15">
        <v>0</v>
      </c>
      <c r="M1848" s="13">
        <v>45290</v>
      </c>
      <c r="O1848">
        <v>0</v>
      </c>
      <c r="P1848">
        <v>0</v>
      </c>
      <c r="Q1848">
        <v>0</v>
      </c>
      <c r="R1848">
        <v>0</v>
      </c>
      <c r="S1848">
        <v>4377.0066774532461</v>
      </c>
      <c r="T1848">
        <v>0</v>
      </c>
      <c r="U1848">
        <v>0</v>
      </c>
      <c r="V1848">
        <v>46669.558894217822</v>
      </c>
      <c r="W1848">
        <v>0</v>
      </c>
      <c r="X1848">
        <v>0</v>
      </c>
      <c r="Y1848">
        <v>51046.565571671068</v>
      </c>
      <c r="Z1848">
        <v>0</v>
      </c>
      <c r="AA1848">
        <v>51046.565571671068</v>
      </c>
      <c r="AB1848" t="s">
        <v>242</v>
      </c>
      <c r="AC1848">
        <v>5</v>
      </c>
      <c r="AD1848">
        <v>6390</v>
      </c>
      <c r="AE1848">
        <v>0</v>
      </c>
      <c r="AF1848">
        <v>0</v>
      </c>
      <c r="AG1848">
        <v>0</v>
      </c>
      <c r="AH1848" t="s">
        <v>58</v>
      </c>
    </row>
    <row r="1849" spans="1:34" x14ac:dyDescent="0.3">
      <c r="A1849" t="s">
        <v>798</v>
      </c>
      <c r="B1849">
        <v>22200068</v>
      </c>
      <c r="C1849">
        <v>20579132</v>
      </c>
      <c r="D1849" t="s">
        <v>80</v>
      </c>
      <c r="E1849" t="s">
        <v>435</v>
      </c>
      <c r="F1849" t="s">
        <v>428</v>
      </c>
      <c r="G1849" t="s">
        <v>82</v>
      </c>
      <c r="H1849" t="s">
        <v>82</v>
      </c>
      <c r="J1849" t="s">
        <v>52</v>
      </c>
      <c r="K1849" s="15">
        <v>500</v>
      </c>
      <c r="L1849" s="15">
        <v>0</v>
      </c>
      <c r="M1849" s="13">
        <v>45290</v>
      </c>
      <c r="O1849">
        <v>0</v>
      </c>
      <c r="P1849">
        <v>0</v>
      </c>
      <c r="Q1849">
        <v>0</v>
      </c>
      <c r="R1849">
        <v>0</v>
      </c>
      <c r="S1849">
        <v>57.361592123287664</v>
      </c>
      <c r="T1849">
        <v>0</v>
      </c>
      <c r="U1849">
        <v>0</v>
      </c>
      <c r="V1849">
        <v>21133.91</v>
      </c>
      <c r="W1849">
        <v>0</v>
      </c>
      <c r="X1849">
        <v>0</v>
      </c>
      <c r="Y1849">
        <v>21191.271592123288</v>
      </c>
      <c r="Z1849">
        <v>0</v>
      </c>
      <c r="AA1849">
        <v>21191.271592123288</v>
      </c>
      <c r="AB1849" t="s">
        <v>242</v>
      </c>
      <c r="AC1849">
        <v>14</v>
      </c>
      <c r="AD1849">
        <v>8500</v>
      </c>
      <c r="AE1849">
        <v>0</v>
      </c>
      <c r="AF1849">
        <v>0</v>
      </c>
      <c r="AG1849">
        <v>0</v>
      </c>
      <c r="AH1849" t="s">
        <v>58</v>
      </c>
    </row>
    <row r="1850" spans="1:34" x14ac:dyDescent="0.3">
      <c r="A1850" t="s">
        <v>798</v>
      </c>
      <c r="B1850">
        <v>52200121</v>
      </c>
      <c r="C1850">
        <v>24646629</v>
      </c>
      <c r="D1850" t="s">
        <v>836</v>
      </c>
      <c r="E1850" t="s">
        <v>436</v>
      </c>
      <c r="F1850" t="s">
        <v>431</v>
      </c>
      <c r="G1850" t="s">
        <v>82</v>
      </c>
      <c r="H1850" t="s">
        <v>83</v>
      </c>
      <c r="J1850" t="s">
        <v>52</v>
      </c>
      <c r="K1850" s="15">
        <v>3000</v>
      </c>
      <c r="L1850" s="15">
        <v>0</v>
      </c>
      <c r="M1850" s="13">
        <v>45290</v>
      </c>
      <c r="O1850">
        <v>0</v>
      </c>
      <c r="P1850">
        <v>0</v>
      </c>
      <c r="Q1850">
        <v>0</v>
      </c>
      <c r="R1850">
        <v>792.67784170085793</v>
      </c>
      <c r="S1850">
        <v>22751.495351017635</v>
      </c>
      <c r="T1850">
        <v>0</v>
      </c>
      <c r="U1850">
        <v>0</v>
      </c>
      <c r="V1850">
        <v>49392.732212420298</v>
      </c>
      <c r="W1850">
        <v>0</v>
      </c>
      <c r="X1850">
        <v>0</v>
      </c>
      <c r="Y1850">
        <v>72936.905405138794</v>
      </c>
      <c r="Z1850">
        <v>5050.0959294406557</v>
      </c>
      <c r="AA1850">
        <v>77987.001334579443</v>
      </c>
      <c r="AB1850" t="s">
        <v>242</v>
      </c>
      <c r="AC1850">
        <v>3</v>
      </c>
      <c r="AD1850">
        <v>9000</v>
      </c>
      <c r="AE1850">
        <v>0</v>
      </c>
      <c r="AF1850">
        <v>0</v>
      </c>
      <c r="AG1850">
        <v>582.35275599912165</v>
      </c>
      <c r="AH1850" t="s">
        <v>58</v>
      </c>
    </row>
    <row r="1851" spans="1:34" x14ac:dyDescent="0.3">
      <c r="A1851" t="s">
        <v>798</v>
      </c>
      <c r="B1851">
        <v>52200764</v>
      </c>
      <c r="C1851">
        <v>29315611</v>
      </c>
      <c r="D1851" t="s">
        <v>142</v>
      </c>
      <c r="E1851" t="s">
        <v>438</v>
      </c>
      <c r="F1851" t="s">
        <v>431</v>
      </c>
      <c r="G1851" t="s">
        <v>82</v>
      </c>
      <c r="H1851" t="s">
        <v>83</v>
      </c>
      <c r="J1851" t="s">
        <v>52</v>
      </c>
      <c r="K1851" s="15">
        <v>500</v>
      </c>
      <c r="L1851" s="15">
        <v>0</v>
      </c>
      <c r="M1851" s="13">
        <v>45290</v>
      </c>
      <c r="O1851">
        <v>0</v>
      </c>
      <c r="P1851">
        <v>0</v>
      </c>
      <c r="Q1851">
        <v>0</v>
      </c>
      <c r="R1851">
        <v>846.15407588637856</v>
      </c>
      <c r="S1851">
        <v>14616.838246835167</v>
      </c>
      <c r="T1851">
        <v>0</v>
      </c>
      <c r="U1851">
        <v>0</v>
      </c>
      <c r="V1851">
        <v>50364.328598130844</v>
      </c>
      <c r="W1851">
        <v>0</v>
      </c>
      <c r="X1851">
        <v>0</v>
      </c>
      <c r="Y1851">
        <v>65827.320920852391</v>
      </c>
      <c r="Z1851">
        <v>4548.6816791476213</v>
      </c>
      <c r="AA1851">
        <v>70376.002600000007</v>
      </c>
      <c r="AB1851" t="s">
        <v>242</v>
      </c>
      <c r="AC1851">
        <v>4</v>
      </c>
      <c r="AD1851">
        <v>7268</v>
      </c>
      <c r="AE1851">
        <v>0</v>
      </c>
      <c r="AF1851">
        <v>0</v>
      </c>
      <c r="AG1851">
        <v>469.33718253462297</v>
      </c>
      <c r="AH1851" t="s">
        <v>58</v>
      </c>
    </row>
    <row r="1852" spans="1:34" x14ac:dyDescent="0.3">
      <c r="A1852" t="s">
        <v>798</v>
      </c>
      <c r="B1852">
        <v>52201351</v>
      </c>
      <c r="C1852">
        <v>22940816</v>
      </c>
      <c r="D1852" t="s">
        <v>155</v>
      </c>
      <c r="E1852" t="s">
        <v>438</v>
      </c>
      <c r="F1852" t="s">
        <v>431</v>
      </c>
      <c r="G1852" t="s">
        <v>82</v>
      </c>
      <c r="H1852" t="s">
        <v>83</v>
      </c>
      <c r="J1852" t="s">
        <v>52</v>
      </c>
      <c r="K1852" s="15">
        <v>1300</v>
      </c>
      <c r="L1852" s="15">
        <v>0</v>
      </c>
      <c r="M1852" s="13">
        <v>45290</v>
      </c>
      <c r="O1852">
        <v>0</v>
      </c>
      <c r="P1852">
        <v>0</v>
      </c>
      <c r="Q1852">
        <v>0</v>
      </c>
      <c r="R1852">
        <v>800.94872126420557</v>
      </c>
      <c r="S1852">
        <v>20903.951519119873</v>
      </c>
      <c r="T1852">
        <v>0</v>
      </c>
      <c r="U1852">
        <v>0</v>
      </c>
      <c r="V1852">
        <v>73829.741339665459</v>
      </c>
      <c r="W1852">
        <v>0</v>
      </c>
      <c r="X1852">
        <v>0</v>
      </c>
      <c r="Y1852">
        <v>95534.641580049531</v>
      </c>
      <c r="Z1852">
        <v>6631.358500114974</v>
      </c>
      <c r="AA1852">
        <v>102166.00008016451</v>
      </c>
      <c r="AB1852" t="s">
        <v>242</v>
      </c>
      <c r="AC1852">
        <v>14</v>
      </c>
      <c r="AD1852">
        <v>10700</v>
      </c>
      <c r="AE1852">
        <v>0</v>
      </c>
      <c r="AF1852">
        <v>0</v>
      </c>
      <c r="AG1852">
        <v>694.10879484906036</v>
      </c>
      <c r="AH1852" t="s">
        <v>58</v>
      </c>
    </row>
    <row r="1853" spans="1:34" x14ac:dyDescent="0.3">
      <c r="A1853" t="s">
        <v>798</v>
      </c>
      <c r="B1853">
        <v>62200080</v>
      </c>
      <c r="C1853">
        <v>22425262</v>
      </c>
      <c r="D1853" t="s">
        <v>80</v>
      </c>
      <c r="E1853" t="s">
        <v>435</v>
      </c>
      <c r="F1853" t="s">
        <v>432</v>
      </c>
      <c r="G1853" t="s">
        <v>82</v>
      </c>
      <c r="H1853" t="s">
        <v>82</v>
      </c>
      <c r="J1853" t="s">
        <v>52</v>
      </c>
      <c r="K1853" s="15">
        <v>500</v>
      </c>
      <c r="L1853" s="15">
        <v>0</v>
      </c>
      <c r="M1853" s="13">
        <v>45290</v>
      </c>
      <c r="O1853">
        <v>0</v>
      </c>
      <c r="P1853">
        <v>0</v>
      </c>
      <c r="Q1853">
        <v>0</v>
      </c>
      <c r="R1853">
        <v>0</v>
      </c>
      <c r="S1853">
        <v>7739.2191780821922</v>
      </c>
      <c r="T1853">
        <v>0</v>
      </c>
      <c r="U1853">
        <v>0</v>
      </c>
      <c r="V1853">
        <v>30000</v>
      </c>
      <c r="W1853">
        <v>0</v>
      </c>
      <c r="X1853">
        <v>0</v>
      </c>
      <c r="Y1853">
        <v>37739.219178082189</v>
      </c>
      <c r="Z1853">
        <v>0</v>
      </c>
      <c r="AA1853">
        <v>37739.219178082189</v>
      </c>
      <c r="AB1853" t="s">
        <v>242</v>
      </c>
      <c r="AC1853">
        <v>12</v>
      </c>
      <c r="AD1853">
        <v>6000</v>
      </c>
      <c r="AE1853">
        <v>0</v>
      </c>
      <c r="AF1853">
        <v>0</v>
      </c>
      <c r="AG1853">
        <v>0</v>
      </c>
      <c r="AH1853" t="s">
        <v>58</v>
      </c>
    </row>
    <row r="1854" spans="1:34" x14ac:dyDescent="0.3">
      <c r="A1854" t="s">
        <v>798</v>
      </c>
      <c r="B1854">
        <v>4132300425</v>
      </c>
      <c r="C1854">
        <v>1011500206</v>
      </c>
      <c r="D1854" t="s">
        <v>176</v>
      </c>
      <c r="E1854" t="s">
        <v>441</v>
      </c>
      <c r="F1854" t="s">
        <v>430</v>
      </c>
      <c r="G1854" t="s">
        <v>233</v>
      </c>
      <c r="H1854" t="s">
        <v>231</v>
      </c>
      <c r="J1854" t="s">
        <v>52</v>
      </c>
      <c r="K1854" s="15">
        <v>3000</v>
      </c>
      <c r="L1854" s="15">
        <v>0</v>
      </c>
      <c r="M1854" s="13">
        <v>45290</v>
      </c>
      <c r="O1854">
        <v>0</v>
      </c>
      <c r="P1854">
        <v>4263.4512650484266</v>
      </c>
      <c r="Q1854">
        <v>0</v>
      </c>
      <c r="R1854">
        <v>0</v>
      </c>
      <c r="S1854">
        <v>58047.945205479453</v>
      </c>
      <c r="T1854">
        <v>160807.05489247813</v>
      </c>
      <c r="U1854">
        <v>0</v>
      </c>
      <c r="V1854">
        <v>0</v>
      </c>
      <c r="W1854">
        <v>0</v>
      </c>
      <c r="X1854">
        <v>0</v>
      </c>
      <c r="Y1854">
        <v>223118.45136300602</v>
      </c>
      <c r="Z1854">
        <v>11256.49384247347</v>
      </c>
      <c r="AA1854">
        <v>234374.94520547948</v>
      </c>
      <c r="AB1854" t="s">
        <v>242</v>
      </c>
      <c r="AC1854">
        <v>4</v>
      </c>
      <c r="AD1854">
        <v>12000</v>
      </c>
      <c r="AE1854">
        <v>0</v>
      </c>
      <c r="AF1854">
        <v>0</v>
      </c>
      <c r="AG1854">
        <v>565.45942855456997</v>
      </c>
      <c r="AH1854" t="s">
        <v>58</v>
      </c>
    </row>
    <row r="1855" spans="1:34" x14ac:dyDescent="0.3">
      <c r="A1855" t="s">
        <v>798</v>
      </c>
      <c r="B1855">
        <v>4132300995</v>
      </c>
      <c r="C1855" t="s">
        <v>356</v>
      </c>
      <c r="D1855" t="s">
        <v>395</v>
      </c>
      <c r="E1855" t="s">
        <v>441</v>
      </c>
      <c r="F1855" t="s">
        <v>430</v>
      </c>
      <c r="G1855" t="s">
        <v>326</v>
      </c>
      <c r="H1855" t="s">
        <v>236</v>
      </c>
      <c r="J1855" t="s">
        <v>52</v>
      </c>
      <c r="K1855" s="15">
        <v>20000</v>
      </c>
      <c r="L1855" s="15">
        <v>0</v>
      </c>
      <c r="M1855" s="13">
        <v>45290</v>
      </c>
      <c r="O1855">
        <v>0</v>
      </c>
      <c r="P1855">
        <v>0</v>
      </c>
      <c r="Q1855">
        <v>0</v>
      </c>
      <c r="R1855">
        <v>0</v>
      </c>
      <c r="S1855">
        <v>7293.621365556658</v>
      </c>
      <c r="T1855">
        <v>0</v>
      </c>
      <c r="U1855">
        <v>0</v>
      </c>
      <c r="V1855">
        <v>16548.017415367602</v>
      </c>
      <c r="W1855">
        <v>0</v>
      </c>
      <c r="X1855">
        <v>0</v>
      </c>
      <c r="Y1855">
        <v>23841.638780924259</v>
      </c>
      <c r="Z1855">
        <v>1158.3612190757322</v>
      </c>
      <c r="AA1855">
        <v>24999.999999999993</v>
      </c>
      <c r="AB1855" t="s">
        <v>242</v>
      </c>
      <c r="AC1855">
        <v>7</v>
      </c>
      <c r="AD1855">
        <v>175000</v>
      </c>
      <c r="AE1855">
        <v>0</v>
      </c>
      <c r="AF1855">
        <v>0</v>
      </c>
      <c r="AG1855">
        <v>7604.5337096542162</v>
      </c>
      <c r="AH1855" t="s">
        <v>58</v>
      </c>
    </row>
    <row r="1856" spans="1:34" x14ac:dyDescent="0.3">
      <c r="A1856" t="s">
        <v>798</v>
      </c>
      <c r="B1856">
        <v>12200042</v>
      </c>
      <c r="C1856" t="s">
        <v>625</v>
      </c>
      <c r="D1856" t="s">
        <v>624</v>
      </c>
      <c r="E1856" t="s">
        <v>435</v>
      </c>
      <c r="F1856" t="s">
        <v>427</v>
      </c>
      <c r="G1856" t="s">
        <v>230</v>
      </c>
      <c r="H1856" t="s">
        <v>230</v>
      </c>
      <c r="J1856" t="s">
        <v>52</v>
      </c>
      <c r="K1856" s="15">
        <v>2000</v>
      </c>
      <c r="M1856" s="13">
        <v>45290</v>
      </c>
      <c r="O1856">
        <v>0</v>
      </c>
      <c r="P1856">
        <v>0</v>
      </c>
      <c r="Q1856">
        <v>0</v>
      </c>
      <c r="R1856">
        <v>0</v>
      </c>
      <c r="S1856">
        <v>19173.699999999997</v>
      </c>
      <c r="T1856">
        <v>0</v>
      </c>
      <c r="U1856">
        <v>0</v>
      </c>
      <c r="V1856">
        <v>80000</v>
      </c>
      <c r="W1856">
        <v>0</v>
      </c>
      <c r="X1856">
        <v>0</v>
      </c>
      <c r="Y1856">
        <v>99173.7</v>
      </c>
      <c r="Z1856">
        <v>0</v>
      </c>
      <c r="AA1856">
        <v>99173.7</v>
      </c>
      <c r="AB1856" t="s">
        <v>242</v>
      </c>
      <c r="AC1856">
        <v>11</v>
      </c>
      <c r="AD1856">
        <v>21600</v>
      </c>
      <c r="AE1856">
        <v>0</v>
      </c>
      <c r="AF1856">
        <v>0</v>
      </c>
      <c r="AG1856">
        <v>0</v>
      </c>
      <c r="AH1856" t="s">
        <v>58</v>
      </c>
    </row>
    <row r="1857" spans="1:70" x14ac:dyDescent="0.3">
      <c r="A1857" t="s">
        <v>798</v>
      </c>
      <c r="B1857">
        <v>4142300160</v>
      </c>
      <c r="C1857" t="s">
        <v>103</v>
      </c>
      <c r="D1857" t="s">
        <v>190</v>
      </c>
      <c r="E1857" t="s">
        <v>445</v>
      </c>
      <c r="F1857" t="s">
        <v>430</v>
      </c>
      <c r="G1857" t="s">
        <v>230</v>
      </c>
      <c r="H1857" t="s">
        <v>234</v>
      </c>
      <c r="J1857" t="s">
        <v>416</v>
      </c>
      <c r="K1857" s="15">
        <v>0.14749999999999999</v>
      </c>
      <c r="L1857" s="15" t="s">
        <v>423</v>
      </c>
      <c r="M1857" s="13">
        <v>45291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29371.899556074783</v>
      </c>
      <c r="Y1857">
        <v>29371.899556074783</v>
      </c>
      <c r="Z1857">
        <v>2056.0329689252349</v>
      </c>
      <c r="AA1857">
        <v>31427.932525000018</v>
      </c>
      <c r="AB1857" t="s">
        <v>242</v>
      </c>
      <c r="AC1857">
        <v>8</v>
      </c>
      <c r="AD1857">
        <v>50000</v>
      </c>
      <c r="AE1857">
        <v>0</v>
      </c>
      <c r="AF1857">
        <v>0</v>
      </c>
      <c r="AG1857">
        <v>3271.0280373831788</v>
      </c>
      <c r="AH1857" t="s">
        <v>58</v>
      </c>
    </row>
    <row r="1859" spans="1:70" x14ac:dyDescent="0.3">
      <c r="A1859" t="s">
        <v>798</v>
      </c>
      <c r="B1859">
        <v>52201571</v>
      </c>
      <c r="C1859">
        <v>25111736</v>
      </c>
      <c r="D1859" t="s">
        <v>161</v>
      </c>
      <c r="E1859" t="s">
        <v>438</v>
      </c>
      <c r="F1859" t="s">
        <v>431</v>
      </c>
      <c r="G1859" t="s">
        <v>82</v>
      </c>
      <c r="H1859" t="s">
        <v>83</v>
      </c>
      <c r="J1859" t="s">
        <v>52</v>
      </c>
      <c r="K1859" s="15">
        <v>1000</v>
      </c>
      <c r="M1859">
        <v>45293</v>
      </c>
      <c r="N1859" t="s">
        <v>1013</v>
      </c>
      <c r="O1859">
        <v>0</v>
      </c>
      <c r="P1859">
        <v>0</v>
      </c>
      <c r="Q1859">
        <v>0</v>
      </c>
      <c r="R1859">
        <v>840.05910741280945</v>
      </c>
      <c r="S1859">
        <v>29794.835451845502</v>
      </c>
      <c r="T1859">
        <v>0</v>
      </c>
      <c r="U1859">
        <v>0</v>
      </c>
      <c r="V1859">
        <v>52010.71595270362</v>
      </c>
      <c r="W1859">
        <v>0</v>
      </c>
      <c r="X1859">
        <v>0</v>
      </c>
      <c r="Y1859">
        <v>82645.610511961931</v>
      </c>
      <c r="Z1859">
        <v>5726.38859831844</v>
      </c>
      <c r="AA1859">
        <v>88371.999110280376</v>
      </c>
      <c r="AB1859" t="s">
        <v>242</v>
      </c>
      <c r="AC1859">
        <v>5</v>
      </c>
      <c r="AD1859">
        <v>5000</v>
      </c>
      <c r="AE1859">
        <v>0</v>
      </c>
      <c r="AF1859">
        <v>0</v>
      </c>
      <c r="AG1859">
        <v>323.77022198027737</v>
      </c>
      <c r="AH1859" t="s">
        <v>58</v>
      </c>
      <c r="AK1859" t="s">
        <v>798</v>
      </c>
      <c r="AL1859">
        <v>4132300995</v>
      </c>
      <c r="AM1859">
        <v>1050385376</v>
      </c>
      <c r="AN1859" t="s">
        <v>395</v>
      </c>
      <c r="AO1859" t="s">
        <v>441</v>
      </c>
      <c r="AP1859" t="s">
        <v>430</v>
      </c>
      <c r="AQ1859" t="s">
        <v>1077</v>
      </c>
      <c r="AR1859" t="s">
        <v>236</v>
      </c>
      <c r="AT1859" t="s">
        <v>52</v>
      </c>
      <c r="AU1859">
        <v>25000</v>
      </c>
      <c r="AW1859">
        <v>45293</v>
      </c>
      <c r="AX1859" t="s">
        <v>1014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 t="s">
        <v>242</v>
      </c>
      <c r="BM1859">
        <v>8</v>
      </c>
      <c r="BN1859">
        <v>200000</v>
      </c>
      <c r="BO1859">
        <v>0</v>
      </c>
      <c r="BP1859">
        <v>0</v>
      </c>
      <c r="BQ1859">
        <v>8762.8949287299511</v>
      </c>
      <c r="BR1859" t="s">
        <v>58</v>
      </c>
    </row>
    <row r="1860" spans="1:70" x14ac:dyDescent="0.3">
      <c r="A1860" t="s">
        <v>798</v>
      </c>
      <c r="B1860">
        <v>4132300995</v>
      </c>
      <c r="C1860">
        <v>1050385376</v>
      </c>
      <c r="D1860" t="s">
        <v>395</v>
      </c>
      <c r="E1860" t="s">
        <v>441</v>
      </c>
      <c r="F1860" t="s">
        <v>430</v>
      </c>
      <c r="G1860" t="s">
        <v>326</v>
      </c>
      <c r="H1860" t="s">
        <v>236</v>
      </c>
      <c r="J1860" t="s">
        <v>52</v>
      </c>
      <c r="K1860" s="15">
        <v>25000</v>
      </c>
      <c r="M1860">
        <v>45293</v>
      </c>
      <c r="N1860" t="s">
        <v>1014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 t="s">
        <v>242</v>
      </c>
      <c r="AC1860">
        <v>9</v>
      </c>
      <c r="AD1860">
        <v>225000</v>
      </c>
      <c r="AE1860">
        <v>0</v>
      </c>
      <c r="AF1860">
        <v>0</v>
      </c>
      <c r="AG1860">
        <v>8762.8949287299511</v>
      </c>
      <c r="AH1860" t="s">
        <v>58</v>
      </c>
      <c r="AK1860" t="s">
        <v>798</v>
      </c>
      <c r="AL1860">
        <v>52201571</v>
      </c>
      <c r="AM1860">
        <v>25111736</v>
      </c>
      <c r="AN1860" t="s">
        <v>161</v>
      </c>
      <c r="AO1860" t="s">
        <v>438</v>
      </c>
      <c r="AP1860" t="s">
        <v>431</v>
      </c>
      <c r="AQ1860" t="s">
        <v>82</v>
      </c>
      <c r="AR1860" t="s">
        <v>83</v>
      </c>
      <c r="AT1860" t="s">
        <v>52</v>
      </c>
      <c r="AU1860">
        <v>1000</v>
      </c>
      <c r="AW1860">
        <v>45293</v>
      </c>
      <c r="AX1860" t="s">
        <v>1013</v>
      </c>
      <c r="AY1860">
        <v>0</v>
      </c>
      <c r="AZ1860">
        <v>0</v>
      </c>
      <c r="BA1860">
        <v>0</v>
      </c>
      <c r="BB1860">
        <v>840.05910741280945</v>
      </c>
      <c r="BC1860">
        <v>29794.835451845502</v>
      </c>
      <c r="BD1860">
        <v>0</v>
      </c>
      <c r="BE1860">
        <v>0</v>
      </c>
      <c r="BF1860">
        <v>52010.71595270362</v>
      </c>
      <c r="BG1860">
        <v>0</v>
      </c>
      <c r="BH1860">
        <v>0</v>
      </c>
      <c r="BI1860">
        <v>82645.610511961931</v>
      </c>
      <c r="BJ1860">
        <v>5726.38859831844</v>
      </c>
      <c r="BK1860">
        <v>88371.999110280376</v>
      </c>
      <c r="BL1860" t="s">
        <v>242</v>
      </c>
      <c r="BM1860">
        <v>5</v>
      </c>
      <c r="BN1860">
        <v>5000</v>
      </c>
      <c r="BO1860">
        <v>0</v>
      </c>
      <c r="BP1860">
        <v>0</v>
      </c>
      <c r="BQ1860">
        <v>323.77022198027737</v>
      </c>
      <c r="BR1860" t="s">
        <v>58</v>
      </c>
    </row>
    <row r="1861" spans="1:70" x14ac:dyDescent="0.3">
      <c r="A1861" t="s">
        <v>798</v>
      </c>
      <c r="B1861">
        <v>52200012</v>
      </c>
      <c r="C1861">
        <v>26851674</v>
      </c>
      <c r="D1861" t="s">
        <v>637</v>
      </c>
      <c r="E1861" t="s">
        <v>435</v>
      </c>
      <c r="F1861" t="s">
        <v>431</v>
      </c>
      <c r="G1861" t="s">
        <v>230</v>
      </c>
      <c r="H1861" t="s">
        <v>231</v>
      </c>
      <c r="J1861" t="s">
        <v>52</v>
      </c>
      <c r="K1861" s="15">
        <v>2500</v>
      </c>
      <c r="M1861">
        <v>45294</v>
      </c>
      <c r="N1861" t="s">
        <v>1013</v>
      </c>
      <c r="O1861">
        <v>4043.5009659698371</v>
      </c>
      <c r="P1861">
        <v>0</v>
      </c>
      <c r="Q1861">
        <v>0</v>
      </c>
      <c r="R1861">
        <v>0</v>
      </c>
      <c r="S1861">
        <v>0</v>
      </c>
      <c r="T1861">
        <v>14295.793489747808</v>
      </c>
      <c r="U1861">
        <v>0</v>
      </c>
      <c r="V1861">
        <v>0</v>
      </c>
      <c r="W1861">
        <v>42990.654205607476</v>
      </c>
      <c r="X1861">
        <v>0</v>
      </c>
      <c r="Y1861">
        <v>61329.948661325121</v>
      </c>
      <c r="Z1861">
        <v>4010.0513386748698</v>
      </c>
      <c r="AA1861">
        <v>65339.999999999993</v>
      </c>
      <c r="AB1861" t="s">
        <v>242</v>
      </c>
      <c r="AC1861">
        <v>11</v>
      </c>
      <c r="AD1861">
        <v>26300</v>
      </c>
      <c r="AE1861">
        <v>0</v>
      </c>
      <c r="AF1861">
        <v>0</v>
      </c>
      <c r="AG1861">
        <v>1605.6495959045687</v>
      </c>
      <c r="AH1861" t="s">
        <v>58</v>
      </c>
      <c r="AK1861" t="s">
        <v>798</v>
      </c>
      <c r="AL1861">
        <v>4132301665</v>
      </c>
      <c r="AM1861" t="s">
        <v>99</v>
      </c>
      <c r="AN1861" t="s">
        <v>941</v>
      </c>
      <c r="AO1861" t="s">
        <v>442</v>
      </c>
      <c r="AP1861" t="s">
        <v>430</v>
      </c>
      <c r="AQ1861" t="s">
        <v>230</v>
      </c>
      <c r="AR1861" t="s">
        <v>231</v>
      </c>
      <c r="AT1861" t="s">
        <v>52</v>
      </c>
      <c r="AU1861">
        <v>1000</v>
      </c>
      <c r="AW1861">
        <v>45294</v>
      </c>
      <c r="AX1861" t="s">
        <v>1013</v>
      </c>
      <c r="AY1861">
        <v>0</v>
      </c>
      <c r="AZ1861">
        <v>27134.878444604885</v>
      </c>
      <c r="BA1861">
        <v>0</v>
      </c>
      <c r="BB1861">
        <v>0</v>
      </c>
      <c r="BC1861">
        <v>492316.5</v>
      </c>
      <c r="BD1861">
        <v>11428.150986350574</v>
      </c>
      <c r="BE1861">
        <v>67289.719626168226</v>
      </c>
      <c r="BF1861">
        <v>0</v>
      </c>
      <c r="BG1861">
        <v>794392.52336448594</v>
      </c>
      <c r="BH1861">
        <v>0</v>
      </c>
      <c r="BI1861">
        <v>1392561.7724216096</v>
      </c>
      <c r="BJ1861">
        <v>61117.727578390339</v>
      </c>
      <c r="BK1861">
        <v>1453679.5</v>
      </c>
      <c r="BL1861" t="s">
        <v>242</v>
      </c>
      <c r="BM1861">
        <v>3</v>
      </c>
      <c r="BN1861">
        <v>3000</v>
      </c>
      <c r="BO1861">
        <v>0</v>
      </c>
      <c r="BP1861">
        <v>0</v>
      </c>
      <c r="BQ1861">
        <v>123.04812254424496</v>
      </c>
      <c r="BR1861" t="s">
        <v>58</v>
      </c>
    </row>
    <row r="1862" spans="1:70" x14ac:dyDescent="0.3">
      <c r="A1862" t="s">
        <v>798</v>
      </c>
      <c r="B1862">
        <v>4132301665</v>
      </c>
      <c r="C1862" t="s">
        <v>99</v>
      </c>
      <c r="D1862" t="s">
        <v>941</v>
      </c>
      <c r="E1862" t="s">
        <v>442</v>
      </c>
      <c r="F1862" t="s">
        <v>430</v>
      </c>
      <c r="G1862" t="s">
        <v>230</v>
      </c>
      <c r="H1862" t="s">
        <v>231</v>
      </c>
      <c r="J1862" t="s">
        <v>52</v>
      </c>
      <c r="K1862" s="15">
        <v>1000</v>
      </c>
      <c r="M1862">
        <v>45294</v>
      </c>
      <c r="N1862" t="s">
        <v>1013</v>
      </c>
      <c r="O1862">
        <v>0</v>
      </c>
      <c r="P1862">
        <v>27134.878444604885</v>
      </c>
      <c r="Q1862">
        <v>0</v>
      </c>
      <c r="R1862">
        <v>0</v>
      </c>
      <c r="S1862">
        <v>492316.5</v>
      </c>
      <c r="T1862">
        <v>11428.150986350574</v>
      </c>
      <c r="U1862">
        <v>67289.719626168226</v>
      </c>
      <c r="V1862">
        <v>0</v>
      </c>
      <c r="W1862">
        <v>794392.52336448594</v>
      </c>
      <c r="X1862">
        <v>0</v>
      </c>
      <c r="Y1862">
        <v>1392561.7724216096</v>
      </c>
      <c r="Z1862">
        <v>61117.727578390339</v>
      </c>
      <c r="AA1862">
        <v>1453679.5</v>
      </c>
      <c r="AB1862" t="s">
        <v>242</v>
      </c>
      <c r="AC1862">
        <v>3</v>
      </c>
      <c r="AD1862">
        <v>3000</v>
      </c>
      <c r="AE1862">
        <v>0</v>
      </c>
      <c r="AF1862">
        <v>0</v>
      </c>
      <c r="AG1862">
        <v>123.04812254424496</v>
      </c>
      <c r="AH1862" t="s">
        <v>58</v>
      </c>
      <c r="AK1862" t="s">
        <v>798</v>
      </c>
      <c r="AL1862">
        <v>4132301700</v>
      </c>
      <c r="AM1862" t="s">
        <v>100</v>
      </c>
      <c r="AN1862" t="s">
        <v>942</v>
      </c>
      <c r="AO1862" t="s">
        <v>442</v>
      </c>
      <c r="AP1862" t="s">
        <v>430</v>
      </c>
      <c r="AQ1862" t="s">
        <v>230</v>
      </c>
      <c r="AR1862" t="s">
        <v>231</v>
      </c>
      <c r="AT1862" t="s">
        <v>52</v>
      </c>
      <c r="AU1862">
        <v>500</v>
      </c>
      <c r="AW1862">
        <v>45294</v>
      </c>
      <c r="AX1862" t="s">
        <v>1013</v>
      </c>
      <c r="AY1862">
        <v>0</v>
      </c>
      <c r="AZ1862">
        <v>17295.343832137849</v>
      </c>
      <c r="BA1862">
        <v>0</v>
      </c>
      <c r="BB1862">
        <v>0</v>
      </c>
      <c r="BC1862">
        <v>0</v>
      </c>
      <c r="BD1862">
        <v>0</v>
      </c>
      <c r="BE1862">
        <v>121075.37959613286</v>
      </c>
      <c r="BF1862">
        <v>0</v>
      </c>
      <c r="BG1862">
        <v>373831.77570093458</v>
      </c>
      <c r="BH1862">
        <v>0</v>
      </c>
      <c r="BI1862">
        <v>512202.4991292053</v>
      </c>
      <c r="BJ1862">
        <v>34643.50087079472</v>
      </c>
      <c r="BK1862">
        <v>546846</v>
      </c>
      <c r="BL1862" t="s">
        <v>242</v>
      </c>
      <c r="BM1862">
        <v>3</v>
      </c>
      <c r="BN1862">
        <v>1500</v>
      </c>
      <c r="BO1862">
        <v>0</v>
      </c>
      <c r="BP1862">
        <v>0</v>
      </c>
      <c r="BQ1862">
        <v>94.816886214625583</v>
      </c>
      <c r="BR1862" t="s">
        <v>58</v>
      </c>
    </row>
    <row r="1863" spans="1:70" x14ac:dyDescent="0.3">
      <c r="A1863" t="s">
        <v>798</v>
      </c>
      <c r="B1863">
        <v>4132301700</v>
      </c>
      <c r="C1863" t="s">
        <v>100</v>
      </c>
      <c r="D1863" t="s">
        <v>942</v>
      </c>
      <c r="E1863" t="s">
        <v>442</v>
      </c>
      <c r="F1863" t="s">
        <v>430</v>
      </c>
      <c r="G1863" t="s">
        <v>230</v>
      </c>
      <c r="H1863" t="s">
        <v>231</v>
      </c>
      <c r="J1863" t="s">
        <v>52</v>
      </c>
      <c r="K1863" s="15">
        <v>500</v>
      </c>
      <c r="M1863">
        <v>45294</v>
      </c>
      <c r="N1863" t="s">
        <v>1013</v>
      </c>
      <c r="O1863">
        <v>0</v>
      </c>
      <c r="P1863">
        <v>17295.343832137849</v>
      </c>
      <c r="Q1863">
        <v>0</v>
      </c>
      <c r="R1863">
        <v>0</v>
      </c>
      <c r="S1863">
        <v>0</v>
      </c>
      <c r="T1863">
        <v>0</v>
      </c>
      <c r="U1863">
        <v>121075.37959613286</v>
      </c>
      <c r="V1863">
        <v>0</v>
      </c>
      <c r="W1863">
        <v>373831.77570093458</v>
      </c>
      <c r="X1863">
        <v>0</v>
      </c>
      <c r="Y1863">
        <v>512202.4991292053</v>
      </c>
      <c r="Z1863">
        <v>34643.50087079472</v>
      </c>
      <c r="AA1863">
        <v>546846</v>
      </c>
      <c r="AB1863" t="s">
        <v>242</v>
      </c>
      <c r="AC1863">
        <v>3</v>
      </c>
      <c r="AD1863">
        <v>1500</v>
      </c>
      <c r="AE1863">
        <v>0</v>
      </c>
      <c r="AF1863">
        <v>0</v>
      </c>
      <c r="AG1863">
        <v>94.816886214625583</v>
      </c>
      <c r="AH1863" t="s">
        <v>58</v>
      </c>
      <c r="AK1863" t="s">
        <v>798</v>
      </c>
      <c r="AL1863">
        <v>4142300766</v>
      </c>
      <c r="AM1863">
        <v>10354207</v>
      </c>
      <c r="AN1863" t="s">
        <v>207</v>
      </c>
      <c r="AO1863" t="s">
        <v>445</v>
      </c>
      <c r="AP1863" t="s">
        <v>430</v>
      </c>
      <c r="AQ1863" t="s">
        <v>230</v>
      </c>
      <c r="AR1863" t="s">
        <v>234</v>
      </c>
      <c r="AT1863" t="s">
        <v>52</v>
      </c>
      <c r="AU1863">
        <v>5000</v>
      </c>
      <c r="AW1863">
        <v>45294</v>
      </c>
      <c r="AX1863" t="s">
        <v>1013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301198.69158878509</v>
      </c>
      <c r="BI1863">
        <v>301198.69158878509</v>
      </c>
      <c r="BJ1863">
        <v>21083.908411214958</v>
      </c>
      <c r="BK1863">
        <v>322282.60000000003</v>
      </c>
      <c r="BL1863" t="s">
        <v>242</v>
      </c>
      <c r="BM1863">
        <v>7</v>
      </c>
      <c r="BN1863">
        <v>51000</v>
      </c>
      <c r="BO1863">
        <v>0</v>
      </c>
      <c r="BP1863">
        <v>0</v>
      </c>
      <c r="BQ1863">
        <v>3336.4485981308408</v>
      </c>
      <c r="BR1863" t="s">
        <v>58</v>
      </c>
    </row>
    <row r="1864" spans="1:70" x14ac:dyDescent="0.3">
      <c r="A1864" t="s">
        <v>798</v>
      </c>
      <c r="B1864">
        <v>4142300766</v>
      </c>
      <c r="C1864">
        <v>10354207</v>
      </c>
      <c r="D1864" t="s">
        <v>207</v>
      </c>
      <c r="E1864" t="s">
        <v>445</v>
      </c>
      <c r="F1864" t="s">
        <v>430</v>
      </c>
      <c r="G1864" t="s">
        <v>230</v>
      </c>
      <c r="H1864" t="s">
        <v>234</v>
      </c>
      <c r="J1864" t="s">
        <v>52</v>
      </c>
      <c r="K1864" s="15">
        <v>5000</v>
      </c>
      <c r="M1864">
        <v>45294</v>
      </c>
      <c r="N1864" t="s">
        <v>1013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301198.69158878509</v>
      </c>
      <c r="Y1864">
        <v>301198.69158878509</v>
      </c>
      <c r="Z1864">
        <v>21083.908411214958</v>
      </c>
      <c r="AA1864">
        <v>322282.60000000003</v>
      </c>
      <c r="AB1864" t="s">
        <v>242</v>
      </c>
      <c r="AC1864">
        <v>7</v>
      </c>
      <c r="AD1864">
        <v>51000</v>
      </c>
      <c r="AE1864">
        <v>0</v>
      </c>
      <c r="AF1864">
        <v>0</v>
      </c>
      <c r="AG1864">
        <v>3336.4485981308408</v>
      </c>
      <c r="AH1864" t="s">
        <v>58</v>
      </c>
      <c r="AK1864" t="s">
        <v>798</v>
      </c>
      <c r="AL1864">
        <v>52200012</v>
      </c>
      <c r="AM1864">
        <v>26851674</v>
      </c>
      <c r="AN1864" t="s">
        <v>637</v>
      </c>
      <c r="AO1864" t="s">
        <v>435</v>
      </c>
      <c r="AP1864" t="s">
        <v>431</v>
      </c>
      <c r="AQ1864" t="s">
        <v>230</v>
      </c>
      <c r="AR1864" t="s">
        <v>231</v>
      </c>
      <c r="AT1864" t="s">
        <v>52</v>
      </c>
      <c r="AU1864">
        <v>2500</v>
      </c>
      <c r="AW1864">
        <v>45294</v>
      </c>
      <c r="AX1864" t="s">
        <v>1013</v>
      </c>
      <c r="AY1864">
        <v>4043.5009659698371</v>
      </c>
      <c r="AZ1864">
        <v>0</v>
      </c>
      <c r="BA1864">
        <v>0</v>
      </c>
      <c r="BB1864">
        <v>0</v>
      </c>
      <c r="BC1864">
        <v>0</v>
      </c>
      <c r="BD1864">
        <v>14295.793489747808</v>
      </c>
      <c r="BE1864">
        <v>0</v>
      </c>
      <c r="BF1864">
        <v>0</v>
      </c>
      <c r="BG1864">
        <v>42990.654205607476</v>
      </c>
      <c r="BH1864">
        <v>0</v>
      </c>
      <c r="BI1864">
        <v>61329.948661325121</v>
      </c>
      <c r="BJ1864">
        <v>4010.0513386748698</v>
      </c>
      <c r="BK1864">
        <v>65339.999999999993</v>
      </c>
      <c r="BL1864" t="s">
        <v>242</v>
      </c>
      <c r="BM1864">
        <v>11</v>
      </c>
      <c r="BN1864">
        <v>26300</v>
      </c>
      <c r="BO1864">
        <v>0</v>
      </c>
      <c r="BP1864">
        <v>0</v>
      </c>
      <c r="BQ1864">
        <v>1605.6495959045687</v>
      </c>
      <c r="BR1864" t="s">
        <v>58</v>
      </c>
    </row>
    <row r="1865" spans="1:70" x14ac:dyDescent="0.3">
      <c r="A1865" t="s">
        <v>798</v>
      </c>
      <c r="B1865">
        <v>42200061</v>
      </c>
      <c r="C1865">
        <v>6101000153</v>
      </c>
      <c r="D1865" t="s">
        <v>122</v>
      </c>
      <c r="E1865" t="s">
        <v>437</v>
      </c>
      <c r="F1865" t="s">
        <v>430</v>
      </c>
      <c r="G1865" t="s">
        <v>230</v>
      </c>
      <c r="H1865" t="s">
        <v>231</v>
      </c>
      <c r="J1865" t="s">
        <v>52</v>
      </c>
      <c r="K1865" s="15">
        <v>1000</v>
      </c>
      <c r="M1865">
        <v>45295</v>
      </c>
      <c r="N1865" t="s">
        <v>1013</v>
      </c>
      <c r="O1865">
        <v>0</v>
      </c>
      <c r="P1865">
        <v>1465.7857367607949</v>
      </c>
      <c r="Q1865">
        <v>0</v>
      </c>
      <c r="R1865">
        <v>0</v>
      </c>
      <c r="S1865">
        <v>2433.4931506849316</v>
      </c>
      <c r="T1865">
        <v>499.26566657869478</v>
      </c>
      <c r="U1865">
        <v>2803.7383177570096</v>
      </c>
      <c r="V1865">
        <v>0</v>
      </c>
      <c r="W1865">
        <v>28971.962616822431</v>
      </c>
      <c r="X1865">
        <v>0</v>
      </c>
      <c r="Y1865">
        <v>36174.245488603861</v>
      </c>
      <c r="Z1865">
        <v>2259.2476620810698</v>
      </c>
      <c r="AA1865">
        <v>38433.493150684932</v>
      </c>
      <c r="AB1865" t="s">
        <v>242</v>
      </c>
      <c r="AC1865">
        <v>3</v>
      </c>
      <c r="AD1865">
        <v>14000</v>
      </c>
      <c r="AE1865">
        <v>0</v>
      </c>
      <c r="AF1865">
        <v>0</v>
      </c>
      <c r="AG1865">
        <v>815.51869305911691</v>
      </c>
      <c r="AH1865" t="s">
        <v>58</v>
      </c>
      <c r="AK1865" t="s">
        <v>798</v>
      </c>
      <c r="AL1865">
        <v>4132300350</v>
      </c>
      <c r="AM1865">
        <v>9090013685</v>
      </c>
      <c r="AN1865" t="s">
        <v>539</v>
      </c>
      <c r="AO1865" t="s">
        <v>441</v>
      </c>
      <c r="AP1865" t="s">
        <v>430</v>
      </c>
      <c r="AQ1865" t="s">
        <v>230</v>
      </c>
      <c r="AR1865" t="s">
        <v>231</v>
      </c>
      <c r="AT1865" t="s">
        <v>52</v>
      </c>
      <c r="AU1865">
        <v>3000</v>
      </c>
      <c r="AW1865">
        <v>45295</v>
      </c>
      <c r="AX1865" t="s">
        <v>1015</v>
      </c>
      <c r="AY1865">
        <v>0</v>
      </c>
      <c r="AZ1865">
        <v>0</v>
      </c>
      <c r="BA1865">
        <v>0</v>
      </c>
      <c r="BB1865">
        <v>0</v>
      </c>
      <c r="BC1865">
        <v>672.90648451049469</v>
      </c>
      <c r="BD1865">
        <v>0</v>
      </c>
      <c r="BE1865">
        <v>0</v>
      </c>
      <c r="BF1865">
        <v>0</v>
      </c>
      <c r="BG1865">
        <v>1823.1190197251819</v>
      </c>
      <c r="BH1865">
        <v>0</v>
      </c>
      <c r="BI1865">
        <v>2496.0255042356766</v>
      </c>
      <c r="BJ1865">
        <v>127.61833138076275</v>
      </c>
      <c r="BK1865">
        <v>2623.6438356164394</v>
      </c>
      <c r="BL1865" t="s">
        <v>242</v>
      </c>
      <c r="BM1865">
        <v>7</v>
      </c>
      <c r="BN1865">
        <v>23000</v>
      </c>
      <c r="BO1865">
        <v>0</v>
      </c>
      <c r="BP1865">
        <v>0</v>
      </c>
      <c r="BQ1865">
        <v>1051.718117217368</v>
      </c>
      <c r="BR1865" t="s">
        <v>58</v>
      </c>
    </row>
    <row r="1866" spans="1:70" x14ac:dyDescent="0.3">
      <c r="A1866" t="s">
        <v>798</v>
      </c>
      <c r="B1866">
        <v>62200092</v>
      </c>
      <c r="C1866">
        <v>18575408</v>
      </c>
      <c r="D1866" t="s">
        <v>658</v>
      </c>
      <c r="E1866" t="s">
        <v>435</v>
      </c>
      <c r="F1866" t="s">
        <v>432</v>
      </c>
      <c r="G1866" t="s">
        <v>235</v>
      </c>
      <c r="H1866" t="s">
        <v>235</v>
      </c>
      <c r="J1866" t="s">
        <v>52</v>
      </c>
      <c r="K1866" s="15">
        <v>3000</v>
      </c>
      <c r="M1866">
        <v>45295</v>
      </c>
      <c r="N1866" t="s">
        <v>1013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36618.739999999991</v>
      </c>
      <c r="W1866">
        <v>0</v>
      </c>
      <c r="X1866">
        <v>0</v>
      </c>
      <c r="Y1866">
        <v>36618.739999999991</v>
      </c>
      <c r="Z1866">
        <v>0</v>
      </c>
      <c r="AA1866">
        <v>36618.739999999991</v>
      </c>
      <c r="AB1866" t="s">
        <v>242</v>
      </c>
      <c r="AC1866">
        <v>9</v>
      </c>
      <c r="AD1866">
        <v>27000</v>
      </c>
      <c r="AE1866">
        <v>0</v>
      </c>
      <c r="AF1866">
        <v>0</v>
      </c>
      <c r="AG1866">
        <v>0</v>
      </c>
      <c r="AH1866" t="s">
        <v>58</v>
      </c>
      <c r="AK1866" t="s">
        <v>798</v>
      </c>
      <c r="AL1866">
        <v>42200061</v>
      </c>
      <c r="AM1866">
        <v>6101000153</v>
      </c>
      <c r="AN1866" t="s">
        <v>122</v>
      </c>
      <c r="AO1866" t="s">
        <v>437</v>
      </c>
      <c r="AP1866" t="s">
        <v>430</v>
      </c>
      <c r="AQ1866" t="s">
        <v>230</v>
      </c>
      <c r="AR1866" t="s">
        <v>231</v>
      </c>
      <c r="AT1866" t="s">
        <v>52</v>
      </c>
      <c r="AU1866">
        <v>1000</v>
      </c>
      <c r="AW1866">
        <v>45295</v>
      </c>
      <c r="AX1866" t="s">
        <v>1013</v>
      </c>
      <c r="AY1866">
        <v>0</v>
      </c>
      <c r="AZ1866">
        <v>1465.7857367607949</v>
      </c>
      <c r="BA1866">
        <v>0</v>
      </c>
      <c r="BB1866">
        <v>0</v>
      </c>
      <c r="BC1866">
        <v>2433.4931506849316</v>
      </c>
      <c r="BD1866">
        <v>499.26566657869478</v>
      </c>
      <c r="BE1866">
        <v>2803.7383177570096</v>
      </c>
      <c r="BF1866">
        <v>0</v>
      </c>
      <c r="BG1866">
        <v>28971.962616822431</v>
      </c>
      <c r="BH1866">
        <v>0</v>
      </c>
      <c r="BI1866">
        <v>36174.245488603861</v>
      </c>
      <c r="BJ1866">
        <v>2259.2476620810698</v>
      </c>
      <c r="BK1866">
        <v>38433.493150684932</v>
      </c>
      <c r="BL1866" t="s">
        <v>242</v>
      </c>
      <c r="BM1866">
        <v>3</v>
      </c>
      <c r="BN1866">
        <v>14000</v>
      </c>
      <c r="BO1866">
        <v>0</v>
      </c>
      <c r="BP1866">
        <v>0</v>
      </c>
      <c r="BQ1866">
        <v>815.51869305911691</v>
      </c>
      <c r="BR1866" t="s">
        <v>58</v>
      </c>
    </row>
    <row r="1867" spans="1:70" x14ac:dyDescent="0.3">
      <c r="A1867" t="s">
        <v>798</v>
      </c>
      <c r="B1867">
        <v>4132300350</v>
      </c>
      <c r="C1867">
        <v>9090013685</v>
      </c>
      <c r="D1867" t="s">
        <v>539</v>
      </c>
      <c r="E1867" t="s">
        <v>441</v>
      </c>
      <c r="F1867" t="s">
        <v>430</v>
      </c>
      <c r="G1867" t="s">
        <v>230</v>
      </c>
      <c r="H1867" t="s">
        <v>231</v>
      </c>
      <c r="J1867" t="s">
        <v>52</v>
      </c>
      <c r="K1867" s="15">
        <v>3000</v>
      </c>
      <c r="M1867">
        <v>45295</v>
      </c>
      <c r="N1867" t="s">
        <v>1015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 t="s">
        <v>242</v>
      </c>
      <c r="AC1867">
        <v>9</v>
      </c>
      <c r="AD1867">
        <v>28623.64</v>
      </c>
      <c r="AE1867">
        <v>0</v>
      </c>
      <c r="AF1867">
        <v>0</v>
      </c>
      <c r="AG1867">
        <v>1203.9578799129433</v>
      </c>
      <c r="AH1867" t="s">
        <v>58</v>
      </c>
      <c r="AK1867" t="s">
        <v>798</v>
      </c>
      <c r="AL1867">
        <v>62200092</v>
      </c>
      <c r="AM1867">
        <v>18575408</v>
      </c>
      <c r="AN1867" t="s">
        <v>658</v>
      </c>
      <c r="AO1867" t="s">
        <v>435</v>
      </c>
      <c r="AP1867" t="s">
        <v>432</v>
      </c>
      <c r="AQ1867" t="s">
        <v>235</v>
      </c>
      <c r="AR1867" t="s">
        <v>235</v>
      </c>
      <c r="AT1867" t="s">
        <v>52</v>
      </c>
      <c r="AU1867">
        <v>3000</v>
      </c>
      <c r="AW1867">
        <v>45295</v>
      </c>
      <c r="AX1867" t="s">
        <v>1013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39618.739999999991</v>
      </c>
      <c r="BG1867">
        <v>0</v>
      </c>
      <c r="BH1867">
        <v>0</v>
      </c>
      <c r="BI1867">
        <v>39618.739999999991</v>
      </c>
      <c r="BJ1867">
        <v>0</v>
      </c>
      <c r="BK1867">
        <v>39618.739999999991</v>
      </c>
      <c r="BL1867" t="s">
        <v>242</v>
      </c>
      <c r="BM1867">
        <v>8</v>
      </c>
      <c r="BN1867">
        <v>24000</v>
      </c>
      <c r="BO1867">
        <v>0</v>
      </c>
      <c r="BP1867">
        <v>0</v>
      </c>
      <c r="BQ1867">
        <v>0</v>
      </c>
      <c r="BR1867" t="s">
        <v>58</v>
      </c>
    </row>
    <row r="1868" spans="1:70" x14ac:dyDescent="0.3">
      <c r="A1868" t="s">
        <v>798</v>
      </c>
      <c r="B1868">
        <v>2200002</v>
      </c>
      <c r="C1868">
        <v>22961666</v>
      </c>
      <c r="D1868" t="s">
        <v>407</v>
      </c>
      <c r="E1868" t="s">
        <v>435</v>
      </c>
      <c r="F1868" t="s">
        <v>426</v>
      </c>
      <c r="G1868" t="s">
        <v>235</v>
      </c>
      <c r="H1868" t="s">
        <v>235</v>
      </c>
      <c r="J1868" t="s">
        <v>52</v>
      </c>
      <c r="K1868" s="15">
        <v>5000</v>
      </c>
      <c r="M1868">
        <v>45296</v>
      </c>
      <c r="N1868" t="s">
        <v>1013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83625</v>
      </c>
      <c r="W1868">
        <v>0</v>
      </c>
      <c r="X1868">
        <v>0</v>
      </c>
      <c r="Y1868">
        <v>83625</v>
      </c>
      <c r="Z1868">
        <v>0</v>
      </c>
      <c r="AA1868">
        <v>83625</v>
      </c>
      <c r="AB1868" t="s">
        <v>242</v>
      </c>
      <c r="AC1868">
        <v>9</v>
      </c>
      <c r="AD1868">
        <v>45000</v>
      </c>
      <c r="AE1868">
        <v>0</v>
      </c>
      <c r="AF1868">
        <v>0</v>
      </c>
      <c r="AG1868">
        <v>0</v>
      </c>
      <c r="AH1868" t="s">
        <v>58</v>
      </c>
      <c r="AK1868" t="s">
        <v>798</v>
      </c>
      <c r="AL1868">
        <v>4232300090</v>
      </c>
      <c r="AM1868">
        <v>107145</v>
      </c>
      <c r="AN1868" t="s">
        <v>703</v>
      </c>
      <c r="AO1868" t="s">
        <v>443</v>
      </c>
      <c r="AP1868" t="s">
        <v>431</v>
      </c>
      <c r="AQ1868" t="s">
        <v>230</v>
      </c>
      <c r="AR1868" t="s">
        <v>231</v>
      </c>
      <c r="AT1868" t="s">
        <v>416</v>
      </c>
      <c r="AU1868">
        <v>0.23089999999999999</v>
      </c>
      <c r="AW1868">
        <v>45296</v>
      </c>
      <c r="AX1868" t="s">
        <v>1016</v>
      </c>
      <c r="AY1868">
        <v>0</v>
      </c>
      <c r="AZ1868">
        <v>8613.92</v>
      </c>
      <c r="BA1868">
        <v>0</v>
      </c>
      <c r="BB1868">
        <v>0</v>
      </c>
      <c r="BC1868">
        <v>0</v>
      </c>
      <c r="BD1868">
        <v>0</v>
      </c>
      <c r="BE1868">
        <v>53810.404953271027</v>
      </c>
      <c r="BF1868">
        <v>0</v>
      </c>
      <c r="BG1868">
        <v>287514.01869158878</v>
      </c>
      <c r="BH1868">
        <v>0</v>
      </c>
      <c r="BI1868">
        <v>349938.34364485979</v>
      </c>
      <c r="BJ1868">
        <v>23892.709655140188</v>
      </c>
      <c r="BK1868">
        <v>373831.05329999997</v>
      </c>
      <c r="BL1868" t="s">
        <v>242</v>
      </c>
      <c r="BM1868">
        <v>0</v>
      </c>
      <c r="BN1868">
        <v>0</v>
      </c>
      <c r="BO1868">
        <v>0</v>
      </c>
      <c r="BP1868">
        <v>0</v>
      </c>
      <c r="BQ1868">
        <v>0</v>
      </c>
      <c r="BR1868" t="s">
        <v>72</v>
      </c>
    </row>
    <row r="1869" spans="1:70" x14ac:dyDescent="0.3">
      <c r="A1869" t="s">
        <v>798</v>
      </c>
      <c r="B1869">
        <v>2200003</v>
      </c>
      <c r="C1869">
        <v>22961796</v>
      </c>
      <c r="D1869" t="s">
        <v>407</v>
      </c>
      <c r="E1869" t="s">
        <v>435</v>
      </c>
      <c r="F1869" t="s">
        <v>426</v>
      </c>
      <c r="G1869" t="s">
        <v>235</v>
      </c>
      <c r="H1869" t="s">
        <v>235</v>
      </c>
      <c r="J1869" t="s">
        <v>52</v>
      </c>
      <c r="K1869" s="15">
        <v>5000</v>
      </c>
      <c r="M1869">
        <v>45296</v>
      </c>
      <c r="N1869" t="s">
        <v>1013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93250</v>
      </c>
      <c r="W1869">
        <v>0</v>
      </c>
      <c r="X1869">
        <v>0</v>
      </c>
      <c r="Y1869">
        <v>93250</v>
      </c>
      <c r="Z1869">
        <v>0</v>
      </c>
      <c r="AA1869">
        <v>93250</v>
      </c>
      <c r="AB1869" t="s">
        <v>242</v>
      </c>
      <c r="AC1869">
        <v>9</v>
      </c>
      <c r="AD1869">
        <v>45000</v>
      </c>
      <c r="AE1869">
        <v>0</v>
      </c>
      <c r="AF1869">
        <v>0</v>
      </c>
      <c r="AG1869">
        <v>0</v>
      </c>
      <c r="AH1869" t="s">
        <v>58</v>
      </c>
      <c r="AK1869" t="s">
        <v>798</v>
      </c>
      <c r="AL1869">
        <v>52200044</v>
      </c>
      <c r="AM1869">
        <v>24843920</v>
      </c>
      <c r="AN1869" t="s">
        <v>383</v>
      </c>
      <c r="AO1869" t="s">
        <v>435</v>
      </c>
      <c r="AP1869" t="s">
        <v>431</v>
      </c>
      <c r="AQ1869" t="s">
        <v>235</v>
      </c>
      <c r="AR1869" t="s">
        <v>236</v>
      </c>
      <c r="AT1869" t="s">
        <v>52</v>
      </c>
      <c r="AU1869">
        <v>2000</v>
      </c>
      <c r="AW1869">
        <v>45296</v>
      </c>
      <c r="AX1869" t="s">
        <v>1013</v>
      </c>
      <c r="AY1869">
        <v>4505.6989821752586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133131.12244656519</v>
      </c>
      <c r="BG1869">
        <v>0</v>
      </c>
      <c r="BH1869">
        <v>0</v>
      </c>
      <c r="BI1869">
        <v>137636.82142874046</v>
      </c>
      <c r="BJ1869">
        <v>9319.1785712595647</v>
      </c>
      <c r="BK1869">
        <v>146956.00000000003</v>
      </c>
      <c r="BL1869" t="s">
        <v>242</v>
      </c>
      <c r="BM1869">
        <v>4</v>
      </c>
      <c r="BN1869">
        <v>17000</v>
      </c>
      <c r="BO1869">
        <v>0</v>
      </c>
      <c r="BP1869">
        <v>0</v>
      </c>
      <c r="BQ1869">
        <v>1082.4125766186667</v>
      </c>
      <c r="BR1869" t="s">
        <v>58</v>
      </c>
    </row>
    <row r="1870" spans="1:70" x14ac:dyDescent="0.3">
      <c r="A1870" t="s">
        <v>798</v>
      </c>
      <c r="B1870">
        <v>52200044</v>
      </c>
      <c r="C1870">
        <v>24843920</v>
      </c>
      <c r="D1870" t="s">
        <v>383</v>
      </c>
      <c r="E1870" t="s">
        <v>435</v>
      </c>
      <c r="F1870" t="s">
        <v>431</v>
      </c>
      <c r="G1870" t="s">
        <v>235</v>
      </c>
      <c r="H1870" t="s">
        <v>236</v>
      </c>
      <c r="J1870" t="s">
        <v>52</v>
      </c>
      <c r="K1870" s="15">
        <v>2000</v>
      </c>
      <c r="M1870">
        <v>45296</v>
      </c>
      <c r="N1870" t="s">
        <v>1013</v>
      </c>
      <c r="O1870">
        <v>4505.6989821752586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133131.12244656519</v>
      </c>
      <c r="W1870">
        <v>0</v>
      </c>
      <c r="X1870">
        <v>0</v>
      </c>
      <c r="Y1870">
        <v>137636.82142874046</v>
      </c>
      <c r="Z1870">
        <v>9319.1785712595647</v>
      </c>
      <c r="AA1870">
        <v>146956.00000000003</v>
      </c>
      <c r="AB1870" t="s">
        <v>242</v>
      </c>
      <c r="AC1870">
        <v>4</v>
      </c>
      <c r="AD1870">
        <v>17000</v>
      </c>
      <c r="AE1870">
        <v>0</v>
      </c>
      <c r="AF1870">
        <v>0</v>
      </c>
      <c r="AG1870">
        <v>1082.4125766186667</v>
      </c>
      <c r="AH1870" t="s">
        <v>58</v>
      </c>
      <c r="AK1870" t="s">
        <v>798</v>
      </c>
      <c r="AL1870">
        <v>52201823</v>
      </c>
      <c r="AM1870">
        <v>26207055</v>
      </c>
      <c r="AN1870" t="s">
        <v>165</v>
      </c>
      <c r="AO1870" t="s">
        <v>438</v>
      </c>
      <c r="AP1870" t="s">
        <v>431</v>
      </c>
      <c r="AQ1870" t="s">
        <v>82</v>
      </c>
      <c r="AR1870" t="s">
        <v>83</v>
      </c>
      <c r="AT1870" t="s">
        <v>52</v>
      </c>
      <c r="AU1870">
        <v>500</v>
      </c>
      <c r="AW1870">
        <v>45296</v>
      </c>
      <c r="AX1870" t="s">
        <v>1013</v>
      </c>
      <c r="AY1870">
        <v>0</v>
      </c>
      <c r="AZ1870">
        <v>0</v>
      </c>
      <c r="BA1870">
        <v>0</v>
      </c>
      <c r="BB1870">
        <v>846.53912762186019</v>
      </c>
      <c r="BC1870">
        <v>31010.974281618048</v>
      </c>
      <c r="BD1870">
        <v>0</v>
      </c>
      <c r="BE1870">
        <v>0</v>
      </c>
      <c r="BF1870">
        <v>82604.409809083882</v>
      </c>
      <c r="BG1870">
        <v>0</v>
      </c>
      <c r="BH1870">
        <v>0</v>
      </c>
      <c r="BI1870">
        <v>114461.92321832379</v>
      </c>
      <c r="BJ1870">
        <v>7953.0768863491357</v>
      </c>
      <c r="BK1870">
        <v>122415.00010467293</v>
      </c>
      <c r="BL1870" t="s">
        <v>242</v>
      </c>
      <c r="BM1870">
        <v>7</v>
      </c>
      <c r="BN1870">
        <v>6000</v>
      </c>
      <c r="BO1870">
        <v>0</v>
      </c>
      <c r="BP1870">
        <v>0</v>
      </c>
      <c r="BQ1870">
        <v>389.61470928367305</v>
      </c>
      <c r="BR1870" t="s">
        <v>58</v>
      </c>
    </row>
    <row r="1871" spans="1:70" x14ac:dyDescent="0.3">
      <c r="A1871" t="s">
        <v>798</v>
      </c>
      <c r="B1871">
        <v>52201823</v>
      </c>
      <c r="C1871">
        <v>26207055</v>
      </c>
      <c r="D1871" t="s">
        <v>165</v>
      </c>
      <c r="E1871" t="s">
        <v>438</v>
      </c>
      <c r="F1871" t="s">
        <v>431</v>
      </c>
      <c r="G1871" t="s">
        <v>82</v>
      </c>
      <c r="H1871" t="s">
        <v>83</v>
      </c>
      <c r="J1871" t="s">
        <v>52</v>
      </c>
      <c r="K1871" s="15">
        <v>500</v>
      </c>
      <c r="M1871">
        <v>45296</v>
      </c>
      <c r="N1871" t="s">
        <v>1013</v>
      </c>
      <c r="O1871">
        <v>0</v>
      </c>
      <c r="P1871">
        <v>0</v>
      </c>
      <c r="Q1871">
        <v>0</v>
      </c>
      <c r="R1871">
        <v>846.53912762186019</v>
      </c>
      <c r="S1871">
        <v>31010.974281618048</v>
      </c>
      <c r="T1871">
        <v>0</v>
      </c>
      <c r="U1871">
        <v>0</v>
      </c>
      <c r="V1871">
        <v>82604.409809083882</v>
      </c>
      <c r="W1871">
        <v>0</v>
      </c>
      <c r="X1871">
        <v>0</v>
      </c>
      <c r="Y1871">
        <v>114461.92321832379</v>
      </c>
      <c r="Z1871">
        <v>7953.0768863491357</v>
      </c>
      <c r="AA1871">
        <v>122415.00010467293</v>
      </c>
      <c r="AB1871" t="s">
        <v>242</v>
      </c>
      <c r="AC1871">
        <v>7</v>
      </c>
      <c r="AD1871">
        <v>6000</v>
      </c>
      <c r="AE1871">
        <v>0</v>
      </c>
      <c r="AF1871">
        <v>0</v>
      </c>
      <c r="AG1871">
        <v>389.61470928367305</v>
      </c>
      <c r="AH1871" t="s">
        <v>58</v>
      </c>
      <c r="AK1871" t="s">
        <v>798</v>
      </c>
      <c r="AL1871">
        <v>4142300708</v>
      </c>
      <c r="AM1871">
        <v>10316437</v>
      </c>
      <c r="AN1871" t="s">
        <v>741</v>
      </c>
      <c r="AO1871" t="s">
        <v>445</v>
      </c>
      <c r="AP1871" t="s">
        <v>430</v>
      </c>
      <c r="AQ1871" t="s">
        <v>230</v>
      </c>
      <c r="AR1871" t="s">
        <v>234</v>
      </c>
      <c r="AT1871" t="s">
        <v>52</v>
      </c>
      <c r="AU1871">
        <v>5000</v>
      </c>
      <c r="AW1871">
        <v>45296</v>
      </c>
      <c r="AX1871" t="s">
        <v>1013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290958.44859813084</v>
      </c>
      <c r="BI1871">
        <v>290958.44859813084</v>
      </c>
      <c r="BJ1871">
        <v>20367.091401869162</v>
      </c>
      <c r="BK1871">
        <v>311325.53999999998</v>
      </c>
      <c r="BL1871" t="s">
        <v>242</v>
      </c>
      <c r="BM1871">
        <v>1</v>
      </c>
      <c r="BN1871">
        <v>5000</v>
      </c>
      <c r="BO1871">
        <v>0</v>
      </c>
      <c r="BP1871">
        <v>0</v>
      </c>
      <c r="BQ1871">
        <v>327.10280373831756</v>
      </c>
      <c r="BR1871" t="s">
        <v>72</v>
      </c>
    </row>
    <row r="1872" spans="1:70" x14ac:dyDescent="0.3">
      <c r="A1872" t="s">
        <v>798</v>
      </c>
      <c r="B1872">
        <v>4142300708</v>
      </c>
      <c r="C1872">
        <v>10316437</v>
      </c>
      <c r="D1872" t="s">
        <v>741</v>
      </c>
      <c r="E1872" t="s">
        <v>445</v>
      </c>
      <c r="F1872" t="s">
        <v>430</v>
      </c>
      <c r="G1872" t="s">
        <v>230</v>
      </c>
      <c r="H1872" t="s">
        <v>234</v>
      </c>
      <c r="J1872" t="s">
        <v>52</v>
      </c>
      <c r="K1872" s="15">
        <v>5000</v>
      </c>
      <c r="M1872">
        <v>45296</v>
      </c>
      <c r="N1872" t="s">
        <v>1013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290958.44859813084</v>
      </c>
      <c r="Y1872">
        <v>290958.44859813084</v>
      </c>
      <c r="Z1872">
        <v>20367.091401869162</v>
      </c>
      <c r="AA1872">
        <v>311325.53999999998</v>
      </c>
      <c r="AB1872" t="s">
        <v>242</v>
      </c>
      <c r="AC1872">
        <v>1</v>
      </c>
      <c r="AD1872">
        <v>5000</v>
      </c>
      <c r="AE1872">
        <v>0</v>
      </c>
      <c r="AF1872">
        <v>0</v>
      </c>
      <c r="AG1872">
        <v>327.10280373831756</v>
      </c>
      <c r="AH1872" t="s">
        <v>72</v>
      </c>
      <c r="AK1872" t="s">
        <v>798</v>
      </c>
      <c r="AL1872">
        <v>2200002</v>
      </c>
      <c r="AM1872">
        <v>22961666</v>
      </c>
      <c r="AN1872" t="s">
        <v>407</v>
      </c>
      <c r="AO1872" t="s">
        <v>435</v>
      </c>
      <c r="AP1872" t="s">
        <v>426</v>
      </c>
      <c r="AQ1872" t="s">
        <v>235</v>
      </c>
      <c r="AR1872" t="s">
        <v>235</v>
      </c>
      <c r="AT1872" t="s">
        <v>52</v>
      </c>
      <c r="AU1872">
        <v>5000</v>
      </c>
      <c r="AW1872">
        <v>45296</v>
      </c>
      <c r="AX1872" t="s">
        <v>1013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83625</v>
      </c>
      <c r="BG1872">
        <v>0</v>
      </c>
      <c r="BH1872">
        <v>0</v>
      </c>
      <c r="BI1872">
        <v>83625</v>
      </c>
      <c r="BJ1872">
        <v>0</v>
      </c>
      <c r="BK1872">
        <v>83625</v>
      </c>
      <c r="BL1872" t="s">
        <v>242</v>
      </c>
      <c r="BM1872">
        <v>9</v>
      </c>
      <c r="BN1872">
        <v>45000</v>
      </c>
      <c r="BO1872">
        <v>0</v>
      </c>
      <c r="BP1872">
        <v>0</v>
      </c>
      <c r="BQ1872">
        <v>0</v>
      </c>
      <c r="BR1872" t="s">
        <v>58</v>
      </c>
    </row>
    <row r="1873" spans="1:70" x14ac:dyDescent="0.3">
      <c r="A1873" t="s">
        <v>798</v>
      </c>
      <c r="B1873">
        <v>4232300090</v>
      </c>
      <c r="C1873">
        <v>107145</v>
      </c>
      <c r="D1873" t="s">
        <v>703</v>
      </c>
      <c r="E1873" t="s">
        <v>443</v>
      </c>
      <c r="F1873" t="s">
        <v>431</v>
      </c>
      <c r="G1873" t="s">
        <v>230</v>
      </c>
      <c r="H1873" t="s">
        <v>231</v>
      </c>
      <c r="J1873" t="s">
        <v>416</v>
      </c>
      <c r="K1873" s="15">
        <v>0.23089999999999999</v>
      </c>
      <c r="M1873">
        <v>45296</v>
      </c>
      <c r="N1873" t="s">
        <v>1016</v>
      </c>
      <c r="O1873">
        <v>0</v>
      </c>
      <c r="P1873">
        <v>8613.92</v>
      </c>
      <c r="Q1873">
        <v>0</v>
      </c>
      <c r="R1873">
        <v>0</v>
      </c>
      <c r="S1873">
        <v>0</v>
      </c>
      <c r="T1873">
        <v>0</v>
      </c>
      <c r="U1873">
        <v>53810.404953271027</v>
      </c>
      <c r="V1873">
        <v>0</v>
      </c>
      <c r="W1873">
        <v>287514.01869158878</v>
      </c>
      <c r="X1873">
        <v>0</v>
      </c>
      <c r="Y1873">
        <v>349938.34364485979</v>
      </c>
      <c r="Z1873">
        <v>23892.709655140188</v>
      </c>
      <c r="AA1873">
        <v>373831.05329999997</v>
      </c>
      <c r="AB1873" t="s">
        <v>242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 t="s">
        <v>72</v>
      </c>
      <c r="AK1873" t="s">
        <v>798</v>
      </c>
      <c r="AL1873">
        <v>2200003</v>
      </c>
      <c r="AM1873">
        <v>22961796</v>
      </c>
      <c r="AN1873" t="s">
        <v>407</v>
      </c>
      <c r="AO1873" t="s">
        <v>435</v>
      </c>
      <c r="AP1873" t="s">
        <v>426</v>
      </c>
      <c r="AQ1873" t="s">
        <v>235</v>
      </c>
      <c r="AR1873" t="s">
        <v>235</v>
      </c>
      <c r="AT1873" t="s">
        <v>52</v>
      </c>
      <c r="AU1873">
        <v>5000</v>
      </c>
      <c r="AW1873">
        <v>45296</v>
      </c>
      <c r="AX1873" t="s">
        <v>1013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93250</v>
      </c>
      <c r="BG1873">
        <v>0</v>
      </c>
      <c r="BH1873">
        <v>0</v>
      </c>
      <c r="BI1873">
        <v>93250</v>
      </c>
      <c r="BJ1873">
        <v>0</v>
      </c>
      <c r="BK1873">
        <v>93250</v>
      </c>
      <c r="BL1873" t="s">
        <v>242</v>
      </c>
      <c r="BM1873">
        <v>9</v>
      </c>
      <c r="BN1873">
        <v>45000</v>
      </c>
      <c r="BO1873">
        <v>0</v>
      </c>
      <c r="BP1873">
        <v>0</v>
      </c>
      <c r="BQ1873">
        <v>0</v>
      </c>
      <c r="BR1873" t="s">
        <v>58</v>
      </c>
    </row>
    <row r="1874" spans="1:70" x14ac:dyDescent="0.3">
      <c r="A1874" t="s">
        <v>798</v>
      </c>
      <c r="B1874">
        <v>4132300350</v>
      </c>
      <c r="C1874">
        <v>9090013685</v>
      </c>
      <c r="D1874" t="s">
        <v>539</v>
      </c>
      <c r="E1874" t="s">
        <v>441</v>
      </c>
      <c r="F1874" t="s">
        <v>430</v>
      </c>
      <c r="G1874" t="s">
        <v>230</v>
      </c>
      <c r="H1874" t="s">
        <v>231</v>
      </c>
      <c r="J1874" t="s">
        <v>52</v>
      </c>
      <c r="K1874" s="15">
        <v>2623.64</v>
      </c>
      <c r="M1874">
        <v>45297</v>
      </c>
      <c r="N1874" t="s">
        <v>1017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 t="s">
        <v>242</v>
      </c>
      <c r="AC1874">
        <v>10</v>
      </c>
      <c r="AD1874">
        <v>31247.279999999999</v>
      </c>
      <c r="AE1874">
        <v>0</v>
      </c>
      <c r="AF1874">
        <v>0</v>
      </c>
      <c r="AG1874">
        <v>1203.9578799129433</v>
      </c>
      <c r="AH1874" t="s">
        <v>58</v>
      </c>
      <c r="AK1874" t="s">
        <v>798</v>
      </c>
      <c r="AL1874">
        <v>4302300042</v>
      </c>
      <c r="AM1874">
        <v>901012024750</v>
      </c>
      <c r="AN1874" t="s">
        <v>227</v>
      </c>
      <c r="AO1874" t="s">
        <v>447</v>
      </c>
      <c r="AP1874" t="s">
        <v>433</v>
      </c>
      <c r="AQ1874" t="s">
        <v>82</v>
      </c>
      <c r="AR1874" t="s">
        <v>83</v>
      </c>
      <c r="AT1874" t="s">
        <v>52</v>
      </c>
      <c r="AU1874">
        <v>2000</v>
      </c>
      <c r="AW1874">
        <v>45297</v>
      </c>
      <c r="AX1874" t="s">
        <v>1013</v>
      </c>
      <c r="AY1874">
        <v>0</v>
      </c>
      <c r="AZ1874">
        <v>0</v>
      </c>
      <c r="BA1874">
        <v>38272.561116092525</v>
      </c>
      <c r="BB1874">
        <v>37265.26</v>
      </c>
      <c r="BC1874">
        <v>95828.928396175193</v>
      </c>
      <c r="BD1874">
        <v>0</v>
      </c>
      <c r="BE1874">
        <v>0</v>
      </c>
      <c r="BF1874">
        <v>553789.81999999995</v>
      </c>
      <c r="BG1874">
        <v>0</v>
      </c>
      <c r="BH1874">
        <v>0</v>
      </c>
      <c r="BI1874">
        <v>725156.5695122676</v>
      </c>
      <c r="BJ1874">
        <v>45473.312387732258</v>
      </c>
      <c r="BK1874">
        <v>770629.8818999998</v>
      </c>
      <c r="BL1874" t="s">
        <v>242</v>
      </c>
      <c r="BM1874">
        <v>1</v>
      </c>
      <c r="BN1874">
        <v>2000</v>
      </c>
      <c r="BO1874">
        <v>0</v>
      </c>
      <c r="BP1874">
        <v>0</v>
      </c>
      <c r="BQ1874">
        <v>117.20951226773582</v>
      </c>
      <c r="BR1874" t="s">
        <v>72</v>
      </c>
    </row>
    <row r="1875" spans="1:70" x14ac:dyDescent="0.3">
      <c r="A1875" t="s">
        <v>798</v>
      </c>
      <c r="B1875">
        <v>4302300042</v>
      </c>
      <c r="C1875">
        <v>901012024750</v>
      </c>
      <c r="D1875" t="s">
        <v>227</v>
      </c>
      <c r="E1875" t="s">
        <v>447</v>
      </c>
      <c r="F1875" t="s">
        <v>433</v>
      </c>
      <c r="G1875" t="s">
        <v>82</v>
      </c>
      <c r="H1875" t="s">
        <v>83</v>
      </c>
      <c r="J1875" t="s">
        <v>52</v>
      </c>
      <c r="K1875" s="15">
        <v>2000</v>
      </c>
      <c r="M1875">
        <v>45297</v>
      </c>
      <c r="N1875" t="s">
        <v>1013</v>
      </c>
      <c r="O1875">
        <v>0</v>
      </c>
      <c r="P1875">
        <v>0</v>
      </c>
      <c r="Q1875">
        <v>38272.561116092525</v>
      </c>
      <c r="R1875">
        <v>37265.26</v>
      </c>
      <c r="S1875">
        <v>95828.928396175193</v>
      </c>
      <c r="T1875">
        <v>0</v>
      </c>
      <c r="U1875">
        <v>0</v>
      </c>
      <c r="V1875">
        <v>553789.81999999995</v>
      </c>
      <c r="W1875">
        <v>0</v>
      </c>
      <c r="X1875">
        <v>0</v>
      </c>
      <c r="Y1875">
        <v>725156.5695122676</v>
      </c>
      <c r="Z1875">
        <v>45473.312387732258</v>
      </c>
      <c r="AA1875">
        <v>770629.8818999998</v>
      </c>
      <c r="AB1875" t="s">
        <v>242</v>
      </c>
      <c r="AC1875">
        <v>1</v>
      </c>
      <c r="AD1875">
        <v>2000</v>
      </c>
      <c r="AE1875">
        <v>0</v>
      </c>
      <c r="AF1875">
        <v>0</v>
      </c>
      <c r="AG1875">
        <v>117.20951226773582</v>
      </c>
      <c r="AH1875" t="s">
        <v>72</v>
      </c>
      <c r="AK1875" t="s">
        <v>798</v>
      </c>
      <c r="AL1875">
        <v>4302300044</v>
      </c>
      <c r="AM1875">
        <v>901012030496</v>
      </c>
      <c r="AN1875" t="s">
        <v>227</v>
      </c>
      <c r="AO1875" t="s">
        <v>447</v>
      </c>
      <c r="AP1875" t="s">
        <v>433</v>
      </c>
      <c r="AQ1875" t="s">
        <v>82</v>
      </c>
      <c r="AR1875" t="s">
        <v>83</v>
      </c>
      <c r="AT1875" t="s">
        <v>52</v>
      </c>
      <c r="AU1875">
        <v>2000</v>
      </c>
      <c r="AW1875">
        <v>45297</v>
      </c>
      <c r="AX1875" t="s">
        <v>1013</v>
      </c>
      <c r="AY1875">
        <v>0</v>
      </c>
      <c r="AZ1875">
        <v>0</v>
      </c>
      <c r="BA1875">
        <v>50404.030053172035</v>
      </c>
      <c r="BB1875">
        <v>42434.2</v>
      </c>
      <c r="BC1875">
        <v>117206.04901572707</v>
      </c>
      <c r="BD1875">
        <v>0</v>
      </c>
      <c r="BE1875">
        <v>0</v>
      </c>
      <c r="BF1875">
        <v>725754.44</v>
      </c>
      <c r="BG1875">
        <v>0</v>
      </c>
      <c r="BH1875">
        <v>0</v>
      </c>
      <c r="BI1875">
        <v>935798.71906889905</v>
      </c>
      <c r="BJ1875">
        <v>59007.234231100898</v>
      </c>
      <c r="BK1875">
        <v>994805.95329999994</v>
      </c>
      <c r="BL1875" t="s">
        <v>242</v>
      </c>
      <c r="BM1875">
        <v>1</v>
      </c>
      <c r="BN1875">
        <v>2000</v>
      </c>
      <c r="BO1875">
        <v>0</v>
      </c>
      <c r="BP1875">
        <v>0</v>
      </c>
      <c r="BQ1875">
        <v>117.85906889910507</v>
      </c>
      <c r="BR1875" t="s">
        <v>72</v>
      </c>
    </row>
    <row r="1876" spans="1:70" x14ac:dyDescent="0.3">
      <c r="A1876" t="s">
        <v>798</v>
      </c>
      <c r="B1876">
        <v>4302300044</v>
      </c>
      <c r="C1876">
        <v>901012030496</v>
      </c>
      <c r="D1876" t="s">
        <v>227</v>
      </c>
      <c r="E1876" t="s">
        <v>447</v>
      </c>
      <c r="F1876" t="s">
        <v>433</v>
      </c>
      <c r="G1876" t="s">
        <v>82</v>
      </c>
      <c r="H1876" t="s">
        <v>83</v>
      </c>
      <c r="J1876" t="s">
        <v>52</v>
      </c>
      <c r="K1876" s="15">
        <v>2000</v>
      </c>
      <c r="M1876">
        <v>45297</v>
      </c>
      <c r="N1876" t="s">
        <v>1013</v>
      </c>
      <c r="O1876">
        <v>0</v>
      </c>
      <c r="P1876">
        <v>0</v>
      </c>
      <c r="Q1876">
        <v>50404.030053172035</v>
      </c>
      <c r="R1876">
        <v>42434.2</v>
      </c>
      <c r="S1876">
        <v>117206.04901572707</v>
      </c>
      <c r="T1876">
        <v>0</v>
      </c>
      <c r="U1876">
        <v>0</v>
      </c>
      <c r="V1876">
        <v>725754.44</v>
      </c>
      <c r="W1876">
        <v>0</v>
      </c>
      <c r="X1876">
        <v>0</v>
      </c>
      <c r="Y1876">
        <v>935798.71906889905</v>
      </c>
      <c r="Z1876">
        <v>59007.234231100898</v>
      </c>
      <c r="AA1876">
        <v>994805.95329999994</v>
      </c>
      <c r="AB1876" t="s">
        <v>242</v>
      </c>
      <c r="AC1876">
        <v>1</v>
      </c>
      <c r="AD1876">
        <v>2000</v>
      </c>
      <c r="AE1876">
        <v>0</v>
      </c>
      <c r="AF1876">
        <v>0</v>
      </c>
      <c r="AG1876">
        <v>117.85906889910507</v>
      </c>
      <c r="AH1876" t="s">
        <v>72</v>
      </c>
      <c r="AK1876" t="s">
        <v>798</v>
      </c>
      <c r="AL1876">
        <v>4302300045</v>
      </c>
      <c r="AM1876">
        <v>901012030501</v>
      </c>
      <c r="AN1876" t="s">
        <v>227</v>
      </c>
      <c r="AO1876" t="s">
        <v>447</v>
      </c>
      <c r="AP1876" t="s">
        <v>433</v>
      </c>
      <c r="AQ1876" t="s">
        <v>82</v>
      </c>
      <c r="AR1876" t="s">
        <v>83</v>
      </c>
      <c r="AT1876" t="s">
        <v>52</v>
      </c>
      <c r="AU1876">
        <v>2000</v>
      </c>
      <c r="AW1876">
        <v>45297</v>
      </c>
      <c r="AX1876" t="s">
        <v>1013</v>
      </c>
      <c r="AY1876">
        <v>0</v>
      </c>
      <c r="AZ1876">
        <v>0</v>
      </c>
      <c r="BA1876">
        <v>50050.356691621972</v>
      </c>
      <c r="BB1876">
        <v>42537.96</v>
      </c>
      <c r="BC1876">
        <v>117373.37645642807</v>
      </c>
      <c r="BD1876">
        <v>0</v>
      </c>
      <c r="BE1876">
        <v>0</v>
      </c>
      <c r="BF1876">
        <v>727221.82</v>
      </c>
      <c r="BG1876">
        <v>0</v>
      </c>
      <c r="BH1876">
        <v>0</v>
      </c>
      <c r="BI1876">
        <v>937183.51314805006</v>
      </c>
      <c r="BJ1876">
        <v>59121.663751949971</v>
      </c>
      <c r="BK1876">
        <v>996305.17690000008</v>
      </c>
      <c r="BL1876" t="s">
        <v>242</v>
      </c>
      <c r="BM1876">
        <v>1</v>
      </c>
      <c r="BN1876">
        <v>2000</v>
      </c>
      <c r="BO1876">
        <v>0</v>
      </c>
      <c r="BP1876">
        <v>0</v>
      </c>
      <c r="BQ1876">
        <v>117.91314805003549</v>
      </c>
      <c r="BR1876" t="s">
        <v>72</v>
      </c>
    </row>
    <row r="1877" spans="1:70" x14ac:dyDescent="0.3">
      <c r="A1877" t="s">
        <v>798</v>
      </c>
      <c r="B1877">
        <v>4302300045</v>
      </c>
      <c r="C1877">
        <v>901012030501</v>
      </c>
      <c r="D1877" t="s">
        <v>227</v>
      </c>
      <c r="E1877" t="s">
        <v>447</v>
      </c>
      <c r="F1877" t="s">
        <v>433</v>
      </c>
      <c r="G1877" t="s">
        <v>82</v>
      </c>
      <c r="H1877" t="s">
        <v>83</v>
      </c>
      <c r="J1877" t="s">
        <v>52</v>
      </c>
      <c r="K1877" s="15">
        <v>2000</v>
      </c>
      <c r="M1877">
        <v>45297</v>
      </c>
      <c r="N1877" t="s">
        <v>1013</v>
      </c>
      <c r="O1877">
        <v>0</v>
      </c>
      <c r="P1877">
        <v>0</v>
      </c>
      <c r="Q1877">
        <v>50050.356691621972</v>
      </c>
      <c r="R1877">
        <v>42537.96</v>
      </c>
      <c r="S1877">
        <v>117373.37645642807</v>
      </c>
      <c r="T1877">
        <v>0</v>
      </c>
      <c r="U1877">
        <v>0</v>
      </c>
      <c r="V1877">
        <v>727221.82</v>
      </c>
      <c r="W1877">
        <v>0</v>
      </c>
      <c r="X1877">
        <v>0</v>
      </c>
      <c r="Y1877">
        <v>937183.51314805006</v>
      </c>
      <c r="Z1877">
        <v>59121.663751949971</v>
      </c>
      <c r="AA1877">
        <v>996305.17690000008</v>
      </c>
      <c r="AB1877" t="s">
        <v>242</v>
      </c>
      <c r="AC1877">
        <v>1</v>
      </c>
      <c r="AD1877">
        <v>2000</v>
      </c>
      <c r="AE1877">
        <v>0</v>
      </c>
      <c r="AF1877">
        <v>0</v>
      </c>
      <c r="AG1877">
        <v>117.91314805003549</v>
      </c>
      <c r="AH1877" t="s">
        <v>72</v>
      </c>
      <c r="AK1877" t="s">
        <v>798</v>
      </c>
      <c r="AL1877">
        <v>4132300350</v>
      </c>
      <c r="AM1877">
        <v>9090013685</v>
      </c>
      <c r="AN1877" t="s">
        <v>539</v>
      </c>
      <c r="AO1877" t="s">
        <v>441</v>
      </c>
      <c r="AP1877" t="s">
        <v>430</v>
      </c>
      <c r="AQ1877" t="s">
        <v>421</v>
      </c>
      <c r="AR1877" t="s">
        <v>231</v>
      </c>
      <c r="AT1877" t="s">
        <v>52</v>
      </c>
      <c r="AU1877">
        <v>2623.64</v>
      </c>
      <c r="AW1877">
        <v>45297</v>
      </c>
      <c r="AX1877" t="s">
        <v>1017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3.5846882612986519E-3</v>
      </c>
      <c r="BH1877">
        <v>0</v>
      </c>
      <c r="BI1877">
        <v>3.5846882612986519E-3</v>
      </c>
      <c r="BJ1877">
        <v>2.5092817829090567E-4</v>
      </c>
      <c r="BK1877">
        <v>3.8356164395895575E-3</v>
      </c>
      <c r="BL1877" t="s">
        <v>242</v>
      </c>
      <c r="BM1877">
        <v>8</v>
      </c>
      <c r="BN1877">
        <v>25623.64</v>
      </c>
      <c r="BO1877">
        <v>0</v>
      </c>
      <c r="BP1877">
        <v>0</v>
      </c>
      <c r="BQ1877">
        <v>1179.3361976699525</v>
      </c>
      <c r="BR1877" t="s">
        <v>58</v>
      </c>
    </row>
    <row r="1878" spans="1:70" x14ac:dyDescent="0.3">
      <c r="A1878" t="s">
        <v>798</v>
      </c>
      <c r="B1878">
        <v>52200185</v>
      </c>
      <c r="C1878">
        <v>24837727</v>
      </c>
      <c r="D1878" t="s">
        <v>133</v>
      </c>
      <c r="E1878" t="s">
        <v>436</v>
      </c>
      <c r="F1878" t="s">
        <v>431</v>
      </c>
      <c r="G1878" t="s">
        <v>82</v>
      </c>
      <c r="H1878" t="s">
        <v>83</v>
      </c>
      <c r="J1878" t="s">
        <v>52</v>
      </c>
      <c r="K1878" s="15">
        <v>2000</v>
      </c>
      <c r="M1878">
        <v>45298</v>
      </c>
      <c r="N1878" t="s">
        <v>1013</v>
      </c>
      <c r="O1878">
        <v>0</v>
      </c>
      <c r="P1878">
        <v>0</v>
      </c>
      <c r="Q1878">
        <v>0</v>
      </c>
      <c r="R1878">
        <v>830.73752889639445</v>
      </c>
      <c r="S1878">
        <v>10228.855215373269</v>
      </c>
      <c r="T1878">
        <v>0</v>
      </c>
      <c r="U1878">
        <v>0</v>
      </c>
      <c r="V1878">
        <v>51964.847111538125</v>
      </c>
      <c r="W1878">
        <v>0</v>
      </c>
      <c r="X1878">
        <v>0</v>
      </c>
      <c r="Y1878">
        <v>63024.439855807788</v>
      </c>
      <c r="Z1878">
        <v>4353.5591628837983</v>
      </c>
      <c r="AA1878">
        <v>67377.999018691582</v>
      </c>
      <c r="AB1878" t="s">
        <v>242</v>
      </c>
      <c r="AC1878">
        <v>6</v>
      </c>
      <c r="AD1878">
        <v>12000</v>
      </c>
      <c r="AE1878">
        <v>0</v>
      </c>
      <c r="AF1878">
        <v>0</v>
      </c>
      <c r="AG1878">
        <v>774.6276888063062</v>
      </c>
      <c r="AH1878" t="s">
        <v>58</v>
      </c>
      <c r="AK1878" t="s">
        <v>798</v>
      </c>
      <c r="AL1878">
        <v>52200185</v>
      </c>
      <c r="AM1878">
        <v>24837727</v>
      </c>
      <c r="AN1878" t="s">
        <v>133</v>
      </c>
      <c r="AO1878" t="s">
        <v>436</v>
      </c>
      <c r="AP1878" t="s">
        <v>431</v>
      </c>
      <c r="AQ1878" t="s">
        <v>82</v>
      </c>
      <c r="AR1878" t="s">
        <v>83</v>
      </c>
      <c r="AT1878" t="s">
        <v>52</v>
      </c>
      <c r="AU1878">
        <v>2000</v>
      </c>
      <c r="AW1878">
        <v>45298</v>
      </c>
      <c r="AX1878" t="s">
        <v>1013</v>
      </c>
      <c r="AY1878">
        <v>0</v>
      </c>
      <c r="AZ1878">
        <v>0</v>
      </c>
      <c r="BA1878">
        <v>0</v>
      </c>
      <c r="BB1878">
        <v>830.73752889639445</v>
      </c>
      <c r="BC1878">
        <v>10228.855215373269</v>
      </c>
      <c r="BD1878">
        <v>0</v>
      </c>
      <c r="BE1878">
        <v>0</v>
      </c>
      <c r="BF1878">
        <v>51964.847111538125</v>
      </c>
      <c r="BG1878">
        <v>0</v>
      </c>
      <c r="BH1878">
        <v>0</v>
      </c>
      <c r="BI1878">
        <v>63024.439855807788</v>
      </c>
      <c r="BJ1878">
        <v>4353.5591628837983</v>
      </c>
      <c r="BK1878">
        <v>67377.999018691582</v>
      </c>
      <c r="BL1878" t="s">
        <v>242</v>
      </c>
      <c r="BM1878">
        <v>6</v>
      </c>
      <c r="BN1878">
        <v>12000</v>
      </c>
      <c r="BO1878">
        <v>0</v>
      </c>
      <c r="BP1878">
        <v>0</v>
      </c>
      <c r="BQ1878">
        <v>774.6276888063062</v>
      </c>
      <c r="BR1878" t="s">
        <v>58</v>
      </c>
    </row>
    <row r="1879" spans="1:70" x14ac:dyDescent="0.3">
      <c r="A1879" t="s">
        <v>798</v>
      </c>
      <c r="B1879">
        <v>62200095</v>
      </c>
      <c r="C1879">
        <v>16244612</v>
      </c>
      <c r="D1879" t="s">
        <v>639</v>
      </c>
      <c r="E1879" t="s">
        <v>435</v>
      </c>
      <c r="F1879" t="s">
        <v>432</v>
      </c>
      <c r="G1879" t="s">
        <v>235</v>
      </c>
      <c r="H1879" t="s">
        <v>235</v>
      </c>
      <c r="J1879" t="s">
        <v>52</v>
      </c>
      <c r="K1879" s="15">
        <v>2000</v>
      </c>
      <c r="M1879">
        <v>45299</v>
      </c>
      <c r="N1879" t="s">
        <v>1013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36352.790000000008</v>
      </c>
      <c r="W1879">
        <v>0</v>
      </c>
      <c r="X1879">
        <v>0</v>
      </c>
      <c r="Y1879">
        <v>36352.790000000008</v>
      </c>
      <c r="Z1879">
        <v>0</v>
      </c>
      <c r="AA1879">
        <v>36352.790000000008</v>
      </c>
      <c r="AB1879" t="s">
        <v>242</v>
      </c>
      <c r="AC1879">
        <v>10</v>
      </c>
      <c r="AD1879">
        <v>20000</v>
      </c>
      <c r="AE1879">
        <v>0</v>
      </c>
      <c r="AF1879">
        <v>0</v>
      </c>
      <c r="AG1879">
        <v>0</v>
      </c>
      <c r="AH1879" t="s">
        <v>58</v>
      </c>
      <c r="AK1879" t="s">
        <v>798</v>
      </c>
      <c r="AL1879">
        <v>4142301246</v>
      </c>
      <c r="AM1879">
        <v>10211923</v>
      </c>
      <c r="AN1879" t="s">
        <v>750</v>
      </c>
      <c r="AO1879" t="s">
        <v>446</v>
      </c>
      <c r="AP1879" t="s">
        <v>430</v>
      </c>
      <c r="AQ1879" t="s">
        <v>230</v>
      </c>
      <c r="AR1879" t="s">
        <v>234</v>
      </c>
      <c r="AT1879" t="s">
        <v>52</v>
      </c>
      <c r="AU1879">
        <v>11170</v>
      </c>
      <c r="AW1879">
        <v>45299</v>
      </c>
      <c r="AX1879" t="s">
        <v>1013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106630.1308411215</v>
      </c>
      <c r="BI1879">
        <v>106630.1308411215</v>
      </c>
      <c r="BJ1879">
        <v>7464.1091588785057</v>
      </c>
      <c r="BK1879">
        <v>114094.24</v>
      </c>
      <c r="BL1879" t="s">
        <v>242</v>
      </c>
      <c r="BM1879">
        <v>1</v>
      </c>
      <c r="BN1879">
        <v>11170</v>
      </c>
      <c r="BO1879">
        <v>0</v>
      </c>
      <c r="BP1879">
        <v>0</v>
      </c>
      <c r="BQ1879">
        <v>730.74766355140127</v>
      </c>
      <c r="BR1879" t="s">
        <v>72</v>
      </c>
    </row>
    <row r="1880" spans="1:70" x14ac:dyDescent="0.3">
      <c r="A1880" t="s">
        <v>798</v>
      </c>
      <c r="B1880">
        <v>4142301246</v>
      </c>
      <c r="C1880">
        <v>10211923</v>
      </c>
      <c r="D1880" t="s">
        <v>750</v>
      </c>
      <c r="E1880" t="s">
        <v>446</v>
      </c>
      <c r="F1880" t="s">
        <v>430</v>
      </c>
      <c r="G1880" t="s">
        <v>230</v>
      </c>
      <c r="H1880" t="s">
        <v>234</v>
      </c>
      <c r="J1880" t="s">
        <v>52</v>
      </c>
      <c r="K1880" s="15">
        <v>11170</v>
      </c>
      <c r="M1880">
        <v>45299</v>
      </c>
      <c r="N1880" t="s">
        <v>1013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106630.1308411215</v>
      </c>
      <c r="Y1880">
        <v>106630.1308411215</v>
      </c>
      <c r="Z1880">
        <v>7464.1091588785057</v>
      </c>
      <c r="AA1880">
        <v>114094.24</v>
      </c>
      <c r="AB1880" t="s">
        <v>242</v>
      </c>
      <c r="AC1880">
        <v>1</v>
      </c>
      <c r="AD1880">
        <v>11170</v>
      </c>
      <c r="AE1880">
        <v>0</v>
      </c>
      <c r="AF1880">
        <v>0</v>
      </c>
      <c r="AG1880">
        <v>730.74766355140127</v>
      </c>
      <c r="AH1880" t="s">
        <v>72</v>
      </c>
      <c r="AK1880" t="s">
        <v>798</v>
      </c>
      <c r="AL1880">
        <v>62200095</v>
      </c>
      <c r="AM1880">
        <v>16244612</v>
      </c>
      <c r="AN1880" t="s">
        <v>639</v>
      </c>
      <c r="AO1880" t="s">
        <v>435</v>
      </c>
      <c r="AP1880" t="s">
        <v>432</v>
      </c>
      <c r="AQ1880" t="s">
        <v>235</v>
      </c>
      <c r="AR1880" t="s">
        <v>235</v>
      </c>
      <c r="AT1880" t="s">
        <v>52</v>
      </c>
      <c r="AU1880">
        <v>2000</v>
      </c>
      <c r="AW1880">
        <v>45299</v>
      </c>
      <c r="AX1880" t="s">
        <v>1013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36352.790000000008</v>
      </c>
      <c r="BG1880">
        <v>0</v>
      </c>
      <c r="BH1880">
        <v>0</v>
      </c>
      <c r="BI1880">
        <v>36352.790000000008</v>
      </c>
      <c r="BJ1880">
        <v>0</v>
      </c>
      <c r="BK1880">
        <v>36352.790000000008</v>
      </c>
      <c r="BL1880" t="s">
        <v>242</v>
      </c>
      <c r="BM1880">
        <v>10</v>
      </c>
      <c r="BN1880">
        <v>20000</v>
      </c>
      <c r="BO1880">
        <v>0</v>
      </c>
      <c r="BP1880">
        <v>0</v>
      </c>
      <c r="BQ1880">
        <v>0</v>
      </c>
      <c r="BR1880" t="s">
        <v>58</v>
      </c>
    </row>
    <row r="1881" spans="1:70" x14ac:dyDescent="0.3">
      <c r="A1881" t="s">
        <v>798</v>
      </c>
      <c r="B1881">
        <v>12200041</v>
      </c>
      <c r="C1881">
        <v>23113175</v>
      </c>
      <c r="D1881" t="s">
        <v>78</v>
      </c>
      <c r="E1881" t="s">
        <v>435</v>
      </c>
      <c r="F1881" t="s">
        <v>427</v>
      </c>
      <c r="G1881" t="s">
        <v>82</v>
      </c>
      <c r="H1881" t="s">
        <v>82</v>
      </c>
      <c r="J1881" t="s">
        <v>52</v>
      </c>
      <c r="K1881" s="15">
        <v>5000</v>
      </c>
      <c r="M1881">
        <v>45300</v>
      </c>
      <c r="N1881" t="s">
        <v>1013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142565.03142572055</v>
      </c>
      <c r="W1881">
        <v>0</v>
      </c>
      <c r="X1881">
        <v>0</v>
      </c>
      <c r="Y1881">
        <v>142565.03142572055</v>
      </c>
      <c r="Z1881">
        <v>0</v>
      </c>
      <c r="AA1881">
        <v>142565.03142572055</v>
      </c>
      <c r="AB1881" t="s">
        <v>242</v>
      </c>
      <c r="AC1881">
        <v>20</v>
      </c>
      <c r="AD1881">
        <v>80000</v>
      </c>
      <c r="AE1881">
        <v>0</v>
      </c>
      <c r="AF1881">
        <v>0</v>
      </c>
      <c r="AG1881">
        <v>0</v>
      </c>
      <c r="AH1881" t="s">
        <v>58</v>
      </c>
      <c r="AK1881" t="s">
        <v>798</v>
      </c>
      <c r="AL1881">
        <v>12200041</v>
      </c>
      <c r="AM1881">
        <v>23113175</v>
      </c>
      <c r="AN1881" t="s">
        <v>78</v>
      </c>
      <c r="AO1881" t="s">
        <v>435</v>
      </c>
      <c r="AP1881" t="s">
        <v>427</v>
      </c>
      <c r="AQ1881" t="s">
        <v>82</v>
      </c>
      <c r="AR1881" t="s">
        <v>82</v>
      </c>
      <c r="AT1881" t="s">
        <v>52</v>
      </c>
      <c r="AU1881">
        <v>5000</v>
      </c>
      <c r="AW1881">
        <v>45300</v>
      </c>
      <c r="AX1881" t="s">
        <v>1013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142565.03142572055</v>
      </c>
      <c r="BG1881">
        <v>0</v>
      </c>
      <c r="BH1881">
        <v>0</v>
      </c>
      <c r="BI1881">
        <v>142565.03142572055</v>
      </c>
      <c r="BJ1881">
        <v>0</v>
      </c>
      <c r="BK1881">
        <v>142565.03142572055</v>
      </c>
      <c r="BL1881" t="s">
        <v>242</v>
      </c>
      <c r="BM1881">
        <v>20</v>
      </c>
      <c r="BN1881">
        <v>80000</v>
      </c>
      <c r="BO1881">
        <v>0</v>
      </c>
      <c r="BP1881">
        <v>0</v>
      </c>
      <c r="BQ1881">
        <v>0</v>
      </c>
      <c r="BR1881" t="s">
        <v>58</v>
      </c>
    </row>
    <row r="1882" spans="1:70" x14ac:dyDescent="0.3">
      <c r="A1882" t="s">
        <v>798</v>
      </c>
      <c r="B1882">
        <v>52200310</v>
      </c>
      <c r="C1882">
        <v>23939176</v>
      </c>
      <c r="D1882" t="s">
        <v>136</v>
      </c>
      <c r="E1882" t="s">
        <v>436</v>
      </c>
      <c r="F1882" t="s">
        <v>431</v>
      </c>
      <c r="G1882" t="s">
        <v>82</v>
      </c>
      <c r="H1882" t="s">
        <v>83</v>
      </c>
      <c r="J1882" t="s">
        <v>52</v>
      </c>
      <c r="K1882" s="15">
        <v>500</v>
      </c>
      <c r="M1882">
        <v>45300</v>
      </c>
      <c r="N1882" t="s">
        <v>1013</v>
      </c>
      <c r="O1882">
        <v>0</v>
      </c>
      <c r="P1882">
        <v>0</v>
      </c>
      <c r="Q1882">
        <v>0</v>
      </c>
      <c r="R1882">
        <v>957.28834018257271</v>
      </c>
      <c r="S1882">
        <v>26219.630753781679</v>
      </c>
      <c r="T1882">
        <v>0</v>
      </c>
      <c r="U1882">
        <v>0</v>
      </c>
      <c r="V1882">
        <v>46086.640510961653</v>
      </c>
      <c r="W1882">
        <v>0</v>
      </c>
      <c r="X1882">
        <v>0</v>
      </c>
      <c r="Y1882">
        <v>73263.559604925904</v>
      </c>
      <c r="Z1882">
        <v>5061.4389885320343</v>
      </c>
      <c r="AA1882">
        <v>78324.998593457945</v>
      </c>
      <c r="AB1882" t="s">
        <v>242</v>
      </c>
      <c r="AC1882">
        <v>4</v>
      </c>
      <c r="AD1882">
        <v>2500</v>
      </c>
      <c r="AE1882">
        <v>0</v>
      </c>
      <c r="AF1882">
        <v>0</v>
      </c>
      <c r="AG1882">
        <v>161.41138674091604</v>
      </c>
      <c r="AH1882" t="s">
        <v>58</v>
      </c>
      <c r="AK1882" t="s">
        <v>798</v>
      </c>
      <c r="AL1882">
        <v>52200310</v>
      </c>
      <c r="AM1882">
        <v>23939176</v>
      </c>
      <c r="AN1882" t="s">
        <v>136</v>
      </c>
      <c r="AO1882" t="s">
        <v>436</v>
      </c>
      <c r="AP1882" t="s">
        <v>431</v>
      </c>
      <c r="AQ1882" t="s">
        <v>82</v>
      </c>
      <c r="AR1882" t="s">
        <v>83</v>
      </c>
      <c r="AT1882" t="s">
        <v>52</v>
      </c>
      <c r="AU1882">
        <v>500</v>
      </c>
      <c r="AW1882">
        <v>45300</v>
      </c>
      <c r="AX1882" t="s">
        <v>1013</v>
      </c>
      <c r="AY1882">
        <v>0</v>
      </c>
      <c r="AZ1882">
        <v>0</v>
      </c>
      <c r="BA1882">
        <v>0</v>
      </c>
      <c r="BB1882">
        <v>957.28834018257271</v>
      </c>
      <c r="BC1882">
        <v>26219.630753781679</v>
      </c>
      <c r="BD1882">
        <v>0</v>
      </c>
      <c r="BE1882">
        <v>0</v>
      </c>
      <c r="BF1882">
        <v>46086.640510961653</v>
      </c>
      <c r="BG1882">
        <v>0</v>
      </c>
      <c r="BH1882">
        <v>0</v>
      </c>
      <c r="BI1882">
        <v>73263.559604925904</v>
      </c>
      <c r="BJ1882">
        <v>5061.4389885320343</v>
      </c>
      <c r="BK1882">
        <v>78324.998593457945</v>
      </c>
      <c r="BL1882" t="s">
        <v>242</v>
      </c>
      <c r="BM1882">
        <v>4</v>
      </c>
      <c r="BN1882">
        <v>2500</v>
      </c>
      <c r="BO1882">
        <v>0</v>
      </c>
      <c r="BP1882">
        <v>0</v>
      </c>
      <c r="BQ1882">
        <v>161.41138674091604</v>
      </c>
      <c r="BR1882" t="s">
        <v>58</v>
      </c>
    </row>
    <row r="1883" spans="1:70" x14ac:dyDescent="0.3">
      <c r="A1883" t="s">
        <v>798</v>
      </c>
      <c r="B1883">
        <v>52200217</v>
      </c>
      <c r="C1883">
        <v>27002024</v>
      </c>
      <c r="D1883" t="s">
        <v>134</v>
      </c>
      <c r="E1883" t="s">
        <v>436</v>
      </c>
      <c r="F1883" t="s">
        <v>431</v>
      </c>
      <c r="G1883" t="s">
        <v>82</v>
      </c>
      <c r="H1883" t="s">
        <v>83</v>
      </c>
      <c r="J1883" t="s">
        <v>52</v>
      </c>
      <c r="K1883" s="15">
        <v>1000</v>
      </c>
      <c r="M1883">
        <v>45301</v>
      </c>
      <c r="N1883" t="s">
        <v>1013</v>
      </c>
      <c r="O1883">
        <v>0</v>
      </c>
      <c r="P1883">
        <v>0</v>
      </c>
      <c r="Q1883">
        <v>0</v>
      </c>
      <c r="R1883">
        <v>709.75043606008205</v>
      </c>
      <c r="S1883">
        <v>616.12108779431446</v>
      </c>
      <c r="T1883">
        <v>0</v>
      </c>
      <c r="U1883">
        <v>0</v>
      </c>
      <c r="V1883">
        <v>45794.392523364484</v>
      </c>
      <c r="W1883">
        <v>0</v>
      </c>
      <c r="X1883">
        <v>0</v>
      </c>
      <c r="Y1883">
        <v>47120.26404721888</v>
      </c>
      <c r="Z1883">
        <v>3248.7359527811163</v>
      </c>
      <c r="AA1883">
        <v>50368.999999999993</v>
      </c>
      <c r="AB1883" t="s">
        <v>242</v>
      </c>
      <c r="AC1883">
        <v>8</v>
      </c>
      <c r="AD1883">
        <v>21500</v>
      </c>
      <c r="AE1883">
        <v>0</v>
      </c>
      <c r="AF1883">
        <v>0</v>
      </c>
      <c r="AG1883">
        <v>1385.0023649758932</v>
      </c>
      <c r="AH1883" t="s">
        <v>58</v>
      </c>
      <c r="AK1883" t="s">
        <v>798</v>
      </c>
      <c r="AL1883">
        <v>4142300147</v>
      </c>
      <c r="AM1883">
        <v>10032270</v>
      </c>
      <c r="AN1883" t="s">
        <v>701</v>
      </c>
      <c r="AO1883" t="s">
        <v>445</v>
      </c>
      <c r="AP1883" t="s">
        <v>430</v>
      </c>
      <c r="AQ1883" t="s">
        <v>230</v>
      </c>
      <c r="AR1883" t="s">
        <v>234</v>
      </c>
      <c r="AT1883" t="s">
        <v>416</v>
      </c>
      <c r="AU1883">
        <v>0.19919999999999999</v>
      </c>
      <c r="AW1883">
        <v>45301</v>
      </c>
      <c r="AX1883" t="s">
        <v>1016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25234.370731663555</v>
      </c>
      <c r="BI1883">
        <v>25234.370731663555</v>
      </c>
      <c r="BJ1883">
        <v>1766.405951216449</v>
      </c>
      <c r="BK1883">
        <v>27000.776682880005</v>
      </c>
      <c r="BL1883" t="s">
        <v>242</v>
      </c>
      <c r="BM1883">
        <v>0</v>
      </c>
      <c r="BN1883">
        <v>0</v>
      </c>
      <c r="BO1883">
        <v>0</v>
      </c>
      <c r="BP1883">
        <v>0</v>
      </c>
      <c r="BQ1883">
        <v>0</v>
      </c>
      <c r="BR1883" t="s">
        <v>72</v>
      </c>
    </row>
    <row r="1884" spans="1:70" x14ac:dyDescent="0.3">
      <c r="A1884" t="s">
        <v>798</v>
      </c>
      <c r="B1884">
        <v>52201351</v>
      </c>
      <c r="C1884">
        <v>22940816</v>
      </c>
      <c r="D1884" t="s">
        <v>155</v>
      </c>
      <c r="E1884" t="s">
        <v>438</v>
      </c>
      <c r="F1884" t="s">
        <v>431</v>
      </c>
      <c r="G1884" t="s">
        <v>82</v>
      </c>
      <c r="H1884" t="s">
        <v>83</v>
      </c>
      <c r="J1884" t="s">
        <v>52</v>
      </c>
      <c r="K1884" s="15">
        <v>1000</v>
      </c>
      <c r="M1884">
        <v>45301</v>
      </c>
      <c r="N1884" t="s">
        <v>1013</v>
      </c>
      <c r="O1884">
        <v>0</v>
      </c>
      <c r="P1884">
        <v>0</v>
      </c>
      <c r="Q1884">
        <v>0</v>
      </c>
      <c r="R1884">
        <v>792.56486481153786</v>
      </c>
      <c r="S1884">
        <v>19977.207459729842</v>
      </c>
      <c r="T1884">
        <v>0</v>
      </c>
      <c r="U1884">
        <v>0</v>
      </c>
      <c r="V1884">
        <v>73829.741339665459</v>
      </c>
      <c r="W1884">
        <v>0</v>
      </c>
      <c r="X1884">
        <v>0</v>
      </c>
      <c r="Y1884">
        <v>94599.513664206839</v>
      </c>
      <c r="Z1884">
        <v>6566.4864159576709</v>
      </c>
      <c r="AA1884">
        <v>101166.00008016451</v>
      </c>
      <c r="AB1884" t="s">
        <v>242</v>
      </c>
      <c r="AC1884">
        <v>15</v>
      </c>
      <c r="AD1884">
        <v>11700</v>
      </c>
      <c r="AE1884">
        <v>0</v>
      </c>
      <c r="AF1884">
        <v>0</v>
      </c>
      <c r="AG1884">
        <v>758.98087900636244</v>
      </c>
      <c r="AH1884" t="s">
        <v>58</v>
      </c>
      <c r="AK1884" t="s">
        <v>798</v>
      </c>
      <c r="AL1884">
        <v>52201351</v>
      </c>
      <c r="AM1884">
        <v>22940816</v>
      </c>
      <c r="AN1884" t="s">
        <v>155</v>
      </c>
      <c r="AO1884" t="s">
        <v>438</v>
      </c>
      <c r="AP1884" t="s">
        <v>431</v>
      </c>
      <c r="AQ1884" t="s">
        <v>82</v>
      </c>
      <c r="AR1884" t="s">
        <v>83</v>
      </c>
      <c r="AT1884" t="s">
        <v>52</v>
      </c>
      <c r="AU1884">
        <v>1000</v>
      </c>
      <c r="AW1884">
        <v>45301</v>
      </c>
      <c r="AX1884" t="s">
        <v>1013</v>
      </c>
      <c r="AY1884">
        <v>0</v>
      </c>
      <c r="AZ1884">
        <v>0</v>
      </c>
      <c r="BA1884">
        <v>0</v>
      </c>
      <c r="BB1884">
        <v>792.56486481153786</v>
      </c>
      <c r="BC1884">
        <v>19977.207459729842</v>
      </c>
      <c r="BD1884">
        <v>0</v>
      </c>
      <c r="BE1884">
        <v>0</v>
      </c>
      <c r="BF1884">
        <v>73829.741339665459</v>
      </c>
      <c r="BG1884">
        <v>0</v>
      </c>
      <c r="BH1884">
        <v>0</v>
      </c>
      <c r="BI1884">
        <v>94599.513664206839</v>
      </c>
      <c r="BJ1884">
        <v>6566.4864159576709</v>
      </c>
      <c r="BK1884">
        <v>101166.00008016451</v>
      </c>
      <c r="BL1884" t="s">
        <v>242</v>
      </c>
      <c r="BM1884">
        <v>15</v>
      </c>
      <c r="BN1884">
        <v>11700</v>
      </c>
      <c r="BO1884">
        <v>0</v>
      </c>
      <c r="BP1884">
        <v>0</v>
      </c>
      <c r="BQ1884">
        <v>758.98087900636244</v>
      </c>
      <c r="BR1884" t="s">
        <v>58</v>
      </c>
    </row>
    <row r="1885" spans="1:70" x14ac:dyDescent="0.3">
      <c r="A1885" t="s">
        <v>798</v>
      </c>
      <c r="B1885">
        <v>4132301575</v>
      </c>
      <c r="C1885" t="s">
        <v>681</v>
      </c>
      <c r="D1885" t="s">
        <v>943</v>
      </c>
      <c r="E1885" t="s">
        <v>442</v>
      </c>
      <c r="F1885" t="s">
        <v>430</v>
      </c>
      <c r="G1885" t="s">
        <v>230</v>
      </c>
      <c r="H1885" t="s">
        <v>231</v>
      </c>
      <c r="J1885" t="s">
        <v>52</v>
      </c>
      <c r="K1885" s="15">
        <v>1000</v>
      </c>
      <c r="M1885">
        <v>45301</v>
      </c>
      <c r="N1885" t="s">
        <v>1013</v>
      </c>
      <c r="O1885">
        <v>0</v>
      </c>
      <c r="P1885">
        <v>15013.534441290816</v>
      </c>
      <c r="Q1885">
        <v>0</v>
      </c>
      <c r="R1885">
        <v>0</v>
      </c>
      <c r="S1885">
        <v>0</v>
      </c>
      <c r="T1885">
        <v>7507.9117371113862</v>
      </c>
      <c r="U1885">
        <v>33644.859813084113</v>
      </c>
      <c r="V1885">
        <v>0</v>
      </c>
      <c r="W1885">
        <v>392523.36448598129</v>
      </c>
      <c r="X1885">
        <v>0</v>
      </c>
      <c r="Y1885">
        <v>448689.67047746759</v>
      </c>
      <c r="Z1885">
        <v>30357.329522532382</v>
      </c>
      <c r="AA1885">
        <v>479047</v>
      </c>
      <c r="AB1885" t="s">
        <v>242</v>
      </c>
      <c r="AC1885">
        <v>1</v>
      </c>
      <c r="AD1885">
        <v>1000</v>
      </c>
      <c r="AE1885">
        <v>0</v>
      </c>
      <c r="AF1885">
        <v>0</v>
      </c>
      <c r="AG1885">
        <v>63.231225131174938</v>
      </c>
      <c r="AH1885" t="s">
        <v>72</v>
      </c>
      <c r="AK1885" t="s">
        <v>798</v>
      </c>
      <c r="AL1885">
        <v>4132301575</v>
      </c>
      <c r="AM1885" t="s">
        <v>681</v>
      </c>
      <c r="AN1885" t="s">
        <v>943</v>
      </c>
      <c r="AO1885" t="s">
        <v>442</v>
      </c>
      <c r="AP1885" t="s">
        <v>430</v>
      </c>
      <c r="AQ1885" t="s">
        <v>230</v>
      </c>
      <c r="AR1885" t="s">
        <v>231</v>
      </c>
      <c r="AT1885" t="s">
        <v>52</v>
      </c>
      <c r="AU1885">
        <v>1000</v>
      </c>
      <c r="AW1885">
        <v>45301</v>
      </c>
      <c r="AX1885" t="s">
        <v>1013</v>
      </c>
      <c r="AY1885">
        <v>0</v>
      </c>
      <c r="AZ1885">
        <v>15013.534441290816</v>
      </c>
      <c r="BA1885">
        <v>0</v>
      </c>
      <c r="BB1885">
        <v>0</v>
      </c>
      <c r="BC1885">
        <v>0</v>
      </c>
      <c r="BD1885">
        <v>7507.9117371113862</v>
      </c>
      <c r="BE1885">
        <v>33644.859813084113</v>
      </c>
      <c r="BF1885">
        <v>0</v>
      </c>
      <c r="BG1885">
        <v>392523.36448598129</v>
      </c>
      <c r="BH1885">
        <v>0</v>
      </c>
      <c r="BI1885">
        <v>448689.67047746759</v>
      </c>
      <c r="BJ1885">
        <v>30357.329522532382</v>
      </c>
      <c r="BK1885">
        <v>479047</v>
      </c>
      <c r="BL1885" t="s">
        <v>242</v>
      </c>
      <c r="BM1885">
        <v>1</v>
      </c>
      <c r="BN1885">
        <v>1000</v>
      </c>
      <c r="BO1885">
        <v>0</v>
      </c>
      <c r="BP1885">
        <v>0</v>
      </c>
      <c r="BQ1885">
        <v>63.231225131174938</v>
      </c>
      <c r="BR1885" t="s">
        <v>72</v>
      </c>
    </row>
    <row r="1886" spans="1:70" x14ac:dyDescent="0.3">
      <c r="A1886" t="s">
        <v>798</v>
      </c>
      <c r="B1886">
        <v>4132301817</v>
      </c>
      <c r="C1886" t="s">
        <v>691</v>
      </c>
      <c r="D1886" t="s">
        <v>944</v>
      </c>
      <c r="E1886" t="s">
        <v>442</v>
      </c>
      <c r="F1886" t="s">
        <v>430</v>
      </c>
      <c r="G1886" t="s">
        <v>230</v>
      </c>
      <c r="H1886" t="s">
        <v>231</v>
      </c>
      <c r="J1886" t="s">
        <v>52</v>
      </c>
      <c r="K1886" s="15">
        <v>5000</v>
      </c>
      <c r="M1886">
        <v>45301</v>
      </c>
      <c r="N1886" t="s">
        <v>1013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338856.10280373832</v>
      </c>
      <c r="X1886">
        <v>0</v>
      </c>
      <c r="Y1886">
        <v>338856.10280373832</v>
      </c>
      <c r="Z1886">
        <v>23719.927196261684</v>
      </c>
      <c r="AA1886">
        <v>362576.03</v>
      </c>
      <c r="AB1886" t="s">
        <v>242</v>
      </c>
      <c r="AC1886">
        <v>1</v>
      </c>
      <c r="AD1886">
        <v>5000</v>
      </c>
      <c r="AE1886">
        <v>0</v>
      </c>
      <c r="AF1886">
        <v>0</v>
      </c>
      <c r="AG1886">
        <v>327.10280373831756</v>
      </c>
      <c r="AH1886" t="s">
        <v>72</v>
      </c>
      <c r="AK1886" t="s">
        <v>798</v>
      </c>
      <c r="AL1886">
        <v>4132301817</v>
      </c>
      <c r="AM1886" t="s">
        <v>691</v>
      </c>
      <c r="AN1886" t="s">
        <v>944</v>
      </c>
      <c r="AO1886" t="s">
        <v>442</v>
      </c>
      <c r="AP1886" t="s">
        <v>430</v>
      </c>
      <c r="AQ1886" t="s">
        <v>230</v>
      </c>
      <c r="AR1886" t="s">
        <v>231</v>
      </c>
      <c r="AT1886" t="s">
        <v>52</v>
      </c>
      <c r="AU1886">
        <v>5000</v>
      </c>
      <c r="AW1886">
        <v>45301</v>
      </c>
      <c r="AX1886" t="s">
        <v>1013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338856.10280373832</v>
      </c>
      <c r="BH1886">
        <v>0</v>
      </c>
      <c r="BI1886">
        <v>338856.10280373832</v>
      </c>
      <c r="BJ1886">
        <v>23719.927196261684</v>
      </c>
      <c r="BK1886">
        <v>362576.03</v>
      </c>
      <c r="BL1886" t="s">
        <v>242</v>
      </c>
      <c r="BM1886">
        <v>1</v>
      </c>
      <c r="BN1886">
        <v>5000</v>
      </c>
      <c r="BO1886">
        <v>0</v>
      </c>
      <c r="BP1886">
        <v>0</v>
      </c>
      <c r="BQ1886">
        <v>327.10280373831756</v>
      </c>
      <c r="BR1886" t="s">
        <v>72</v>
      </c>
    </row>
    <row r="1887" spans="1:70" x14ac:dyDescent="0.3">
      <c r="A1887" t="s">
        <v>798</v>
      </c>
      <c r="B1887">
        <v>4142300147</v>
      </c>
      <c r="C1887">
        <v>10032270</v>
      </c>
      <c r="D1887" t="s">
        <v>701</v>
      </c>
      <c r="E1887" t="s">
        <v>445</v>
      </c>
      <c r="F1887" t="s">
        <v>430</v>
      </c>
      <c r="G1887" t="s">
        <v>230</v>
      </c>
      <c r="H1887" t="s">
        <v>234</v>
      </c>
      <c r="J1887" t="s">
        <v>416</v>
      </c>
      <c r="K1887" s="15">
        <v>0.19919999999999999</v>
      </c>
      <c r="M1887">
        <v>45301</v>
      </c>
      <c r="N1887" t="s">
        <v>1016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25234.370731663555</v>
      </c>
      <c r="Y1887">
        <v>25234.370731663555</v>
      </c>
      <c r="Z1887">
        <v>1766.405951216449</v>
      </c>
      <c r="AA1887">
        <v>27000.776682880005</v>
      </c>
      <c r="AB1887" t="s">
        <v>242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 t="s">
        <v>72</v>
      </c>
      <c r="AK1887" t="s">
        <v>798</v>
      </c>
      <c r="AL1887">
        <v>4142301217</v>
      </c>
      <c r="AM1887">
        <v>10151131</v>
      </c>
      <c r="AN1887" t="s">
        <v>749</v>
      </c>
      <c r="AO1887" t="s">
        <v>446</v>
      </c>
      <c r="AP1887" t="s">
        <v>430</v>
      </c>
      <c r="AQ1887" t="s">
        <v>230</v>
      </c>
      <c r="AR1887" t="s">
        <v>234</v>
      </c>
      <c r="AT1887" t="s">
        <v>52</v>
      </c>
      <c r="AU1887">
        <v>5000</v>
      </c>
      <c r="AW1887">
        <v>45301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480022.62616822432</v>
      </c>
      <c r="BI1887">
        <v>480022.62616822432</v>
      </c>
      <c r="BJ1887">
        <v>33601.583831775708</v>
      </c>
      <c r="BK1887">
        <v>513624.21</v>
      </c>
      <c r="BL1887" t="s">
        <v>242</v>
      </c>
      <c r="BM1887">
        <v>1</v>
      </c>
      <c r="BN1887">
        <v>5000</v>
      </c>
      <c r="BO1887">
        <v>0</v>
      </c>
      <c r="BP1887">
        <v>0</v>
      </c>
      <c r="BQ1887">
        <v>327.10280373831756</v>
      </c>
      <c r="BR1887" t="s">
        <v>72</v>
      </c>
    </row>
    <row r="1888" spans="1:70" x14ac:dyDescent="0.3">
      <c r="A1888" t="s">
        <v>798</v>
      </c>
      <c r="B1888">
        <v>4142301217</v>
      </c>
      <c r="C1888">
        <v>10151131</v>
      </c>
      <c r="D1888" t="s">
        <v>749</v>
      </c>
      <c r="E1888" t="s">
        <v>446</v>
      </c>
      <c r="F1888" t="s">
        <v>430</v>
      </c>
      <c r="G1888" t="s">
        <v>230</v>
      </c>
      <c r="H1888" t="s">
        <v>234</v>
      </c>
      <c r="J1888" t="s">
        <v>52</v>
      </c>
      <c r="K1888" s="15">
        <v>5000</v>
      </c>
      <c r="M1888">
        <v>45301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480022.62616822432</v>
      </c>
      <c r="Y1888">
        <v>480022.62616822432</v>
      </c>
      <c r="Z1888">
        <v>33601.583831775708</v>
      </c>
      <c r="AA1888">
        <v>513624.21</v>
      </c>
      <c r="AB1888" t="s">
        <v>242</v>
      </c>
      <c r="AC1888">
        <v>1</v>
      </c>
      <c r="AD1888">
        <v>5000</v>
      </c>
      <c r="AE1888">
        <v>0</v>
      </c>
      <c r="AF1888">
        <v>0</v>
      </c>
      <c r="AG1888">
        <v>327.10280373831756</v>
      </c>
      <c r="AH1888" t="s">
        <v>72</v>
      </c>
      <c r="AK1888" t="s">
        <v>798</v>
      </c>
      <c r="AL1888">
        <v>4302300048</v>
      </c>
      <c r="AM1888">
        <v>901020006420</v>
      </c>
      <c r="AN1888" t="s">
        <v>228</v>
      </c>
      <c r="AO1888" t="s">
        <v>447</v>
      </c>
      <c r="AP1888" t="s">
        <v>433</v>
      </c>
      <c r="AQ1888" t="s">
        <v>82</v>
      </c>
      <c r="AR1888" t="s">
        <v>83</v>
      </c>
      <c r="AT1888" t="s">
        <v>52</v>
      </c>
      <c r="AU1888">
        <v>20000</v>
      </c>
      <c r="AW1888">
        <v>45301</v>
      </c>
      <c r="AX1888" t="s">
        <v>1013</v>
      </c>
      <c r="AY1888">
        <v>0</v>
      </c>
      <c r="AZ1888">
        <v>0</v>
      </c>
      <c r="BA1888">
        <v>20100.622919829253</v>
      </c>
      <c r="BB1888">
        <v>2772.12</v>
      </c>
      <c r="BC1888">
        <v>0</v>
      </c>
      <c r="BD1888">
        <v>0</v>
      </c>
      <c r="BE1888">
        <v>0</v>
      </c>
      <c r="BF1888">
        <v>312282.53269174823</v>
      </c>
      <c r="BG1888">
        <v>0</v>
      </c>
      <c r="BH1888">
        <v>0</v>
      </c>
      <c r="BI1888">
        <v>335155.2756115775</v>
      </c>
      <c r="BJ1888">
        <v>21859.777288422378</v>
      </c>
      <c r="BK1888">
        <v>357015.05289999989</v>
      </c>
      <c r="BL1888" t="s">
        <v>242</v>
      </c>
      <c r="BM1888">
        <v>9</v>
      </c>
      <c r="BN1888">
        <v>204206</v>
      </c>
      <c r="BO1888">
        <v>0</v>
      </c>
      <c r="BP1888">
        <v>0</v>
      </c>
      <c r="BQ1888">
        <v>12430.945611577612</v>
      </c>
      <c r="BR1888" t="s">
        <v>58</v>
      </c>
    </row>
    <row r="1889" spans="1:70" x14ac:dyDescent="0.3">
      <c r="A1889" t="s">
        <v>798</v>
      </c>
      <c r="B1889">
        <v>4232300090</v>
      </c>
      <c r="C1889">
        <v>107145</v>
      </c>
      <c r="D1889" t="s">
        <v>703</v>
      </c>
      <c r="E1889" t="s">
        <v>443</v>
      </c>
      <c r="F1889" t="s">
        <v>431</v>
      </c>
      <c r="G1889" t="s">
        <v>230</v>
      </c>
      <c r="H1889" t="s">
        <v>231</v>
      </c>
      <c r="J1889" t="s">
        <v>52</v>
      </c>
      <c r="K1889" s="15">
        <v>400000</v>
      </c>
      <c r="M1889">
        <v>45301</v>
      </c>
      <c r="N1889" t="s">
        <v>1018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 t="s">
        <v>242</v>
      </c>
      <c r="AC1889">
        <v>1</v>
      </c>
      <c r="AD1889">
        <v>400000</v>
      </c>
      <c r="AE1889">
        <v>0</v>
      </c>
      <c r="AF1889">
        <v>0</v>
      </c>
      <c r="AG1889">
        <v>25604.696822429891</v>
      </c>
      <c r="AH1889" t="s">
        <v>58</v>
      </c>
      <c r="AK1889" t="s">
        <v>798</v>
      </c>
      <c r="AL1889">
        <v>4232300090</v>
      </c>
      <c r="AM1889">
        <v>107145</v>
      </c>
      <c r="AN1889" t="s">
        <v>703</v>
      </c>
      <c r="AO1889" t="s">
        <v>443</v>
      </c>
      <c r="AP1889" t="s">
        <v>431</v>
      </c>
      <c r="AQ1889" t="s">
        <v>421</v>
      </c>
      <c r="AR1889" t="s">
        <v>231</v>
      </c>
      <c r="AT1889" t="s">
        <v>52</v>
      </c>
      <c r="AU1889">
        <v>400000</v>
      </c>
      <c r="AW1889">
        <v>45301</v>
      </c>
      <c r="AX1889" t="s">
        <v>1018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 t="s">
        <v>242</v>
      </c>
      <c r="BM1889">
        <v>1</v>
      </c>
      <c r="BN1889">
        <v>400000</v>
      </c>
      <c r="BO1889">
        <v>0</v>
      </c>
      <c r="BP1889">
        <v>0</v>
      </c>
      <c r="BQ1889">
        <v>25604.696822429891</v>
      </c>
      <c r="BR1889" t="s">
        <v>58</v>
      </c>
    </row>
    <row r="1890" spans="1:70" x14ac:dyDescent="0.3">
      <c r="A1890" t="s">
        <v>798</v>
      </c>
      <c r="B1890">
        <v>4302300048</v>
      </c>
      <c r="C1890">
        <v>901020006420</v>
      </c>
      <c r="D1890" t="s">
        <v>228</v>
      </c>
      <c r="E1890" t="s">
        <v>447</v>
      </c>
      <c r="F1890" t="s">
        <v>433</v>
      </c>
      <c r="G1890" t="s">
        <v>82</v>
      </c>
      <c r="H1890" t="s">
        <v>83</v>
      </c>
      <c r="J1890" t="s">
        <v>52</v>
      </c>
      <c r="K1890" s="15">
        <v>20000</v>
      </c>
      <c r="M1890">
        <v>45301</v>
      </c>
      <c r="N1890" t="s">
        <v>1013</v>
      </c>
      <c r="O1890">
        <v>0</v>
      </c>
      <c r="P1890">
        <v>0</v>
      </c>
      <c r="Q1890">
        <v>20100.622919829253</v>
      </c>
      <c r="R1890">
        <v>2772.12</v>
      </c>
      <c r="S1890">
        <v>0</v>
      </c>
      <c r="T1890">
        <v>0</v>
      </c>
      <c r="U1890">
        <v>0</v>
      </c>
      <c r="V1890">
        <v>312282.53269174823</v>
      </c>
      <c r="W1890">
        <v>0</v>
      </c>
      <c r="X1890">
        <v>0</v>
      </c>
      <c r="Y1890">
        <v>335155.2756115775</v>
      </c>
      <c r="Z1890">
        <v>21859.777288422378</v>
      </c>
      <c r="AA1890">
        <v>357015.05289999989</v>
      </c>
      <c r="AB1890" t="s">
        <v>242</v>
      </c>
      <c r="AC1890">
        <v>9</v>
      </c>
      <c r="AD1890">
        <v>204206</v>
      </c>
      <c r="AE1890">
        <v>0</v>
      </c>
      <c r="AF1890">
        <v>0</v>
      </c>
      <c r="AG1890">
        <v>12430.945611577612</v>
      </c>
      <c r="AH1890" t="s">
        <v>58</v>
      </c>
      <c r="AK1890" t="s">
        <v>798</v>
      </c>
      <c r="AL1890">
        <v>52200217</v>
      </c>
      <c r="AM1890">
        <v>27002024</v>
      </c>
      <c r="AN1890" t="s">
        <v>134</v>
      </c>
      <c r="AO1890" t="s">
        <v>436</v>
      </c>
      <c r="AP1890" t="s">
        <v>431</v>
      </c>
      <c r="AQ1890" t="s">
        <v>82</v>
      </c>
      <c r="AR1890" t="s">
        <v>83</v>
      </c>
      <c r="AT1890" t="s">
        <v>52</v>
      </c>
      <c r="AU1890">
        <v>1000</v>
      </c>
      <c r="AW1890">
        <v>45301</v>
      </c>
      <c r="AX1890" t="s">
        <v>1013</v>
      </c>
      <c r="AY1890">
        <v>0</v>
      </c>
      <c r="AZ1890">
        <v>0</v>
      </c>
      <c r="BA1890">
        <v>0</v>
      </c>
      <c r="BB1890">
        <v>709.75043606008205</v>
      </c>
      <c r="BC1890">
        <v>616.12108779431446</v>
      </c>
      <c r="BD1890">
        <v>0</v>
      </c>
      <c r="BE1890">
        <v>0</v>
      </c>
      <c r="BF1890">
        <v>45794.392523364484</v>
      </c>
      <c r="BG1890">
        <v>0</v>
      </c>
      <c r="BH1890">
        <v>0</v>
      </c>
      <c r="BI1890">
        <v>47120.26404721888</v>
      </c>
      <c r="BJ1890">
        <v>3248.7359527811163</v>
      </c>
      <c r="BK1890">
        <v>50368.999999999993</v>
      </c>
      <c r="BL1890" t="s">
        <v>242</v>
      </c>
      <c r="BM1890">
        <v>8</v>
      </c>
      <c r="BN1890">
        <v>21500</v>
      </c>
      <c r="BO1890">
        <v>0</v>
      </c>
      <c r="BP1890">
        <v>0</v>
      </c>
      <c r="BQ1890">
        <v>1385.0023649758932</v>
      </c>
      <c r="BR1890" t="s">
        <v>58</v>
      </c>
    </row>
    <row r="1891" spans="1:70" x14ac:dyDescent="0.3">
      <c r="A1891" t="s">
        <v>798</v>
      </c>
      <c r="B1891">
        <v>12200147</v>
      </c>
      <c r="C1891">
        <v>23800059</v>
      </c>
      <c r="D1891" t="s">
        <v>729</v>
      </c>
      <c r="E1891" t="s">
        <v>438</v>
      </c>
      <c r="F1891" t="s">
        <v>427</v>
      </c>
      <c r="G1891" t="s">
        <v>82</v>
      </c>
      <c r="H1891" t="s">
        <v>82</v>
      </c>
      <c r="J1891" t="s">
        <v>52</v>
      </c>
      <c r="K1891" s="15">
        <v>3000</v>
      </c>
      <c r="M1891">
        <v>45302</v>
      </c>
      <c r="N1891" t="s">
        <v>1013</v>
      </c>
      <c r="O1891">
        <v>0</v>
      </c>
      <c r="P1891">
        <v>0</v>
      </c>
      <c r="Q1891">
        <v>0</v>
      </c>
      <c r="R1891">
        <v>0</v>
      </c>
      <c r="S1891">
        <v>1812.0549305643922</v>
      </c>
      <c r="T1891">
        <v>0</v>
      </c>
      <c r="U1891">
        <v>0</v>
      </c>
      <c r="V1891">
        <v>16983.109362157516</v>
      </c>
      <c r="W1891">
        <v>0</v>
      </c>
      <c r="X1891">
        <v>0</v>
      </c>
      <c r="Y1891">
        <v>18795.164292721907</v>
      </c>
      <c r="Z1891">
        <v>0</v>
      </c>
      <c r="AA1891">
        <v>18795.164292721907</v>
      </c>
      <c r="AB1891" t="s">
        <v>242</v>
      </c>
      <c r="AC1891">
        <v>1</v>
      </c>
      <c r="AD1891">
        <v>3000</v>
      </c>
      <c r="AE1891">
        <v>0</v>
      </c>
      <c r="AF1891">
        <v>0</v>
      </c>
      <c r="AG1891">
        <v>0</v>
      </c>
      <c r="AH1891" t="s">
        <v>72</v>
      </c>
      <c r="AK1891" t="s">
        <v>798</v>
      </c>
      <c r="AL1891">
        <v>4132302163</v>
      </c>
      <c r="AM1891">
        <v>94261</v>
      </c>
      <c r="AN1891" t="s">
        <v>700</v>
      </c>
      <c r="AO1891" t="s">
        <v>443</v>
      </c>
      <c r="AP1891" t="s">
        <v>430</v>
      </c>
      <c r="AQ1891" t="s">
        <v>230</v>
      </c>
      <c r="AR1891" t="s">
        <v>231</v>
      </c>
      <c r="AT1891" t="s">
        <v>416</v>
      </c>
      <c r="AU1891">
        <v>0.14726941454360443</v>
      </c>
      <c r="AW1891">
        <v>45302</v>
      </c>
      <c r="AX1891" t="s">
        <v>1016</v>
      </c>
      <c r="AY1891">
        <v>0</v>
      </c>
      <c r="AZ1891">
        <v>30465.505626600643</v>
      </c>
      <c r="BA1891">
        <v>0</v>
      </c>
      <c r="BB1891">
        <v>0</v>
      </c>
      <c r="BC1891">
        <v>0</v>
      </c>
      <c r="BD1891">
        <v>64393.113369043705</v>
      </c>
      <c r="BE1891">
        <v>57380.00201201914</v>
      </c>
      <c r="BF1891">
        <v>0</v>
      </c>
      <c r="BG1891">
        <v>637555.57791132375</v>
      </c>
      <c r="BH1891">
        <v>0</v>
      </c>
      <c r="BI1891">
        <v>789794.1989189873</v>
      </c>
      <c r="BJ1891">
        <v>53153.008530467065</v>
      </c>
      <c r="BK1891">
        <v>842947.20744945435</v>
      </c>
      <c r="BL1891" t="s">
        <v>242</v>
      </c>
      <c r="BM1891">
        <v>0</v>
      </c>
      <c r="BN1891">
        <v>0</v>
      </c>
      <c r="BO1891">
        <v>0</v>
      </c>
      <c r="BP1891">
        <v>0</v>
      </c>
      <c r="BQ1891">
        <v>0</v>
      </c>
      <c r="BR1891" t="s">
        <v>72</v>
      </c>
    </row>
    <row r="1892" spans="1:70" x14ac:dyDescent="0.3">
      <c r="A1892" t="s">
        <v>798</v>
      </c>
      <c r="B1892">
        <v>12200153</v>
      </c>
      <c r="C1892">
        <v>19444639</v>
      </c>
      <c r="D1892" t="s">
        <v>114</v>
      </c>
      <c r="E1892" t="s">
        <v>438</v>
      </c>
      <c r="F1892" t="s">
        <v>427</v>
      </c>
      <c r="G1892" t="s">
        <v>82</v>
      </c>
      <c r="H1892" t="s">
        <v>82</v>
      </c>
      <c r="J1892" t="s">
        <v>52</v>
      </c>
      <c r="K1892" s="15">
        <v>3000</v>
      </c>
      <c r="M1892">
        <v>45302</v>
      </c>
      <c r="N1892" t="s">
        <v>1013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125162.72740332247</v>
      </c>
      <c r="W1892">
        <v>0</v>
      </c>
      <c r="X1892">
        <v>0</v>
      </c>
      <c r="Y1892">
        <v>125162.72740332247</v>
      </c>
      <c r="Z1892">
        <v>0</v>
      </c>
      <c r="AA1892">
        <v>125162.72740332247</v>
      </c>
      <c r="AB1892" t="s">
        <v>242</v>
      </c>
      <c r="AC1892">
        <v>9</v>
      </c>
      <c r="AD1892">
        <v>49390</v>
      </c>
      <c r="AE1892">
        <v>0</v>
      </c>
      <c r="AF1892">
        <v>0</v>
      </c>
      <c r="AG1892">
        <v>0</v>
      </c>
      <c r="AH1892" t="s">
        <v>58</v>
      </c>
      <c r="AK1892" t="s">
        <v>798</v>
      </c>
      <c r="AL1892">
        <v>12200153</v>
      </c>
      <c r="AM1892">
        <v>19444639</v>
      </c>
      <c r="AN1892" t="s">
        <v>114</v>
      </c>
      <c r="AO1892" t="s">
        <v>438</v>
      </c>
      <c r="AP1892" t="s">
        <v>427</v>
      </c>
      <c r="AQ1892" t="s">
        <v>82</v>
      </c>
      <c r="AR1892" t="s">
        <v>82</v>
      </c>
      <c r="AT1892" t="s">
        <v>52</v>
      </c>
      <c r="AU1892">
        <v>3000</v>
      </c>
      <c r="AW1892">
        <v>45302</v>
      </c>
      <c r="AX1892" t="s">
        <v>1013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125162.72740332247</v>
      </c>
      <c r="BG1892">
        <v>0</v>
      </c>
      <c r="BH1892">
        <v>0</v>
      </c>
      <c r="BI1892">
        <v>125162.72740332247</v>
      </c>
      <c r="BJ1892">
        <v>0</v>
      </c>
      <c r="BK1892">
        <v>125162.72740332247</v>
      </c>
      <c r="BL1892" t="s">
        <v>242</v>
      </c>
      <c r="BM1892">
        <v>9</v>
      </c>
      <c r="BN1892">
        <v>49390</v>
      </c>
      <c r="BO1892">
        <v>0</v>
      </c>
      <c r="BP1892">
        <v>0</v>
      </c>
      <c r="BQ1892">
        <v>0</v>
      </c>
      <c r="BR1892" t="s">
        <v>58</v>
      </c>
    </row>
    <row r="1893" spans="1:70" x14ac:dyDescent="0.3">
      <c r="A1893" t="s">
        <v>798</v>
      </c>
      <c r="B1893">
        <v>22200050</v>
      </c>
      <c r="C1893">
        <v>20757954</v>
      </c>
      <c r="D1893" t="s">
        <v>120</v>
      </c>
      <c r="E1893" t="s">
        <v>435</v>
      </c>
      <c r="F1893" t="s">
        <v>428</v>
      </c>
      <c r="G1893" t="s">
        <v>82</v>
      </c>
      <c r="H1893" t="s">
        <v>82</v>
      </c>
      <c r="J1893" t="s">
        <v>52</v>
      </c>
      <c r="K1893" s="15">
        <v>500</v>
      </c>
      <c r="M1893">
        <v>45302</v>
      </c>
      <c r="N1893" t="s">
        <v>1013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13016.287969863013</v>
      </c>
      <c r="W1893">
        <v>0</v>
      </c>
      <c r="X1893">
        <v>0</v>
      </c>
      <c r="Y1893">
        <v>13016.287969863013</v>
      </c>
      <c r="Z1893">
        <v>0</v>
      </c>
      <c r="AA1893">
        <v>13016.287969863013</v>
      </c>
      <c r="AB1893" t="s">
        <v>242</v>
      </c>
      <c r="AC1893">
        <v>12</v>
      </c>
      <c r="AD1893">
        <v>7000</v>
      </c>
      <c r="AE1893">
        <v>0</v>
      </c>
      <c r="AF1893">
        <v>0</v>
      </c>
      <c r="AG1893">
        <v>0</v>
      </c>
      <c r="AH1893" t="s">
        <v>58</v>
      </c>
      <c r="AK1893" t="s">
        <v>798</v>
      </c>
      <c r="AL1893">
        <v>42200052</v>
      </c>
      <c r="AM1893">
        <v>6001390216</v>
      </c>
      <c r="AN1893" t="s">
        <v>121</v>
      </c>
      <c r="AO1893" t="s">
        <v>437</v>
      </c>
      <c r="AP1893" t="s">
        <v>430</v>
      </c>
      <c r="AQ1893" t="s">
        <v>230</v>
      </c>
      <c r="AR1893" t="s">
        <v>231</v>
      </c>
      <c r="AT1893" t="s">
        <v>52</v>
      </c>
      <c r="AU1893">
        <v>3000</v>
      </c>
      <c r="AW1893">
        <v>45302</v>
      </c>
      <c r="AX1893" t="s">
        <v>1013</v>
      </c>
      <c r="AY1893">
        <v>0</v>
      </c>
      <c r="AZ1893">
        <v>1930.8288295783855</v>
      </c>
      <c r="BA1893">
        <v>0</v>
      </c>
      <c r="BB1893">
        <v>0</v>
      </c>
      <c r="BC1893">
        <v>5574.6712328767117</v>
      </c>
      <c r="BD1893">
        <v>5204.8328695529162</v>
      </c>
      <c r="BE1893">
        <v>14018.691588785046</v>
      </c>
      <c r="BF1893">
        <v>0</v>
      </c>
      <c r="BG1893">
        <v>135514.01869158878</v>
      </c>
      <c r="BH1893">
        <v>0</v>
      </c>
      <c r="BI1893">
        <v>162243.04321238183</v>
      </c>
      <c r="BJ1893">
        <v>10831.628020494873</v>
      </c>
      <c r="BK1893">
        <v>173074.67123287672</v>
      </c>
      <c r="BL1893" t="s">
        <v>242</v>
      </c>
      <c r="BM1893">
        <v>8</v>
      </c>
      <c r="BN1893">
        <v>23000</v>
      </c>
      <c r="BO1893">
        <v>0</v>
      </c>
      <c r="BP1893">
        <v>0</v>
      </c>
      <c r="BQ1893">
        <v>1434.7271196920444</v>
      </c>
      <c r="BR1893" t="s">
        <v>58</v>
      </c>
    </row>
    <row r="1894" spans="1:70" x14ac:dyDescent="0.3">
      <c r="A1894" t="s">
        <v>798</v>
      </c>
      <c r="B1894">
        <v>32200045</v>
      </c>
      <c r="C1894">
        <v>20758058</v>
      </c>
      <c r="D1894" t="s">
        <v>120</v>
      </c>
      <c r="E1894" t="s">
        <v>435</v>
      </c>
      <c r="F1894" t="s">
        <v>429</v>
      </c>
      <c r="G1894" t="s">
        <v>82</v>
      </c>
      <c r="H1894" t="s">
        <v>82</v>
      </c>
      <c r="J1894" t="s">
        <v>52</v>
      </c>
      <c r="K1894" s="15">
        <v>500</v>
      </c>
      <c r="M1894">
        <v>45302</v>
      </c>
      <c r="N1894" t="s">
        <v>1013</v>
      </c>
      <c r="O1894">
        <v>0</v>
      </c>
      <c r="P1894">
        <v>0</v>
      </c>
      <c r="Q1894">
        <v>0</v>
      </c>
      <c r="R1894">
        <v>0</v>
      </c>
      <c r="S1894">
        <v>2424.0488810958905</v>
      </c>
      <c r="T1894">
        <v>0</v>
      </c>
      <c r="U1894">
        <v>0</v>
      </c>
      <c r="V1894">
        <v>18314.54</v>
      </c>
      <c r="W1894">
        <v>0</v>
      </c>
      <c r="X1894">
        <v>0</v>
      </c>
      <c r="Y1894">
        <v>20738.588881095893</v>
      </c>
      <c r="Z1894">
        <v>0</v>
      </c>
      <c r="AA1894">
        <v>20738.588881095893</v>
      </c>
      <c r="AB1894" t="s">
        <v>242</v>
      </c>
      <c r="AC1894">
        <v>10</v>
      </c>
      <c r="AD1894">
        <v>5000</v>
      </c>
      <c r="AE1894">
        <v>0</v>
      </c>
      <c r="AF1894">
        <v>0</v>
      </c>
      <c r="AG1894">
        <v>0</v>
      </c>
      <c r="AH1894" t="s">
        <v>58</v>
      </c>
      <c r="AK1894" t="s">
        <v>798</v>
      </c>
      <c r="AL1894">
        <v>4142301391</v>
      </c>
      <c r="AM1894">
        <v>10437930</v>
      </c>
      <c r="AN1894" t="s">
        <v>754</v>
      </c>
      <c r="AO1894" t="s">
        <v>446</v>
      </c>
      <c r="AP1894" t="s">
        <v>430</v>
      </c>
      <c r="AQ1894" t="s">
        <v>230</v>
      </c>
      <c r="AR1894" t="s">
        <v>234</v>
      </c>
      <c r="AT1894" t="s">
        <v>52</v>
      </c>
      <c r="AU1894">
        <v>5980</v>
      </c>
      <c r="AW1894">
        <v>45302</v>
      </c>
      <c r="AX1894" t="s">
        <v>1021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636563.99103827926</v>
      </c>
      <c r="BI1894">
        <v>636563.99103827926</v>
      </c>
      <c r="BJ1894">
        <v>44559.479372679554</v>
      </c>
      <c r="BK1894">
        <v>681123.47041095886</v>
      </c>
      <c r="BL1894" t="s">
        <v>242</v>
      </c>
      <c r="BM1894">
        <v>1</v>
      </c>
      <c r="BN1894">
        <v>5980</v>
      </c>
      <c r="BO1894">
        <v>0</v>
      </c>
      <c r="BP1894">
        <v>0</v>
      </c>
      <c r="BQ1894">
        <v>391.21495327102821</v>
      </c>
      <c r="BR1894" t="s">
        <v>72</v>
      </c>
    </row>
    <row r="1895" spans="1:70" x14ac:dyDescent="0.3">
      <c r="A1895" t="s">
        <v>798</v>
      </c>
      <c r="B1895">
        <v>42200052</v>
      </c>
      <c r="C1895">
        <v>6001390216</v>
      </c>
      <c r="D1895" t="s">
        <v>121</v>
      </c>
      <c r="E1895" t="s">
        <v>437</v>
      </c>
      <c r="F1895" t="s">
        <v>430</v>
      </c>
      <c r="G1895" t="s">
        <v>230</v>
      </c>
      <c r="H1895" t="s">
        <v>231</v>
      </c>
      <c r="J1895" t="s">
        <v>52</v>
      </c>
      <c r="K1895" s="15">
        <v>3000</v>
      </c>
      <c r="M1895">
        <v>45302</v>
      </c>
      <c r="N1895" t="s">
        <v>1013</v>
      </c>
      <c r="O1895">
        <v>0</v>
      </c>
      <c r="P1895">
        <v>1930.8288295783855</v>
      </c>
      <c r="Q1895">
        <v>0</v>
      </c>
      <c r="R1895">
        <v>0</v>
      </c>
      <c r="S1895">
        <v>5574.6712328767117</v>
      </c>
      <c r="T1895">
        <v>5204.8328695529162</v>
      </c>
      <c r="U1895">
        <v>14018.691588785046</v>
      </c>
      <c r="V1895">
        <v>0</v>
      </c>
      <c r="W1895">
        <v>135514.01869158878</v>
      </c>
      <c r="X1895">
        <v>0</v>
      </c>
      <c r="Y1895">
        <v>162243.04321238183</v>
      </c>
      <c r="Z1895">
        <v>10831.628020494873</v>
      </c>
      <c r="AA1895">
        <v>173074.67123287672</v>
      </c>
      <c r="AB1895" t="s">
        <v>242</v>
      </c>
      <c r="AC1895">
        <v>8</v>
      </c>
      <c r="AD1895">
        <v>23000</v>
      </c>
      <c r="AE1895">
        <v>0</v>
      </c>
      <c r="AF1895">
        <v>0</v>
      </c>
      <c r="AG1895">
        <v>1434.7271196920444</v>
      </c>
      <c r="AH1895" t="s">
        <v>58</v>
      </c>
      <c r="AK1895" t="s">
        <v>798</v>
      </c>
      <c r="AL1895">
        <v>4142301180</v>
      </c>
      <c r="AM1895">
        <v>10042660</v>
      </c>
      <c r="AN1895" t="s">
        <v>747</v>
      </c>
      <c r="AO1895" t="s">
        <v>446</v>
      </c>
      <c r="AP1895" t="s">
        <v>430</v>
      </c>
      <c r="AQ1895" t="s">
        <v>421</v>
      </c>
      <c r="AR1895" t="s">
        <v>234</v>
      </c>
      <c r="AT1895" t="s">
        <v>52</v>
      </c>
      <c r="AU1895">
        <v>2990</v>
      </c>
      <c r="AW1895">
        <v>45302</v>
      </c>
      <c r="AX1895" t="s">
        <v>1020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267.28971962616833</v>
      </c>
      <c r="BI1895">
        <v>267.28971962616833</v>
      </c>
      <c r="BJ1895">
        <v>18.710280373831786</v>
      </c>
      <c r="BK1895">
        <v>286.00000000000011</v>
      </c>
      <c r="BL1895" t="s">
        <v>242</v>
      </c>
      <c r="BM1895">
        <v>1</v>
      </c>
      <c r="BN1895">
        <v>2990</v>
      </c>
      <c r="BO1895">
        <v>0</v>
      </c>
      <c r="BP1895">
        <v>0</v>
      </c>
      <c r="BQ1895">
        <v>195.6074766355141</v>
      </c>
      <c r="BR1895" t="s">
        <v>72</v>
      </c>
    </row>
    <row r="1896" spans="1:70" x14ac:dyDescent="0.3">
      <c r="A1896" t="s">
        <v>798</v>
      </c>
      <c r="B1896">
        <v>52200619</v>
      </c>
      <c r="C1896">
        <v>6102060118</v>
      </c>
      <c r="D1896" t="s">
        <v>138</v>
      </c>
      <c r="E1896" t="s">
        <v>437</v>
      </c>
      <c r="F1896" t="s">
        <v>431</v>
      </c>
      <c r="G1896" t="s">
        <v>82</v>
      </c>
      <c r="H1896" t="s">
        <v>83</v>
      </c>
      <c r="J1896" t="s">
        <v>52</v>
      </c>
      <c r="K1896" s="15">
        <v>800</v>
      </c>
      <c r="M1896">
        <v>45302</v>
      </c>
      <c r="N1896" t="s">
        <v>1013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6202.0373831775723</v>
      </c>
      <c r="W1896">
        <v>0</v>
      </c>
      <c r="X1896">
        <v>0</v>
      </c>
      <c r="Y1896">
        <v>6202.0373831775723</v>
      </c>
      <c r="Z1896">
        <v>434.14261682243011</v>
      </c>
      <c r="AA1896">
        <v>6636.1800000000021</v>
      </c>
      <c r="AB1896" t="s">
        <v>242</v>
      </c>
      <c r="AC1896">
        <v>17</v>
      </c>
      <c r="AD1896">
        <v>11300</v>
      </c>
      <c r="AE1896">
        <v>0</v>
      </c>
      <c r="AF1896">
        <v>0</v>
      </c>
      <c r="AG1896">
        <v>739.25233644859816</v>
      </c>
      <c r="AH1896" t="s">
        <v>58</v>
      </c>
      <c r="AK1896" t="s">
        <v>798</v>
      </c>
      <c r="AL1896">
        <v>12200147</v>
      </c>
      <c r="AM1896">
        <v>23800059</v>
      </c>
      <c r="AN1896" t="s">
        <v>729</v>
      </c>
      <c r="AO1896" t="s">
        <v>438</v>
      </c>
      <c r="AP1896" t="s">
        <v>427</v>
      </c>
      <c r="AQ1896" t="s">
        <v>82</v>
      </c>
      <c r="AR1896" t="s">
        <v>82</v>
      </c>
      <c r="AT1896" t="s">
        <v>52</v>
      </c>
      <c r="AU1896">
        <v>3000</v>
      </c>
      <c r="AW1896">
        <v>45302</v>
      </c>
      <c r="AX1896" t="s">
        <v>1013</v>
      </c>
      <c r="AY1896">
        <v>0</v>
      </c>
      <c r="AZ1896">
        <v>0</v>
      </c>
      <c r="BA1896">
        <v>0</v>
      </c>
      <c r="BB1896">
        <v>0</v>
      </c>
      <c r="BC1896">
        <v>1812.0549305643922</v>
      </c>
      <c r="BD1896">
        <v>0</v>
      </c>
      <c r="BE1896">
        <v>0</v>
      </c>
      <c r="BF1896">
        <v>16983.109362157516</v>
      </c>
      <c r="BG1896">
        <v>0</v>
      </c>
      <c r="BH1896">
        <v>0</v>
      </c>
      <c r="BI1896">
        <v>18795.164292721907</v>
      </c>
      <c r="BJ1896">
        <v>0</v>
      </c>
      <c r="BK1896">
        <v>18795.164292721907</v>
      </c>
      <c r="BL1896" t="s">
        <v>242</v>
      </c>
      <c r="BM1896">
        <v>1</v>
      </c>
      <c r="BN1896">
        <v>3000</v>
      </c>
      <c r="BO1896">
        <v>0</v>
      </c>
      <c r="BP1896">
        <v>0</v>
      </c>
      <c r="BQ1896">
        <v>0</v>
      </c>
      <c r="BR1896" t="s">
        <v>72</v>
      </c>
    </row>
    <row r="1897" spans="1:70" x14ac:dyDescent="0.3">
      <c r="A1897" t="s">
        <v>798</v>
      </c>
      <c r="B1897">
        <v>82200019</v>
      </c>
      <c r="C1897">
        <v>901016008896</v>
      </c>
      <c r="D1897" t="s">
        <v>945</v>
      </c>
      <c r="E1897" t="s">
        <v>440</v>
      </c>
      <c r="F1897" t="s">
        <v>433</v>
      </c>
      <c r="G1897" t="s">
        <v>82</v>
      </c>
      <c r="H1897" t="s">
        <v>83</v>
      </c>
      <c r="J1897" t="s">
        <v>52</v>
      </c>
      <c r="K1897" s="15">
        <v>267620</v>
      </c>
      <c r="M1897">
        <v>45302</v>
      </c>
      <c r="N1897" t="s">
        <v>1019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 t="s">
        <v>242</v>
      </c>
      <c r="AC1897">
        <v>3</v>
      </c>
      <c r="AD1897">
        <v>545240</v>
      </c>
      <c r="AE1897">
        <v>0</v>
      </c>
      <c r="AF1897">
        <v>0</v>
      </c>
      <c r="AG1897">
        <v>16965.59767244813</v>
      </c>
      <c r="AH1897" t="s">
        <v>58</v>
      </c>
      <c r="AK1897" t="s">
        <v>798</v>
      </c>
      <c r="AL1897">
        <v>22200050</v>
      </c>
      <c r="AM1897">
        <v>20757954</v>
      </c>
      <c r="AN1897" t="s">
        <v>120</v>
      </c>
      <c r="AO1897" t="s">
        <v>435</v>
      </c>
      <c r="AP1897" t="s">
        <v>428</v>
      </c>
      <c r="AQ1897" t="s">
        <v>82</v>
      </c>
      <c r="AR1897" t="s">
        <v>82</v>
      </c>
      <c r="AT1897" t="s">
        <v>52</v>
      </c>
      <c r="AU1897">
        <v>500</v>
      </c>
      <c r="AW1897">
        <v>45302</v>
      </c>
      <c r="AX1897" t="s">
        <v>1013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13016.287969863013</v>
      </c>
      <c r="BG1897">
        <v>0</v>
      </c>
      <c r="BH1897">
        <v>0</v>
      </c>
      <c r="BI1897">
        <v>13016.287969863013</v>
      </c>
      <c r="BJ1897">
        <v>0</v>
      </c>
      <c r="BK1897">
        <v>13016.287969863013</v>
      </c>
      <c r="BL1897" t="s">
        <v>242</v>
      </c>
      <c r="BM1897">
        <v>12</v>
      </c>
      <c r="BN1897">
        <v>7000</v>
      </c>
      <c r="BO1897">
        <v>0</v>
      </c>
      <c r="BP1897">
        <v>0</v>
      </c>
      <c r="BQ1897">
        <v>0</v>
      </c>
      <c r="BR1897" t="s">
        <v>58</v>
      </c>
    </row>
    <row r="1898" spans="1:70" x14ac:dyDescent="0.3">
      <c r="A1898" t="s">
        <v>798</v>
      </c>
      <c r="B1898">
        <v>4132302163</v>
      </c>
      <c r="C1898">
        <v>94261</v>
      </c>
      <c r="D1898" t="s">
        <v>700</v>
      </c>
      <c r="E1898" t="s">
        <v>443</v>
      </c>
      <c r="F1898" t="s">
        <v>430</v>
      </c>
      <c r="G1898" t="s">
        <v>230</v>
      </c>
      <c r="H1898" t="s">
        <v>231</v>
      </c>
      <c r="J1898" t="s">
        <v>416</v>
      </c>
      <c r="K1898" s="15">
        <v>0.14726941454360443</v>
      </c>
      <c r="M1898">
        <v>45302</v>
      </c>
      <c r="N1898" t="s">
        <v>1016</v>
      </c>
      <c r="O1898">
        <v>0</v>
      </c>
      <c r="P1898">
        <v>30465.505626600643</v>
      </c>
      <c r="Q1898">
        <v>0</v>
      </c>
      <c r="R1898">
        <v>0</v>
      </c>
      <c r="S1898">
        <v>0</v>
      </c>
      <c r="T1898">
        <v>64393.113369043705</v>
      </c>
      <c r="U1898">
        <v>57380.00201201914</v>
      </c>
      <c r="V1898">
        <v>0</v>
      </c>
      <c r="W1898">
        <v>637555.57791132375</v>
      </c>
      <c r="X1898">
        <v>0</v>
      </c>
      <c r="Y1898">
        <v>789794.1989189873</v>
      </c>
      <c r="Z1898">
        <v>53153.008530467065</v>
      </c>
      <c r="AA1898">
        <v>842947.20744945435</v>
      </c>
      <c r="AB1898" t="s">
        <v>242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 t="s">
        <v>72</v>
      </c>
      <c r="AK1898" t="s">
        <v>798</v>
      </c>
      <c r="AL1898">
        <v>32200045</v>
      </c>
      <c r="AM1898">
        <v>20758058</v>
      </c>
      <c r="AN1898" t="s">
        <v>120</v>
      </c>
      <c r="AO1898" t="s">
        <v>435</v>
      </c>
      <c r="AP1898" t="s">
        <v>429</v>
      </c>
      <c r="AQ1898" t="s">
        <v>82</v>
      </c>
      <c r="AR1898" t="s">
        <v>82</v>
      </c>
      <c r="AT1898" t="s">
        <v>52</v>
      </c>
      <c r="AU1898">
        <v>500</v>
      </c>
      <c r="AW1898">
        <v>45302</v>
      </c>
      <c r="AX1898" t="s">
        <v>1013</v>
      </c>
      <c r="AY1898">
        <v>0</v>
      </c>
      <c r="AZ1898">
        <v>0</v>
      </c>
      <c r="BA1898">
        <v>0</v>
      </c>
      <c r="BB1898">
        <v>0</v>
      </c>
      <c r="BC1898">
        <v>2424.0488810958905</v>
      </c>
      <c r="BD1898">
        <v>0</v>
      </c>
      <c r="BE1898">
        <v>0</v>
      </c>
      <c r="BF1898">
        <v>18314.54</v>
      </c>
      <c r="BG1898">
        <v>0</v>
      </c>
      <c r="BH1898">
        <v>0</v>
      </c>
      <c r="BI1898">
        <v>20738.588881095893</v>
      </c>
      <c r="BJ1898">
        <v>0</v>
      </c>
      <c r="BK1898">
        <v>20738.588881095893</v>
      </c>
      <c r="BL1898" t="s">
        <v>242</v>
      </c>
      <c r="BM1898">
        <v>10</v>
      </c>
      <c r="BN1898">
        <v>5000</v>
      </c>
      <c r="BO1898">
        <v>0</v>
      </c>
      <c r="BP1898">
        <v>0</v>
      </c>
      <c r="BQ1898">
        <v>0</v>
      </c>
      <c r="BR1898" t="s">
        <v>58</v>
      </c>
    </row>
    <row r="1899" spans="1:70" x14ac:dyDescent="0.3">
      <c r="A1899" t="s">
        <v>798</v>
      </c>
      <c r="B1899">
        <v>4142301180</v>
      </c>
      <c r="C1899">
        <v>10042660</v>
      </c>
      <c r="D1899" t="s">
        <v>747</v>
      </c>
      <c r="E1899" t="s">
        <v>446</v>
      </c>
      <c r="F1899" t="s">
        <v>430</v>
      </c>
      <c r="G1899" t="s">
        <v>230</v>
      </c>
      <c r="H1899" t="s">
        <v>234</v>
      </c>
      <c r="J1899" t="s">
        <v>52</v>
      </c>
      <c r="K1899" s="15">
        <v>2990</v>
      </c>
      <c r="M1899">
        <v>45302</v>
      </c>
      <c r="N1899" t="s">
        <v>1020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267.28971962616833</v>
      </c>
      <c r="Y1899">
        <v>267.28971962616833</v>
      </c>
      <c r="Z1899">
        <v>18.710280373831786</v>
      </c>
      <c r="AA1899">
        <v>286.00000000000011</v>
      </c>
      <c r="AB1899" t="s">
        <v>242</v>
      </c>
      <c r="AC1899">
        <v>1</v>
      </c>
      <c r="AD1899">
        <v>2990</v>
      </c>
      <c r="AE1899">
        <v>0</v>
      </c>
      <c r="AF1899">
        <v>0</v>
      </c>
      <c r="AG1899">
        <v>195.6074766355141</v>
      </c>
      <c r="AH1899" t="s">
        <v>72</v>
      </c>
      <c r="AK1899" t="s">
        <v>798</v>
      </c>
      <c r="AL1899">
        <v>52200619</v>
      </c>
      <c r="AM1899">
        <v>6102060118</v>
      </c>
      <c r="AN1899" t="s">
        <v>138</v>
      </c>
      <c r="AO1899" t="s">
        <v>437</v>
      </c>
      <c r="AP1899" t="s">
        <v>431</v>
      </c>
      <c r="AQ1899" t="s">
        <v>82</v>
      </c>
      <c r="AR1899" t="s">
        <v>83</v>
      </c>
      <c r="AT1899" t="s">
        <v>52</v>
      </c>
      <c r="AU1899">
        <v>800</v>
      </c>
      <c r="AW1899">
        <v>45302</v>
      </c>
      <c r="AX1899" t="s">
        <v>1013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6202.0373831775723</v>
      </c>
      <c r="BG1899">
        <v>0</v>
      </c>
      <c r="BH1899">
        <v>0</v>
      </c>
      <c r="BI1899">
        <v>6202.0373831775723</v>
      </c>
      <c r="BJ1899">
        <v>434.14261682243011</v>
      </c>
      <c r="BK1899">
        <v>6636.1800000000021</v>
      </c>
      <c r="BL1899" t="s">
        <v>242</v>
      </c>
      <c r="BM1899">
        <v>17</v>
      </c>
      <c r="BN1899">
        <v>11300</v>
      </c>
      <c r="BO1899">
        <v>0</v>
      </c>
      <c r="BP1899">
        <v>0</v>
      </c>
      <c r="BQ1899">
        <v>739.25233644859816</v>
      </c>
      <c r="BR1899" t="s">
        <v>58</v>
      </c>
    </row>
    <row r="1900" spans="1:70" x14ac:dyDescent="0.3">
      <c r="A1900" t="s">
        <v>798</v>
      </c>
      <c r="B1900">
        <v>4142301391</v>
      </c>
      <c r="C1900">
        <v>10437930</v>
      </c>
      <c r="D1900" t="s">
        <v>754</v>
      </c>
      <c r="E1900" t="s">
        <v>446</v>
      </c>
      <c r="F1900" t="s">
        <v>430</v>
      </c>
      <c r="G1900" t="s">
        <v>230</v>
      </c>
      <c r="H1900" t="s">
        <v>234</v>
      </c>
      <c r="J1900" t="s">
        <v>52</v>
      </c>
      <c r="K1900" s="15">
        <v>5980</v>
      </c>
      <c r="M1900">
        <v>45302</v>
      </c>
      <c r="N1900" t="s">
        <v>1021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636563.99103827926</v>
      </c>
      <c r="Y1900">
        <v>636563.99103827926</v>
      </c>
      <c r="Z1900">
        <v>44559.479372679554</v>
      </c>
      <c r="AA1900">
        <v>681123.47041095886</v>
      </c>
      <c r="AB1900" t="s">
        <v>242</v>
      </c>
      <c r="AC1900">
        <v>1</v>
      </c>
      <c r="AD1900">
        <v>5980</v>
      </c>
      <c r="AE1900">
        <v>0</v>
      </c>
      <c r="AF1900">
        <v>0</v>
      </c>
      <c r="AG1900">
        <v>391.21495327102821</v>
      </c>
      <c r="AH1900" t="s">
        <v>72</v>
      </c>
      <c r="AK1900" t="s">
        <v>798</v>
      </c>
      <c r="AL1900">
        <v>82200019</v>
      </c>
      <c r="AM1900">
        <v>901016008896</v>
      </c>
      <c r="AN1900" t="s">
        <v>945</v>
      </c>
      <c r="AO1900" t="s">
        <v>440</v>
      </c>
      <c r="AP1900" t="s">
        <v>433</v>
      </c>
      <c r="AQ1900" t="s">
        <v>82</v>
      </c>
      <c r="AR1900" t="s">
        <v>83</v>
      </c>
      <c r="AT1900" t="s">
        <v>52</v>
      </c>
      <c r="AU1900">
        <v>267620</v>
      </c>
      <c r="AW1900">
        <v>45302</v>
      </c>
      <c r="AX1900" t="s">
        <v>1019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 t="s">
        <v>242</v>
      </c>
      <c r="BM1900">
        <v>2</v>
      </c>
      <c r="BN1900">
        <v>277620</v>
      </c>
      <c r="BO1900">
        <v>0</v>
      </c>
      <c r="BP1900">
        <v>0</v>
      </c>
      <c r="BQ1900">
        <v>16965.59767244813</v>
      </c>
      <c r="BR1900" t="s">
        <v>58</v>
      </c>
    </row>
    <row r="1901" spans="1:70" x14ac:dyDescent="0.3">
      <c r="A1901" t="s">
        <v>798</v>
      </c>
      <c r="B1901">
        <v>52200413</v>
      </c>
      <c r="C1901">
        <v>25523297</v>
      </c>
      <c r="D1901" t="s">
        <v>137</v>
      </c>
      <c r="E1901" t="s">
        <v>436</v>
      </c>
      <c r="F1901" t="s">
        <v>431</v>
      </c>
      <c r="G1901" t="s">
        <v>82</v>
      </c>
      <c r="H1901" t="s">
        <v>83</v>
      </c>
      <c r="J1901" t="s">
        <v>52</v>
      </c>
      <c r="K1901" s="15">
        <v>2000</v>
      </c>
      <c r="M1901">
        <v>45303</v>
      </c>
      <c r="N1901" t="s">
        <v>1013</v>
      </c>
      <c r="O1901">
        <v>0</v>
      </c>
      <c r="P1901">
        <v>0</v>
      </c>
      <c r="Q1901">
        <v>0</v>
      </c>
      <c r="R1901">
        <v>937.14247130211754</v>
      </c>
      <c r="S1901">
        <v>34505.529324575713</v>
      </c>
      <c r="T1901">
        <v>0</v>
      </c>
      <c r="U1901">
        <v>0</v>
      </c>
      <c r="V1901">
        <v>53410.225185605734</v>
      </c>
      <c r="W1901">
        <v>0</v>
      </c>
      <c r="X1901">
        <v>0</v>
      </c>
      <c r="Y1901">
        <v>88852.896981483558</v>
      </c>
      <c r="Z1901">
        <v>6154.1028157127021</v>
      </c>
      <c r="AA1901">
        <v>95006.999797196258</v>
      </c>
      <c r="AB1901" t="s">
        <v>242</v>
      </c>
      <c r="AC1901">
        <v>4</v>
      </c>
      <c r="AD1901">
        <v>5000</v>
      </c>
      <c r="AE1901">
        <v>0</v>
      </c>
      <c r="AF1901">
        <v>0</v>
      </c>
      <c r="AG1901">
        <v>323.64483457116648</v>
      </c>
      <c r="AH1901" t="s">
        <v>58</v>
      </c>
      <c r="AK1901" t="s">
        <v>798</v>
      </c>
      <c r="AL1901">
        <v>4142300049</v>
      </c>
      <c r="AM1901">
        <v>131561</v>
      </c>
      <c r="AN1901" t="s">
        <v>946</v>
      </c>
      <c r="AO1901" t="s">
        <v>444</v>
      </c>
      <c r="AP1901" t="s">
        <v>430</v>
      </c>
      <c r="AQ1901" t="s">
        <v>233</v>
      </c>
      <c r="AR1901" t="s">
        <v>231</v>
      </c>
      <c r="AT1901" t="s">
        <v>416</v>
      </c>
      <c r="AU1901">
        <v>0.25495244286938079</v>
      </c>
      <c r="AW1901">
        <v>45303</v>
      </c>
      <c r="AX1901" t="s">
        <v>1016</v>
      </c>
      <c r="AY1901">
        <v>0</v>
      </c>
      <c r="AZ1901">
        <v>4882.2966418769474</v>
      </c>
      <c r="BA1901">
        <v>95117.70335812305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100000</v>
      </c>
      <c r="BJ1901">
        <v>0</v>
      </c>
      <c r="BK1901">
        <v>100000</v>
      </c>
      <c r="BL1901" t="s">
        <v>242</v>
      </c>
      <c r="BM1901">
        <v>0</v>
      </c>
      <c r="BN1901">
        <v>0</v>
      </c>
      <c r="BO1901">
        <v>0</v>
      </c>
      <c r="BP1901">
        <v>0</v>
      </c>
      <c r="BQ1901">
        <v>0</v>
      </c>
      <c r="BR1901" t="s">
        <v>72</v>
      </c>
    </row>
    <row r="1902" spans="1:70" x14ac:dyDescent="0.3">
      <c r="A1902" t="s">
        <v>798</v>
      </c>
      <c r="B1902">
        <v>52200750</v>
      </c>
      <c r="C1902">
        <v>26151957</v>
      </c>
      <c r="D1902" t="s">
        <v>141</v>
      </c>
      <c r="E1902" t="s">
        <v>438</v>
      </c>
      <c r="F1902" t="s">
        <v>431</v>
      </c>
      <c r="G1902" t="s">
        <v>82</v>
      </c>
      <c r="H1902" t="s">
        <v>83</v>
      </c>
      <c r="J1902" t="s">
        <v>52</v>
      </c>
      <c r="K1902" s="15">
        <v>1000</v>
      </c>
      <c r="M1902">
        <v>45303</v>
      </c>
      <c r="N1902" t="s">
        <v>1013</v>
      </c>
      <c r="O1902">
        <v>0</v>
      </c>
      <c r="P1902">
        <v>0</v>
      </c>
      <c r="Q1902">
        <v>0</v>
      </c>
      <c r="R1902">
        <v>821.55053786621374</v>
      </c>
      <c r="S1902">
        <v>20162.97235288515</v>
      </c>
      <c r="T1902">
        <v>0</v>
      </c>
      <c r="U1902">
        <v>0</v>
      </c>
      <c r="V1902">
        <v>47756.1392450563</v>
      </c>
      <c r="W1902">
        <v>0</v>
      </c>
      <c r="X1902">
        <v>0</v>
      </c>
      <c r="Y1902">
        <v>68740.662135807666</v>
      </c>
      <c r="Z1902">
        <v>4754.3378118559012</v>
      </c>
      <c r="AA1902">
        <v>73494.999947663571</v>
      </c>
      <c r="AB1902" t="s">
        <v>242</v>
      </c>
      <c r="AC1902">
        <v>13</v>
      </c>
      <c r="AD1902">
        <v>14000</v>
      </c>
      <c r="AE1902">
        <v>0</v>
      </c>
      <c r="AF1902">
        <v>0</v>
      </c>
      <c r="AG1902">
        <v>904.86779219685536</v>
      </c>
      <c r="AH1902" t="s">
        <v>58</v>
      </c>
      <c r="AK1902" t="s">
        <v>798</v>
      </c>
      <c r="AL1902">
        <v>4142301330</v>
      </c>
      <c r="AM1902">
        <v>10336950</v>
      </c>
      <c r="AN1902" t="s">
        <v>702</v>
      </c>
      <c r="AO1902" t="s">
        <v>446</v>
      </c>
      <c r="AP1902" t="s">
        <v>430</v>
      </c>
      <c r="AQ1902" t="s">
        <v>230</v>
      </c>
      <c r="AR1902" t="s">
        <v>234</v>
      </c>
      <c r="AT1902" t="s">
        <v>416</v>
      </c>
      <c r="AU1902">
        <v>0.3281</v>
      </c>
      <c r="AW1902">
        <v>45303</v>
      </c>
      <c r="AX1902" t="s">
        <v>1016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227110.56421308412</v>
      </c>
      <c r="BI1902">
        <v>227110.56421308412</v>
      </c>
      <c r="BJ1902">
        <v>15897.73949491589</v>
      </c>
      <c r="BK1902">
        <v>243008.30370799999</v>
      </c>
      <c r="BL1902" t="s">
        <v>242</v>
      </c>
      <c r="BM1902">
        <v>0</v>
      </c>
      <c r="BN1902">
        <v>0</v>
      </c>
      <c r="BO1902">
        <v>0</v>
      </c>
      <c r="BP1902">
        <v>0</v>
      </c>
      <c r="BQ1902">
        <v>0</v>
      </c>
      <c r="BR1902" t="s">
        <v>72</v>
      </c>
    </row>
    <row r="1903" spans="1:70" x14ac:dyDescent="0.3">
      <c r="A1903" t="s">
        <v>798</v>
      </c>
      <c r="B1903">
        <v>4132302163</v>
      </c>
      <c r="C1903">
        <v>94261</v>
      </c>
      <c r="D1903" t="s">
        <v>700</v>
      </c>
      <c r="E1903" t="s">
        <v>443</v>
      </c>
      <c r="F1903" t="s">
        <v>430</v>
      </c>
      <c r="G1903" t="s">
        <v>230</v>
      </c>
      <c r="H1903" t="s">
        <v>231</v>
      </c>
      <c r="J1903" t="s">
        <v>52</v>
      </c>
      <c r="K1903" s="15">
        <v>30000</v>
      </c>
      <c r="M1903">
        <v>45303</v>
      </c>
      <c r="N1903" t="s">
        <v>1022</v>
      </c>
      <c r="O1903">
        <v>0</v>
      </c>
      <c r="P1903">
        <v>29308.28622685196</v>
      </c>
      <c r="Q1903">
        <v>0</v>
      </c>
      <c r="R1903">
        <v>0</v>
      </c>
      <c r="S1903">
        <v>0</v>
      </c>
      <c r="T1903">
        <v>37437.243649182667</v>
      </c>
      <c r="U1903">
        <v>57380.00201201914</v>
      </c>
      <c r="V1903">
        <v>0</v>
      </c>
      <c r="W1903">
        <v>637555.57791132375</v>
      </c>
      <c r="X1903">
        <v>0</v>
      </c>
      <c r="Y1903">
        <v>761681.1097993775</v>
      </c>
      <c r="Z1903">
        <v>51266.097650076794</v>
      </c>
      <c r="AA1903">
        <v>812947.20744945435</v>
      </c>
      <c r="AB1903" t="s">
        <v>242</v>
      </c>
      <c r="AC1903">
        <v>1</v>
      </c>
      <c r="AD1903">
        <v>30000</v>
      </c>
      <c r="AE1903">
        <v>0</v>
      </c>
      <c r="AF1903">
        <v>0</v>
      </c>
      <c r="AG1903">
        <v>1886.9108803902745</v>
      </c>
      <c r="AH1903" t="s">
        <v>58</v>
      </c>
      <c r="AK1903" t="s">
        <v>798</v>
      </c>
      <c r="AL1903">
        <v>4132302163</v>
      </c>
      <c r="AM1903">
        <v>94261</v>
      </c>
      <c r="AN1903" t="s">
        <v>700</v>
      </c>
      <c r="AO1903" t="s">
        <v>443</v>
      </c>
      <c r="AP1903" t="s">
        <v>430</v>
      </c>
      <c r="AQ1903" t="s">
        <v>230</v>
      </c>
      <c r="AR1903" t="s">
        <v>231</v>
      </c>
      <c r="AT1903" t="s">
        <v>52</v>
      </c>
      <c r="AU1903">
        <v>30000</v>
      </c>
      <c r="AW1903">
        <v>45303</v>
      </c>
      <c r="AX1903" t="s">
        <v>1022</v>
      </c>
      <c r="AY1903">
        <v>0</v>
      </c>
      <c r="AZ1903">
        <v>29308.28622685196</v>
      </c>
      <c r="BA1903">
        <v>0</v>
      </c>
      <c r="BB1903">
        <v>0</v>
      </c>
      <c r="BC1903">
        <v>0</v>
      </c>
      <c r="BD1903">
        <v>37437.243649182667</v>
      </c>
      <c r="BE1903">
        <v>57380.00201201914</v>
      </c>
      <c r="BF1903">
        <v>0</v>
      </c>
      <c r="BG1903">
        <v>637555.57791132375</v>
      </c>
      <c r="BH1903">
        <v>0</v>
      </c>
      <c r="BI1903">
        <v>761681.1097993775</v>
      </c>
      <c r="BJ1903">
        <v>51266.097650076794</v>
      </c>
      <c r="BK1903">
        <v>812947.20744945435</v>
      </c>
      <c r="BL1903" t="s">
        <v>242</v>
      </c>
      <c r="BM1903">
        <v>1</v>
      </c>
      <c r="BN1903">
        <v>30000</v>
      </c>
      <c r="BO1903">
        <v>0</v>
      </c>
      <c r="BP1903">
        <v>0</v>
      </c>
      <c r="BQ1903">
        <v>1886.9108803902745</v>
      </c>
      <c r="BR1903" t="s">
        <v>58</v>
      </c>
    </row>
    <row r="1904" spans="1:70" x14ac:dyDescent="0.3">
      <c r="A1904" t="s">
        <v>798</v>
      </c>
      <c r="B1904">
        <v>4142300049</v>
      </c>
      <c r="C1904">
        <v>131561</v>
      </c>
      <c r="D1904" t="s">
        <v>946</v>
      </c>
      <c r="E1904" t="s">
        <v>444</v>
      </c>
      <c r="F1904" t="s">
        <v>430</v>
      </c>
      <c r="G1904" t="s">
        <v>233</v>
      </c>
      <c r="H1904" t="s">
        <v>231</v>
      </c>
      <c r="J1904" t="s">
        <v>416</v>
      </c>
      <c r="K1904" s="15">
        <v>0.25495244286938079</v>
      </c>
      <c r="M1904">
        <v>45303</v>
      </c>
      <c r="N1904" t="s">
        <v>1016</v>
      </c>
      <c r="O1904">
        <v>0</v>
      </c>
      <c r="P1904">
        <v>4882.2966418769474</v>
      </c>
      <c r="Q1904">
        <v>95117.70335812305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100000</v>
      </c>
      <c r="Z1904">
        <v>0</v>
      </c>
      <c r="AA1904">
        <v>100000</v>
      </c>
      <c r="AB1904" t="s">
        <v>242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 t="s">
        <v>72</v>
      </c>
      <c r="AK1904" t="s">
        <v>798</v>
      </c>
      <c r="AL1904">
        <v>4142301025</v>
      </c>
      <c r="AM1904">
        <v>10501272</v>
      </c>
      <c r="AN1904" t="s">
        <v>215</v>
      </c>
      <c r="AO1904" t="s">
        <v>445</v>
      </c>
      <c r="AP1904" t="s">
        <v>430</v>
      </c>
      <c r="AQ1904" t="s">
        <v>230</v>
      </c>
      <c r="AR1904" t="s">
        <v>234</v>
      </c>
      <c r="AT1904" t="s">
        <v>52</v>
      </c>
      <c r="AU1904">
        <v>5000</v>
      </c>
      <c r="AW1904">
        <v>45303</v>
      </c>
      <c r="AX1904" t="s">
        <v>1013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549919.4672897195</v>
      </c>
      <c r="BI1904">
        <v>549919.4672897195</v>
      </c>
      <c r="BJ1904">
        <v>38494.362710280366</v>
      </c>
      <c r="BK1904">
        <v>588413.82999999984</v>
      </c>
      <c r="BL1904" t="s">
        <v>242</v>
      </c>
      <c r="BM1904">
        <v>5</v>
      </c>
      <c r="BN1904">
        <v>59500</v>
      </c>
      <c r="BO1904">
        <v>0</v>
      </c>
      <c r="BP1904">
        <v>0</v>
      </c>
      <c r="BQ1904">
        <v>3892.52336448598</v>
      </c>
      <c r="BR1904" t="s">
        <v>58</v>
      </c>
    </row>
    <row r="1905" spans="1:70" x14ac:dyDescent="0.3">
      <c r="A1905" t="s">
        <v>798</v>
      </c>
      <c r="B1905">
        <v>4142300175</v>
      </c>
      <c r="C1905">
        <v>10059848</v>
      </c>
      <c r="D1905" t="s">
        <v>708</v>
      </c>
      <c r="E1905" t="s">
        <v>445</v>
      </c>
      <c r="F1905" t="s">
        <v>430</v>
      </c>
      <c r="G1905" t="s">
        <v>237</v>
      </c>
      <c r="H1905" t="s">
        <v>234</v>
      </c>
      <c r="J1905" t="s">
        <v>425</v>
      </c>
      <c r="K1905" s="15">
        <v>48000</v>
      </c>
      <c r="M1905">
        <v>45303</v>
      </c>
      <c r="N1905" t="s">
        <v>1023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247843.92523364484</v>
      </c>
      <c r="Y1905">
        <v>247843.92523364484</v>
      </c>
      <c r="Z1905">
        <v>17349.074766355141</v>
      </c>
      <c r="AA1905">
        <v>265193</v>
      </c>
      <c r="AB1905" t="s">
        <v>242</v>
      </c>
      <c r="AC1905">
        <v>0</v>
      </c>
      <c r="AD1905">
        <v>0</v>
      </c>
      <c r="AE1905">
        <v>0</v>
      </c>
      <c r="AF1905">
        <v>51360</v>
      </c>
      <c r="AG1905">
        <v>3360</v>
      </c>
      <c r="AH1905" t="s">
        <v>72</v>
      </c>
      <c r="AK1905" t="s">
        <v>798</v>
      </c>
      <c r="AL1905">
        <v>52200413</v>
      </c>
      <c r="AM1905">
        <v>25523297</v>
      </c>
      <c r="AN1905" t="s">
        <v>137</v>
      </c>
      <c r="AO1905" t="s">
        <v>436</v>
      </c>
      <c r="AP1905" t="s">
        <v>431</v>
      </c>
      <c r="AQ1905" t="s">
        <v>82</v>
      </c>
      <c r="AR1905" t="s">
        <v>83</v>
      </c>
      <c r="AT1905" t="s">
        <v>52</v>
      </c>
      <c r="AU1905">
        <v>2000</v>
      </c>
      <c r="AW1905">
        <v>45303</v>
      </c>
      <c r="AX1905" t="s">
        <v>1013</v>
      </c>
      <c r="AY1905">
        <v>0</v>
      </c>
      <c r="AZ1905">
        <v>0</v>
      </c>
      <c r="BA1905">
        <v>0</v>
      </c>
      <c r="BB1905">
        <v>937.14247130211754</v>
      </c>
      <c r="BC1905">
        <v>34505.529324575713</v>
      </c>
      <c r="BD1905">
        <v>0</v>
      </c>
      <c r="BE1905">
        <v>0</v>
      </c>
      <c r="BF1905">
        <v>53410.225185605734</v>
      </c>
      <c r="BG1905">
        <v>0</v>
      </c>
      <c r="BH1905">
        <v>0</v>
      </c>
      <c r="BI1905">
        <v>88852.896981483558</v>
      </c>
      <c r="BJ1905">
        <v>6154.1028157127021</v>
      </c>
      <c r="BK1905">
        <v>95006.999797196258</v>
      </c>
      <c r="BL1905" t="s">
        <v>242</v>
      </c>
      <c r="BM1905">
        <v>4</v>
      </c>
      <c r="BN1905">
        <v>5000</v>
      </c>
      <c r="BO1905">
        <v>0</v>
      </c>
      <c r="BP1905">
        <v>0</v>
      </c>
      <c r="BQ1905">
        <v>323.64483457116648</v>
      </c>
      <c r="BR1905" t="s">
        <v>58</v>
      </c>
    </row>
    <row r="1906" spans="1:70" x14ac:dyDescent="0.3">
      <c r="A1906" t="s">
        <v>798</v>
      </c>
      <c r="B1906">
        <v>4142300368</v>
      </c>
      <c r="C1906">
        <v>10163798</v>
      </c>
      <c r="D1906" t="s">
        <v>711</v>
      </c>
      <c r="E1906" t="s">
        <v>445</v>
      </c>
      <c r="F1906" t="s">
        <v>430</v>
      </c>
      <c r="G1906" t="s">
        <v>237</v>
      </c>
      <c r="H1906" t="s">
        <v>234</v>
      </c>
      <c r="J1906" t="s">
        <v>425</v>
      </c>
      <c r="K1906" s="15">
        <v>35000</v>
      </c>
      <c r="M1906">
        <v>45303</v>
      </c>
      <c r="N1906" t="s">
        <v>1023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206174.24145435923</v>
      </c>
      <c r="Y1906">
        <v>206174.24145435923</v>
      </c>
      <c r="Z1906">
        <v>14432.196901805148</v>
      </c>
      <c r="AA1906">
        <v>220606.43835616438</v>
      </c>
      <c r="AB1906" t="s">
        <v>242</v>
      </c>
      <c r="AC1906">
        <v>0</v>
      </c>
      <c r="AD1906">
        <v>0</v>
      </c>
      <c r="AE1906">
        <v>0</v>
      </c>
      <c r="AF1906">
        <v>37450</v>
      </c>
      <c r="AG1906">
        <v>2450</v>
      </c>
      <c r="AH1906" t="s">
        <v>72</v>
      </c>
      <c r="AK1906" t="s">
        <v>798</v>
      </c>
      <c r="AL1906">
        <v>52200750</v>
      </c>
      <c r="AM1906">
        <v>26151957</v>
      </c>
      <c r="AN1906" t="s">
        <v>141</v>
      </c>
      <c r="AO1906" t="s">
        <v>438</v>
      </c>
      <c r="AP1906" t="s">
        <v>431</v>
      </c>
      <c r="AQ1906" t="s">
        <v>82</v>
      </c>
      <c r="AR1906" t="s">
        <v>83</v>
      </c>
      <c r="AT1906" t="s">
        <v>52</v>
      </c>
      <c r="AU1906">
        <v>1000</v>
      </c>
      <c r="AW1906">
        <v>45303</v>
      </c>
      <c r="AX1906" t="s">
        <v>1013</v>
      </c>
      <c r="AY1906">
        <v>0</v>
      </c>
      <c r="AZ1906">
        <v>0</v>
      </c>
      <c r="BA1906">
        <v>0</v>
      </c>
      <c r="BB1906">
        <v>821.55053786621374</v>
      </c>
      <c r="BC1906">
        <v>20162.97235288515</v>
      </c>
      <c r="BD1906">
        <v>0</v>
      </c>
      <c r="BE1906">
        <v>0</v>
      </c>
      <c r="BF1906">
        <v>47756.1392450563</v>
      </c>
      <c r="BG1906">
        <v>0</v>
      </c>
      <c r="BH1906">
        <v>0</v>
      </c>
      <c r="BI1906">
        <v>68740.662135807666</v>
      </c>
      <c r="BJ1906">
        <v>4754.3378118559012</v>
      </c>
      <c r="BK1906">
        <v>73494.999947663571</v>
      </c>
      <c r="BL1906" t="s">
        <v>242</v>
      </c>
      <c r="BM1906">
        <v>13</v>
      </c>
      <c r="BN1906">
        <v>14000</v>
      </c>
      <c r="BO1906">
        <v>0</v>
      </c>
      <c r="BP1906">
        <v>0</v>
      </c>
      <c r="BQ1906">
        <v>904.86779219685536</v>
      </c>
      <c r="BR1906" t="s">
        <v>58</v>
      </c>
    </row>
    <row r="1907" spans="1:70" x14ac:dyDescent="0.3">
      <c r="A1907" t="s">
        <v>798</v>
      </c>
      <c r="B1907">
        <v>4142300410</v>
      </c>
      <c r="C1907">
        <v>10179451</v>
      </c>
      <c r="D1907" t="s">
        <v>712</v>
      </c>
      <c r="E1907" t="s">
        <v>445</v>
      </c>
      <c r="F1907" t="s">
        <v>430</v>
      </c>
      <c r="G1907" t="s">
        <v>237</v>
      </c>
      <c r="H1907" t="s">
        <v>234</v>
      </c>
      <c r="J1907" t="s">
        <v>425</v>
      </c>
      <c r="K1907" s="15">
        <v>165000</v>
      </c>
      <c r="M1907">
        <v>45303</v>
      </c>
      <c r="N1907" t="s">
        <v>1023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291242.28037383175</v>
      </c>
      <c r="Y1907">
        <v>291242.28037383175</v>
      </c>
      <c r="Z1907">
        <v>20386.959626168224</v>
      </c>
      <c r="AA1907">
        <v>311629.24</v>
      </c>
      <c r="AB1907" t="s">
        <v>242</v>
      </c>
      <c r="AC1907">
        <v>0</v>
      </c>
      <c r="AD1907">
        <v>0</v>
      </c>
      <c r="AE1907">
        <v>0</v>
      </c>
      <c r="AF1907">
        <v>176550</v>
      </c>
      <c r="AG1907">
        <v>11550</v>
      </c>
      <c r="AH1907" t="s">
        <v>72</v>
      </c>
      <c r="AK1907" t="s">
        <v>798</v>
      </c>
      <c r="AL1907">
        <v>4142300175</v>
      </c>
      <c r="AM1907">
        <v>10059848</v>
      </c>
      <c r="AN1907" t="s">
        <v>708</v>
      </c>
      <c r="AO1907" t="s">
        <v>445</v>
      </c>
      <c r="AP1907" t="s">
        <v>430</v>
      </c>
      <c r="AQ1907" t="s">
        <v>237</v>
      </c>
      <c r="AR1907" t="s">
        <v>234</v>
      </c>
      <c r="AT1907" t="s">
        <v>425</v>
      </c>
      <c r="AU1907">
        <v>48000</v>
      </c>
      <c r="AW1907">
        <v>45303</v>
      </c>
      <c r="AX1907" t="s">
        <v>1023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247843.92523364484</v>
      </c>
      <c r="BI1907">
        <v>247843.92523364484</v>
      </c>
      <c r="BJ1907">
        <v>17349.074766355141</v>
      </c>
      <c r="BK1907">
        <v>265193</v>
      </c>
      <c r="BL1907" t="s">
        <v>242</v>
      </c>
      <c r="BM1907">
        <v>0</v>
      </c>
      <c r="BN1907">
        <v>0</v>
      </c>
      <c r="BO1907">
        <v>0</v>
      </c>
      <c r="BP1907">
        <v>51360</v>
      </c>
      <c r="BQ1907">
        <v>3360</v>
      </c>
      <c r="BR1907" t="s">
        <v>72</v>
      </c>
    </row>
    <row r="1908" spans="1:70" x14ac:dyDescent="0.3">
      <c r="A1908" t="s">
        <v>798</v>
      </c>
      <c r="B1908">
        <v>4142300492</v>
      </c>
      <c r="C1908">
        <v>10210121</v>
      </c>
      <c r="D1908" t="s">
        <v>713</v>
      </c>
      <c r="E1908" t="s">
        <v>445</v>
      </c>
      <c r="F1908" t="s">
        <v>430</v>
      </c>
      <c r="G1908" t="s">
        <v>237</v>
      </c>
      <c r="H1908" t="s">
        <v>234</v>
      </c>
      <c r="J1908" t="s">
        <v>425</v>
      </c>
      <c r="K1908" s="15">
        <v>120000</v>
      </c>
      <c r="M1908">
        <v>45303</v>
      </c>
      <c r="N1908" t="s">
        <v>1023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234028.35915887851</v>
      </c>
      <c r="Y1908">
        <v>234028.35915887851</v>
      </c>
      <c r="Z1908">
        <v>16381.985141121497</v>
      </c>
      <c r="AA1908">
        <v>250410.3443</v>
      </c>
      <c r="AB1908" t="s">
        <v>242</v>
      </c>
      <c r="AC1908">
        <v>0</v>
      </c>
      <c r="AD1908">
        <v>0</v>
      </c>
      <c r="AE1908">
        <v>0</v>
      </c>
      <c r="AF1908">
        <v>128400</v>
      </c>
      <c r="AG1908">
        <v>8400</v>
      </c>
      <c r="AH1908" t="s">
        <v>72</v>
      </c>
      <c r="AK1908" t="s">
        <v>798</v>
      </c>
      <c r="AL1908">
        <v>4142300368</v>
      </c>
      <c r="AM1908">
        <v>10163798</v>
      </c>
      <c r="AN1908" t="s">
        <v>711</v>
      </c>
      <c r="AO1908" t="s">
        <v>445</v>
      </c>
      <c r="AP1908" t="s">
        <v>430</v>
      </c>
      <c r="AQ1908" t="s">
        <v>237</v>
      </c>
      <c r="AR1908" t="s">
        <v>234</v>
      </c>
      <c r="AT1908" t="s">
        <v>425</v>
      </c>
      <c r="AU1908">
        <v>35000</v>
      </c>
      <c r="AW1908">
        <v>45303</v>
      </c>
      <c r="AX1908" t="s">
        <v>1023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206174.24145435923</v>
      </c>
      <c r="BI1908">
        <v>206174.24145435923</v>
      </c>
      <c r="BJ1908">
        <v>14432.196901805148</v>
      </c>
      <c r="BK1908">
        <v>220606.43835616438</v>
      </c>
      <c r="BL1908" t="s">
        <v>242</v>
      </c>
      <c r="BM1908">
        <v>0</v>
      </c>
      <c r="BN1908">
        <v>0</v>
      </c>
      <c r="BO1908">
        <v>0</v>
      </c>
      <c r="BP1908">
        <v>37450</v>
      </c>
      <c r="BQ1908">
        <v>2450</v>
      </c>
      <c r="BR1908" t="s">
        <v>72</v>
      </c>
    </row>
    <row r="1909" spans="1:70" x14ac:dyDescent="0.3">
      <c r="A1909" t="s">
        <v>798</v>
      </c>
      <c r="B1909">
        <v>4142300556</v>
      </c>
      <c r="C1909">
        <v>10246977</v>
      </c>
      <c r="D1909" t="s">
        <v>716</v>
      </c>
      <c r="E1909" t="s">
        <v>445</v>
      </c>
      <c r="F1909" t="s">
        <v>430</v>
      </c>
      <c r="G1909" t="s">
        <v>237</v>
      </c>
      <c r="H1909" t="s">
        <v>234</v>
      </c>
      <c r="J1909" t="s">
        <v>425</v>
      </c>
      <c r="K1909" s="15">
        <v>75000</v>
      </c>
      <c r="M1909">
        <v>45303</v>
      </c>
      <c r="N1909" t="s">
        <v>1023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245455.84432210989</v>
      </c>
      <c r="Y1909">
        <v>245455.84432210989</v>
      </c>
      <c r="Z1909">
        <v>17181.909102547692</v>
      </c>
      <c r="AA1909">
        <v>262637.75342465757</v>
      </c>
      <c r="AB1909" t="s">
        <v>242</v>
      </c>
      <c r="AC1909">
        <v>0</v>
      </c>
      <c r="AD1909">
        <v>0</v>
      </c>
      <c r="AE1909">
        <v>0</v>
      </c>
      <c r="AF1909">
        <v>80250</v>
      </c>
      <c r="AG1909">
        <v>5250</v>
      </c>
      <c r="AH1909" t="s">
        <v>72</v>
      </c>
      <c r="AK1909" t="s">
        <v>798</v>
      </c>
      <c r="AL1909">
        <v>4142300410</v>
      </c>
      <c r="AM1909">
        <v>10179451</v>
      </c>
      <c r="AN1909" t="s">
        <v>712</v>
      </c>
      <c r="AO1909" t="s">
        <v>445</v>
      </c>
      <c r="AP1909" t="s">
        <v>430</v>
      </c>
      <c r="AQ1909" t="s">
        <v>237</v>
      </c>
      <c r="AR1909" t="s">
        <v>234</v>
      </c>
      <c r="AT1909" t="s">
        <v>425</v>
      </c>
      <c r="AU1909">
        <v>165000</v>
      </c>
      <c r="AW1909">
        <v>45303</v>
      </c>
      <c r="AX1909" t="s">
        <v>1023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291242.28037383175</v>
      </c>
      <c r="BI1909">
        <v>291242.28037383175</v>
      </c>
      <c r="BJ1909">
        <v>20386.959626168224</v>
      </c>
      <c r="BK1909">
        <v>311629.24</v>
      </c>
      <c r="BL1909" t="s">
        <v>242</v>
      </c>
      <c r="BM1909">
        <v>0</v>
      </c>
      <c r="BN1909">
        <v>0</v>
      </c>
      <c r="BO1909">
        <v>0</v>
      </c>
      <c r="BP1909">
        <v>176550</v>
      </c>
      <c r="BQ1909">
        <v>11550</v>
      </c>
      <c r="BR1909" t="s">
        <v>72</v>
      </c>
    </row>
    <row r="1910" spans="1:70" x14ac:dyDescent="0.3">
      <c r="A1910" t="s">
        <v>798</v>
      </c>
      <c r="B1910">
        <v>4142300598</v>
      </c>
      <c r="C1910">
        <v>10260852</v>
      </c>
      <c r="D1910" t="s">
        <v>718</v>
      </c>
      <c r="E1910" t="s">
        <v>445</v>
      </c>
      <c r="F1910" t="s">
        <v>430</v>
      </c>
      <c r="G1910" t="s">
        <v>237</v>
      </c>
      <c r="H1910" t="s">
        <v>234</v>
      </c>
      <c r="J1910" t="s">
        <v>425</v>
      </c>
      <c r="K1910" s="15">
        <v>52000</v>
      </c>
      <c r="M1910">
        <v>45303</v>
      </c>
      <c r="N1910" t="s">
        <v>1023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221124.56791704008</v>
      </c>
      <c r="Y1910">
        <v>221124.56791704008</v>
      </c>
      <c r="Z1910">
        <v>15478.719754192807</v>
      </c>
      <c r="AA1910">
        <v>236603.28767123289</v>
      </c>
      <c r="AB1910" t="s">
        <v>242</v>
      </c>
      <c r="AC1910">
        <v>0</v>
      </c>
      <c r="AD1910">
        <v>0</v>
      </c>
      <c r="AE1910">
        <v>0</v>
      </c>
      <c r="AF1910">
        <v>55640</v>
      </c>
      <c r="AG1910">
        <v>3640</v>
      </c>
      <c r="AH1910" t="s">
        <v>72</v>
      </c>
      <c r="AK1910" t="s">
        <v>798</v>
      </c>
      <c r="AL1910">
        <v>4142300492</v>
      </c>
      <c r="AM1910">
        <v>10210121</v>
      </c>
      <c r="AN1910" t="s">
        <v>713</v>
      </c>
      <c r="AO1910" t="s">
        <v>445</v>
      </c>
      <c r="AP1910" t="s">
        <v>430</v>
      </c>
      <c r="AQ1910" t="s">
        <v>237</v>
      </c>
      <c r="AR1910" t="s">
        <v>234</v>
      </c>
      <c r="AT1910" t="s">
        <v>425</v>
      </c>
      <c r="AU1910">
        <v>120000</v>
      </c>
      <c r="AW1910">
        <v>45303</v>
      </c>
      <c r="AX1910" t="s">
        <v>1023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234028.35915887851</v>
      </c>
      <c r="BI1910">
        <v>234028.35915887851</v>
      </c>
      <c r="BJ1910">
        <v>16381.985141121497</v>
      </c>
      <c r="BK1910">
        <v>250410.3443</v>
      </c>
      <c r="BL1910" t="s">
        <v>242</v>
      </c>
      <c r="BM1910">
        <v>0</v>
      </c>
      <c r="BN1910">
        <v>0</v>
      </c>
      <c r="BO1910">
        <v>0</v>
      </c>
      <c r="BP1910">
        <v>128400</v>
      </c>
      <c r="BQ1910">
        <v>8400</v>
      </c>
      <c r="BR1910" t="s">
        <v>72</v>
      </c>
    </row>
    <row r="1911" spans="1:70" x14ac:dyDescent="0.3">
      <c r="A1911" t="s">
        <v>798</v>
      </c>
      <c r="B1911">
        <v>4142300977</v>
      </c>
      <c r="C1911">
        <v>10474104</v>
      </c>
      <c r="D1911" t="s">
        <v>722</v>
      </c>
      <c r="E1911" t="s">
        <v>445</v>
      </c>
      <c r="F1911" t="s">
        <v>430</v>
      </c>
      <c r="G1911" t="s">
        <v>237</v>
      </c>
      <c r="H1911" t="s">
        <v>234</v>
      </c>
      <c r="J1911" t="s">
        <v>425</v>
      </c>
      <c r="K1911" s="15">
        <v>128000</v>
      </c>
      <c r="M1911">
        <v>45303</v>
      </c>
      <c r="N1911" t="s">
        <v>1023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261276.46728971961</v>
      </c>
      <c r="Y1911">
        <v>261276.46728971961</v>
      </c>
      <c r="Z1911">
        <v>18289.352710280375</v>
      </c>
      <c r="AA1911">
        <v>279565.82</v>
      </c>
      <c r="AB1911" t="s">
        <v>242</v>
      </c>
      <c r="AC1911">
        <v>0</v>
      </c>
      <c r="AD1911">
        <v>0</v>
      </c>
      <c r="AE1911">
        <v>0</v>
      </c>
      <c r="AF1911">
        <v>136960</v>
      </c>
      <c r="AG1911">
        <v>8960</v>
      </c>
      <c r="AH1911" t="s">
        <v>72</v>
      </c>
      <c r="AK1911" t="s">
        <v>798</v>
      </c>
      <c r="AL1911">
        <v>4142300556</v>
      </c>
      <c r="AM1911">
        <v>10246977</v>
      </c>
      <c r="AN1911" t="s">
        <v>716</v>
      </c>
      <c r="AO1911" t="s">
        <v>445</v>
      </c>
      <c r="AP1911" t="s">
        <v>430</v>
      </c>
      <c r="AQ1911" t="s">
        <v>237</v>
      </c>
      <c r="AR1911" t="s">
        <v>234</v>
      </c>
      <c r="AT1911" t="s">
        <v>425</v>
      </c>
      <c r="AU1911">
        <v>75000</v>
      </c>
      <c r="AW1911">
        <v>45303</v>
      </c>
      <c r="AX1911" t="s">
        <v>1023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245455.84432210989</v>
      </c>
      <c r="BI1911">
        <v>245455.84432210989</v>
      </c>
      <c r="BJ1911">
        <v>17181.909102547692</v>
      </c>
      <c r="BK1911">
        <v>262637.75342465757</v>
      </c>
      <c r="BL1911" t="s">
        <v>242</v>
      </c>
      <c r="BM1911">
        <v>0</v>
      </c>
      <c r="BN1911">
        <v>0</v>
      </c>
      <c r="BO1911">
        <v>0</v>
      </c>
      <c r="BP1911">
        <v>80250</v>
      </c>
      <c r="BQ1911">
        <v>5250</v>
      </c>
      <c r="BR1911" t="s">
        <v>72</v>
      </c>
    </row>
    <row r="1912" spans="1:70" x14ac:dyDescent="0.3">
      <c r="A1912" t="s">
        <v>798</v>
      </c>
      <c r="B1912">
        <v>4142300997</v>
      </c>
      <c r="C1912">
        <v>10506437</v>
      </c>
      <c r="D1912" t="s">
        <v>723</v>
      </c>
      <c r="E1912" t="s">
        <v>445</v>
      </c>
      <c r="F1912" t="s">
        <v>430</v>
      </c>
      <c r="G1912" t="s">
        <v>237</v>
      </c>
      <c r="H1912" t="s">
        <v>234</v>
      </c>
      <c r="J1912" t="s">
        <v>425</v>
      </c>
      <c r="K1912" s="15">
        <v>78500</v>
      </c>
      <c r="M1912">
        <v>45303</v>
      </c>
      <c r="N1912" t="s">
        <v>1023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235051.65420560748</v>
      </c>
      <c r="Y1912">
        <v>235051.65420560748</v>
      </c>
      <c r="Z1912">
        <v>16453.615794392525</v>
      </c>
      <c r="AA1912">
        <v>251505.27000000002</v>
      </c>
      <c r="AB1912" t="s">
        <v>242</v>
      </c>
      <c r="AC1912">
        <v>0</v>
      </c>
      <c r="AD1912">
        <v>0</v>
      </c>
      <c r="AE1912">
        <v>0</v>
      </c>
      <c r="AF1912">
        <v>83995</v>
      </c>
      <c r="AG1912">
        <v>5495</v>
      </c>
      <c r="AH1912" t="s">
        <v>72</v>
      </c>
      <c r="AK1912" t="s">
        <v>798</v>
      </c>
      <c r="AL1912">
        <v>4142300598</v>
      </c>
      <c r="AM1912">
        <v>10260852</v>
      </c>
      <c r="AN1912" t="s">
        <v>718</v>
      </c>
      <c r="AO1912" t="s">
        <v>445</v>
      </c>
      <c r="AP1912" t="s">
        <v>430</v>
      </c>
      <c r="AQ1912" t="s">
        <v>237</v>
      </c>
      <c r="AR1912" t="s">
        <v>234</v>
      </c>
      <c r="AT1912" t="s">
        <v>425</v>
      </c>
      <c r="AU1912">
        <v>52000</v>
      </c>
      <c r="AW1912">
        <v>45303</v>
      </c>
      <c r="AX1912" t="s">
        <v>1023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221124.56791704008</v>
      </c>
      <c r="BI1912">
        <v>221124.56791704008</v>
      </c>
      <c r="BJ1912">
        <v>15478.719754192807</v>
      </c>
      <c r="BK1912">
        <v>236603.28767123289</v>
      </c>
      <c r="BL1912" t="s">
        <v>242</v>
      </c>
      <c r="BM1912">
        <v>0</v>
      </c>
      <c r="BN1912">
        <v>0</v>
      </c>
      <c r="BO1912">
        <v>0</v>
      </c>
      <c r="BP1912">
        <v>55640</v>
      </c>
      <c r="BQ1912">
        <v>3640</v>
      </c>
      <c r="BR1912" t="s">
        <v>72</v>
      </c>
    </row>
    <row r="1913" spans="1:70" x14ac:dyDescent="0.3">
      <c r="A1913" t="s">
        <v>798</v>
      </c>
      <c r="B1913">
        <v>4142301025</v>
      </c>
      <c r="C1913">
        <v>10501272</v>
      </c>
      <c r="D1913" t="s">
        <v>215</v>
      </c>
      <c r="E1913" t="s">
        <v>445</v>
      </c>
      <c r="F1913" t="s">
        <v>430</v>
      </c>
      <c r="G1913" t="s">
        <v>230</v>
      </c>
      <c r="H1913" t="s">
        <v>234</v>
      </c>
      <c r="J1913" t="s">
        <v>52</v>
      </c>
      <c r="K1913" s="15">
        <v>5000</v>
      </c>
      <c r="M1913">
        <v>45303</v>
      </c>
      <c r="N1913" t="s">
        <v>1013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549919.4672897195</v>
      </c>
      <c r="Y1913">
        <v>549919.4672897195</v>
      </c>
      <c r="Z1913">
        <v>38494.362710280366</v>
      </c>
      <c r="AA1913">
        <v>588413.82999999984</v>
      </c>
      <c r="AB1913" t="s">
        <v>242</v>
      </c>
      <c r="AC1913">
        <v>5</v>
      </c>
      <c r="AD1913">
        <v>59500</v>
      </c>
      <c r="AE1913">
        <v>0</v>
      </c>
      <c r="AF1913">
        <v>0</v>
      </c>
      <c r="AG1913">
        <v>3892.52336448598</v>
      </c>
      <c r="AH1913" t="s">
        <v>58</v>
      </c>
      <c r="AK1913" t="s">
        <v>798</v>
      </c>
      <c r="AL1913">
        <v>4142300977</v>
      </c>
      <c r="AM1913">
        <v>10474104</v>
      </c>
      <c r="AN1913" t="s">
        <v>722</v>
      </c>
      <c r="AO1913" t="s">
        <v>445</v>
      </c>
      <c r="AP1913" t="s">
        <v>430</v>
      </c>
      <c r="AQ1913" t="s">
        <v>237</v>
      </c>
      <c r="AR1913" t="s">
        <v>234</v>
      </c>
      <c r="AT1913" t="s">
        <v>425</v>
      </c>
      <c r="AU1913">
        <v>128000</v>
      </c>
      <c r="AW1913">
        <v>45303</v>
      </c>
      <c r="AX1913" t="s">
        <v>1023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261276.46728971961</v>
      </c>
      <c r="BI1913">
        <v>261276.46728971961</v>
      </c>
      <c r="BJ1913">
        <v>18289.352710280375</v>
      </c>
      <c r="BK1913">
        <v>279565.82</v>
      </c>
      <c r="BL1913" t="s">
        <v>242</v>
      </c>
      <c r="BM1913">
        <v>0</v>
      </c>
      <c r="BN1913">
        <v>0</v>
      </c>
      <c r="BO1913">
        <v>0</v>
      </c>
      <c r="BP1913">
        <v>136960</v>
      </c>
      <c r="BQ1913">
        <v>8960</v>
      </c>
      <c r="BR1913" t="s">
        <v>72</v>
      </c>
    </row>
    <row r="1914" spans="1:70" x14ac:dyDescent="0.3">
      <c r="A1914" t="s">
        <v>798</v>
      </c>
      <c r="B1914">
        <v>4142301120</v>
      </c>
      <c r="C1914">
        <v>10038595</v>
      </c>
      <c r="D1914" t="s">
        <v>724</v>
      </c>
      <c r="E1914" t="s">
        <v>445</v>
      </c>
      <c r="F1914" t="s">
        <v>430</v>
      </c>
      <c r="G1914" t="s">
        <v>237</v>
      </c>
      <c r="H1914" t="s">
        <v>234</v>
      </c>
      <c r="J1914" t="s">
        <v>425</v>
      </c>
      <c r="K1914" s="15">
        <v>55000</v>
      </c>
      <c r="M1914">
        <v>45303</v>
      </c>
      <c r="N1914" t="s">
        <v>1023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108224.29906542055</v>
      </c>
      <c r="Y1914">
        <v>108224.29906542055</v>
      </c>
      <c r="Z1914">
        <v>7575.7009345794395</v>
      </c>
      <c r="AA1914">
        <v>115799.99999999999</v>
      </c>
      <c r="AB1914" t="s">
        <v>242</v>
      </c>
      <c r="AC1914">
        <v>0</v>
      </c>
      <c r="AD1914">
        <v>0</v>
      </c>
      <c r="AE1914">
        <v>0</v>
      </c>
      <c r="AF1914">
        <v>58850</v>
      </c>
      <c r="AG1914">
        <v>3850</v>
      </c>
      <c r="AH1914" t="s">
        <v>72</v>
      </c>
      <c r="AK1914" t="s">
        <v>798</v>
      </c>
      <c r="AL1914">
        <v>4142300997</v>
      </c>
      <c r="AM1914">
        <v>10506437</v>
      </c>
      <c r="AN1914" t="s">
        <v>723</v>
      </c>
      <c r="AO1914" t="s">
        <v>445</v>
      </c>
      <c r="AP1914" t="s">
        <v>430</v>
      </c>
      <c r="AQ1914" t="s">
        <v>237</v>
      </c>
      <c r="AR1914" t="s">
        <v>234</v>
      </c>
      <c r="AT1914" t="s">
        <v>425</v>
      </c>
      <c r="AU1914">
        <v>78500</v>
      </c>
      <c r="AW1914">
        <v>45303</v>
      </c>
      <c r="AX1914" t="s">
        <v>1023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235051.65420560748</v>
      </c>
      <c r="BI1914">
        <v>235051.65420560748</v>
      </c>
      <c r="BJ1914">
        <v>16453.615794392525</v>
      </c>
      <c r="BK1914">
        <v>251505.27000000002</v>
      </c>
      <c r="BL1914" t="s">
        <v>242</v>
      </c>
      <c r="BM1914">
        <v>0</v>
      </c>
      <c r="BN1914">
        <v>0</v>
      </c>
      <c r="BO1914">
        <v>0</v>
      </c>
      <c r="BP1914">
        <v>83995</v>
      </c>
      <c r="BQ1914">
        <v>5495</v>
      </c>
      <c r="BR1914" t="s">
        <v>72</v>
      </c>
    </row>
    <row r="1915" spans="1:70" x14ac:dyDescent="0.3">
      <c r="A1915" t="s">
        <v>798</v>
      </c>
      <c r="B1915">
        <v>4142301330</v>
      </c>
      <c r="C1915">
        <v>10336950</v>
      </c>
      <c r="D1915" t="s">
        <v>702</v>
      </c>
      <c r="E1915" t="s">
        <v>446</v>
      </c>
      <c r="F1915" t="s">
        <v>430</v>
      </c>
      <c r="G1915" t="s">
        <v>230</v>
      </c>
      <c r="H1915" t="s">
        <v>234</v>
      </c>
      <c r="J1915" t="s">
        <v>416</v>
      </c>
      <c r="K1915" s="15">
        <v>0.3281</v>
      </c>
      <c r="M1915">
        <v>45303</v>
      </c>
      <c r="N1915" t="s">
        <v>1016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227110.56421308412</v>
      </c>
      <c r="Y1915">
        <v>227110.56421308412</v>
      </c>
      <c r="Z1915">
        <v>15897.73949491589</v>
      </c>
      <c r="AA1915">
        <v>243008.30370799999</v>
      </c>
      <c r="AB1915" t="s">
        <v>242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 t="s">
        <v>72</v>
      </c>
      <c r="AK1915" t="s">
        <v>798</v>
      </c>
      <c r="AL1915">
        <v>4142301120</v>
      </c>
      <c r="AM1915">
        <v>10038595</v>
      </c>
      <c r="AN1915" t="s">
        <v>724</v>
      </c>
      <c r="AO1915" t="s">
        <v>445</v>
      </c>
      <c r="AP1915" t="s">
        <v>430</v>
      </c>
      <c r="AQ1915" t="s">
        <v>237</v>
      </c>
      <c r="AR1915" t="s">
        <v>234</v>
      </c>
      <c r="AT1915" t="s">
        <v>425</v>
      </c>
      <c r="AU1915">
        <v>55000</v>
      </c>
      <c r="AW1915">
        <v>45303</v>
      </c>
      <c r="AX1915" t="s">
        <v>1023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108224.29906542055</v>
      </c>
      <c r="BI1915">
        <v>108224.29906542055</v>
      </c>
      <c r="BJ1915">
        <v>7575.7009345794395</v>
      </c>
      <c r="BK1915">
        <v>115799.99999999999</v>
      </c>
      <c r="BL1915" t="s">
        <v>242</v>
      </c>
      <c r="BM1915">
        <v>0</v>
      </c>
      <c r="BN1915">
        <v>0</v>
      </c>
      <c r="BO1915">
        <v>0</v>
      </c>
      <c r="BP1915">
        <v>58850</v>
      </c>
      <c r="BQ1915">
        <v>3850</v>
      </c>
      <c r="BR1915" t="s">
        <v>72</v>
      </c>
    </row>
    <row r="1916" spans="1:70" x14ac:dyDescent="0.3">
      <c r="A1916" t="s">
        <v>798</v>
      </c>
      <c r="B1916">
        <v>4142300028</v>
      </c>
      <c r="C1916">
        <v>101630</v>
      </c>
      <c r="D1916" t="s">
        <v>947</v>
      </c>
      <c r="E1916" t="s">
        <v>444</v>
      </c>
      <c r="F1916" t="s">
        <v>434</v>
      </c>
      <c r="G1916" t="s">
        <v>233</v>
      </c>
      <c r="H1916" t="s">
        <v>231</v>
      </c>
      <c r="J1916" t="s">
        <v>52</v>
      </c>
      <c r="K1916" s="15">
        <v>323000</v>
      </c>
      <c r="M1916">
        <v>45304</v>
      </c>
      <c r="N1916" t="s">
        <v>1017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 t="s">
        <v>242</v>
      </c>
      <c r="AC1916">
        <v>1</v>
      </c>
      <c r="AD1916">
        <v>323000</v>
      </c>
      <c r="AE1916">
        <v>0</v>
      </c>
      <c r="AF1916">
        <v>0</v>
      </c>
      <c r="AG1916">
        <v>0</v>
      </c>
      <c r="AH1916" t="s">
        <v>72</v>
      </c>
      <c r="AK1916" t="s">
        <v>798</v>
      </c>
      <c r="AL1916">
        <v>4142300028</v>
      </c>
      <c r="AM1916">
        <v>101630</v>
      </c>
      <c r="AN1916" t="s">
        <v>947</v>
      </c>
      <c r="AO1916" t="s">
        <v>444</v>
      </c>
      <c r="AP1916" t="s">
        <v>434</v>
      </c>
      <c r="AQ1916" t="s">
        <v>419</v>
      </c>
      <c r="AR1916" t="s">
        <v>231</v>
      </c>
      <c r="AT1916" t="s">
        <v>52</v>
      </c>
      <c r="AU1916">
        <v>323000</v>
      </c>
      <c r="AW1916">
        <v>45304</v>
      </c>
      <c r="AX1916" t="s">
        <v>1017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 t="s">
        <v>242</v>
      </c>
      <c r="BM1916">
        <v>1</v>
      </c>
      <c r="BN1916">
        <v>323000</v>
      </c>
      <c r="BO1916">
        <v>0</v>
      </c>
      <c r="BP1916">
        <v>0</v>
      </c>
      <c r="BQ1916">
        <v>0</v>
      </c>
      <c r="BR1916" t="s">
        <v>72</v>
      </c>
    </row>
    <row r="1917" spans="1:70" x14ac:dyDescent="0.3">
      <c r="A1917" t="s">
        <v>798</v>
      </c>
      <c r="B1917">
        <v>4142300147</v>
      </c>
      <c r="C1917">
        <v>10032270</v>
      </c>
      <c r="D1917" t="s">
        <v>701</v>
      </c>
      <c r="E1917" t="s">
        <v>445</v>
      </c>
      <c r="F1917" t="s">
        <v>430</v>
      </c>
      <c r="G1917" t="s">
        <v>230</v>
      </c>
      <c r="H1917" t="s">
        <v>234</v>
      </c>
      <c r="J1917" t="s">
        <v>52</v>
      </c>
      <c r="K1917" s="15">
        <v>27000</v>
      </c>
      <c r="M1917">
        <v>45305</v>
      </c>
      <c r="N1917" t="s">
        <v>1018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0.72587185047086678</v>
      </c>
      <c r="Y1917">
        <v>0.72587185047086678</v>
      </c>
      <c r="Z1917">
        <v>5.0811029532960676E-2</v>
      </c>
      <c r="AA1917">
        <v>0.77668288000382746</v>
      </c>
      <c r="AB1917" t="s">
        <v>242</v>
      </c>
      <c r="AC1917">
        <v>1</v>
      </c>
      <c r="AD1917">
        <v>27000</v>
      </c>
      <c r="AE1917">
        <v>0</v>
      </c>
      <c r="AF1917">
        <v>0</v>
      </c>
      <c r="AG1917">
        <v>1766.3551401869154</v>
      </c>
      <c r="AH1917" t="s">
        <v>58</v>
      </c>
      <c r="AK1917" t="s">
        <v>798</v>
      </c>
      <c r="AL1917">
        <v>4142300147</v>
      </c>
      <c r="AM1917">
        <v>10032270</v>
      </c>
      <c r="AN1917" t="s">
        <v>701</v>
      </c>
      <c r="AO1917" t="s">
        <v>445</v>
      </c>
      <c r="AP1917" t="s">
        <v>430</v>
      </c>
      <c r="AQ1917" t="s">
        <v>421</v>
      </c>
      <c r="AR1917" t="s">
        <v>234</v>
      </c>
      <c r="AT1917" t="s">
        <v>52</v>
      </c>
      <c r="AU1917">
        <v>27000</v>
      </c>
      <c r="AW1917">
        <v>45305</v>
      </c>
      <c r="AX1917" t="s">
        <v>1018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0.72587185047086678</v>
      </c>
      <c r="BI1917">
        <v>0.72587185047086678</v>
      </c>
      <c r="BJ1917">
        <v>5.0811029532960676E-2</v>
      </c>
      <c r="BK1917">
        <v>0.77668288000382746</v>
      </c>
      <c r="BL1917" t="s">
        <v>242</v>
      </c>
      <c r="BM1917">
        <v>1</v>
      </c>
      <c r="BN1917">
        <v>27000</v>
      </c>
      <c r="BO1917">
        <v>0</v>
      </c>
      <c r="BP1917">
        <v>0</v>
      </c>
      <c r="BQ1917">
        <v>1766.3551401869154</v>
      </c>
      <c r="BR1917" t="s">
        <v>58</v>
      </c>
    </row>
    <row r="1918" spans="1:70" x14ac:dyDescent="0.3">
      <c r="A1918" t="s">
        <v>798</v>
      </c>
      <c r="B1918">
        <v>42200247</v>
      </c>
      <c r="C1918">
        <v>2750004205</v>
      </c>
      <c r="D1918" t="s">
        <v>948</v>
      </c>
      <c r="E1918" t="s">
        <v>439</v>
      </c>
      <c r="F1918" t="s">
        <v>430</v>
      </c>
      <c r="G1918" t="s">
        <v>232</v>
      </c>
      <c r="H1918" t="s">
        <v>71</v>
      </c>
      <c r="J1918" t="s">
        <v>416</v>
      </c>
      <c r="K1918" s="15">
        <v>0.35496355544088243</v>
      </c>
      <c r="M1918">
        <v>45306</v>
      </c>
      <c r="N1918" t="s">
        <v>1016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98106.432219027862</v>
      </c>
      <c r="Y1918">
        <v>98106.432219027862</v>
      </c>
      <c r="Z1918">
        <v>6867.4502553319508</v>
      </c>
      <c r="AA1918">
        <v>104973.88247435981</v>
      </c>
      <c r="AB1918" t="s">
        <v>242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 t="s">
        <v>72</v>
      </c>
      <c r="AK1918" t="s">
        <v>798</v>
      </c>
      <c r="AL1918">
        <v>4242300018</v>
      </c>
      <c r="AM1918">
        <v>121435</v>
      </c>
      <c r="AN1918" t="s">
        <v>951</v>
      </c>
      <c r="AO1918" t="s">
        <v>444</v>
      </c>
      <c r="AP1918" t="s">
        <v>431</v>
      </c>
      <c r="AQ1918" t="s">
        <v>230</v>
      </c>
      <c r="AR1918" t="s">
        <v>231</v>
      </c>
      <c r="AT1918" t="s">
        <v>416</v>
      </c>
      <c r="AU1918">
        <v>0.1143430196519778</v>
      </c>
      <c r="AW1918">
        <v>45306</v>
      </c>
      <c r="AX1918" t="s">
        <v>1016</v>
      </c>
      <c r="AY1918">
        <v>0</v>
      </c>
      <c r="AZ1918">
        <v>2630.0231488429536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52682.22135622154</v>
      </c>
      <c r="BH1918">
        <v>0</v>
      </c>
      <c r="BI1918">
        <v>55312.244505064496</v>
      </c>
      <c r="BJ1918">
        <v>3687.7554949355081</v>
      </c>
      <c r="BK1918">
        <v>59000.000000000007</v>
      </c>
      <c r="BL1918" t="s">
        <v>242</v>
      </c>
      <c r="BM1918">
        <v>3</v>
      </c>
      <c r="BN1918">
        <v>100000</v>
      </c>
      <c r="BO1918">
        <v>0</v>
      </c>
      <c r="BP1918">
        <v>0</v>
      </c>
      <c r="BQ1918">
        <v>6212.9627264765641</v>
      </c>
      <c r="BR1918" t="s">
        <v>58</v>
      </c>
    </row>
    <row r="1919" spans="1:70" x14ac:dyDescent="0.3">
      <c r="A1919" t="s">
        <v>798</v>
      </c>
      <c r="B1919">
        <v>42201234</v>
      </c>
      <c r="C1919">
        <v>2754012385</v>
      </c>
      <c r="D1919" t="s">
        <v>949</v>
      </c>
      <c r="E1919" t="s">
        <v>439</v>
      </c>
      <c r="F1919" t="s">
        <v>430</v>
      </c>
      <c r="G1919" t="s">
        <v>237</v>
      </c>
      <c r="H1919" t="s">
        <v>234</v>
      </c>
      <c r="J1919" t="s">
        <v>425</v>
      </c>
      <c r="K1919" s="15">
        <v>45000</v>
      </c>
      <c r="M1919">
        <v>45306</v>
      </c>
      <c r="N1919" t="s">
        <v>1023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266175.70093457942</v>
      </c>
      <c r="Y1919">
        <v>266175.70093457942</v>
      </c>
      <c r="Z1919">
        <v>18632.299065420561</v>
      </c>
      <c r="AA1919">
        <v>284808</v>
      </c>
      <c r="AB1919" t="s">
        <v>242</v>
      </c>
      <c r="AC1919">
        <v>0</v>
      </c>
      <c r="AD1919">
        <v>0</v>
      </c>
      <c r="AE1919">
        <v>0</v>
      </c>
      <c r="AF1919">
        <v>48150</v>
      </c>
      <c r="AG1919">
        <v>3150</v>
      </c>
      <c r="AH1919" t="s">
        <v>72</v>
      </c>
      <c r="AK1919" t="s">
        <v>798</v>
      </c>
      <c r="AL1919">
        <v>42200247</v>
      </c>
      <c r="AM1919">
        <v>2750004205</v>
      </c>
      <c r="AN1919" t="s">
        <v>948</v>
      </c>
      <c r="AO1919" t="s">
        <v>439</v>
      </c>
      <c r="AP1919" t="s">
        <v>430</v>
      </c>
      <c r="AQ1919" t="s">
        <v>232</v>
      </c>
      <c r="AR1919" t="s">
        <v>71</v>
      </c>
      <c r="AT1919" t="s">
        <v>416</v>
      </c>
      <c r="AU1919">
        <v>0.35496355544088243</v>
      </c>
      <c r="AW1919">
        <v>45306</v>
      </c>
      <c r="AX1919" t="s">
        <v>1016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98106.432219027862</v>
      </c>
      <c r="BI1919">
        <v>98106.432219027862</v>
      </c>
      <c r="BJ1919">
        <v>6867.4502553319508</v>
      </c>
      <c r="BK1919">
        <v>104973.88247435981</v>
      </c>
      <c r="BL1919" t="s">
        <v>242</v>
      </c>
      <c r="BM1919">
        <v>0</v>
      </c>
      <c r="BN1919">
        <v>0</v>
      </c>
      <c r="BO1919">
        <v>0</v>
      </c>
      <c r="BP1919">
        <v>0</v>
      </c>
      <c r="BQ1919">
        <v>0</v>
      </c>
      <c r="BR1919" t="s">
        <v>72</v>
      </c>
    </row>
    <row r="1920" spans="1:70" x14ac:dyDescent="0.3">
      <c r="A1920" t="s">
        <v>798</v>
      </c>
      <c r="B1920">
        <v>42201394</v>
      </c>
      <c r="C1920">
        <v>2756007672</v>
      </c>
      <c r="D1920" t="s">
        <v>950</v>
      </c>
      <c r="E1920" t="s">
        <v>439</v>
      </c>
      <c r="F1920" t="s">
        <v>430</v>
      </c>
      <c r="G1920" t="s">
        <v>237</v>
      </c>
      <c r="H1920" t="s">
        <v>234</v>
      </c>
      <c r="J1920" t="s">
        <v>425</v>
      </c>
      <c r="K1920" s="15">
        <v>75000</v>
      </c>
      <c r="M1920">
        <v>45306</v>
      </c>
      <c r="N1920" t="s">
        <v>1023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324065.42056074768</v>
      </c>
      <c r="Y1920">
        <v>324065.42056074768</v>
      </c>
      <c r="Z1920">
        <v>22684.579439252338</v>
      </c>
      <c r="AA1920">
        <v>346750</v>
      </c>
      <c r="AB1920" t="s">
        <v>242</v>
      </c>
      <c r="AC1920">
        <v>0</v>
      </c>
      <c r="AD1920">
        <v>0</v>
      </c>
      <c r="AE1920">
        <v>0</v>
      </c>
      <c r="AF1920">
        <v>80250</v>
      </c>
      <c r="AG1920">
        <v>5250</v>
      </c>
      <c r="AH1920" t="s">
        <v>72</v>
      </c>
      <c r="AK1920" t="s">
        <v>798</v>
      </c>
      <c r="AL1920">
        <v>52201351</v>
      </c>
      <c r="AM1920">
        <v>22940816</v>
      </c>
      <c r="AN1920" t="s">
        <v>155</v>
      </c>
      <c r="AO1920" t="s">
        <v>438</v>
      </c>
      <c r="AP1920" t="s">
        <v>431</v>
      </c>
      <c r="AQ1920" t="s">
        <v>82</v>
      </c>
      <c r="AR1920" t="s">
        <v>83</v>
      </c>
      <c r="AT1920" t="s">
        <v>52</v>
      </c>
      <c r="AU1920">
        <v>500</v>
      </c>
      <c r="AW1920">
        <v>45306</v>
      </c>
      <c r="AX1920" t="s">
        <v>1013</v>
      </c>
      <c r="AY1920">
        <v>0</v>
      </c>
      <c r="AZ1920">
        <v>0</v>
      </c>
      <c r="BA1920">
        <v>0</v>
      </c>
      <c r="BB1920">
        <v>788.37581122070833</v>
      </c>
      <c r="BC1920">
        <v>19513.832743459589</v>
      </c>
      <c r="BD1920">
        <v>0</v>
      </c>
      <c r="BE1920">
        <v>0</v>
      </c>
      <c r="BF1920">
        <v>73829.741339665459</v>
      </c>
      <c r="BG1920">
        <v>0</v>
      </c>
      <c r="BH1920">
        <v>0</v>
      </c>
      <c r="BI1920">
        <v>94131.949894345758</v>
      </c>
      <c r="BJ1920">
        <v>6534.0501858187536</v>
      </c>
      <c r="BK1920">
        <v>100666.00008016451</v>
      </c>
      <c r="BL1920" t="s">
        <v>242</v>
      </c>
      <c r="BM1920">
        <v>16</v>
      </c>
      <c r="BN1920">
        <v>12200</v>
      </c>
      <c r="BO1920">
        <v>0</v>
      </c>
      <c r="BP1920">
        <v>0</v>
      </c>
      <c r="BQ1920">
        <v>791.41710914528016</v>
      </c>
      <c r="BR1920" t="s">
        <v>58</v>
      </c>
    </row>
    <row r="1921" spans="1:70" x14ac:dyDescent="0.3">
      <c r="A1921" t="s">
        <v>798</v>
      </c>
      <c r="B1921">
        <v>52200644</v>
      </c>
      <c r="C1921">
        <v>25645406</v>
      </c>
      <c r="D1921" t="s">
        <v>662</v>
      </c>
      <c r="E1921" t="s">
        <v>438</v>
      </c>
      <c r="F1921" t="s">
        <v>431</v>
      </c>
      <c r="G1921" t="s">
        <v>230</v>
      </c>
      <c r="H1921" t="s">
        <v>231</v>
      </c>
      <c r="J1921" t="s">
        <v>672</v>
      </c>
      <c r="M1921">
        <v>45306</v>
      </c>
      <c r="N1921" t="s">
        <v>1024</v>
      </c>
      <c r="O1921">
        <v>3000</v>
      </c>
      <c r="P1921">
        <v>0</v>
      </c>
      <c r="Q1921">
        <v>0</v>
      </c>
      <c r="R1921">
        <v>0</v>
      </c>
      <c r="S1921">
        <v>0</v>
      </c>
      <c r="T1921">
        <v>37289.719626168226</v>
      </c>
      <c r="U1921">
        <v>0</v>
      </c>
      <c r="V1921">
        <v>0</v>
      </c>
      <c r="W1921">
        <v>78504.672897196258</v>
      </c>
      <c r="X1921">
        <v>0</v>
      </c>
      <c r="Y1921">
        <v>118794.39252336448</v>
      </c>
      <c r="Z1921">
        <v>8105.607476635515</v>
      </c>
      <c r="AA1921">
        <v>126900</v>
      </c>
      <c r="AB1921" t="s">
        <v>242</v>
      </c>
      <c r="AC1921">
        <v>1</v>
      </c>
      <c r="AD1921">
        <v>2500</v>
      </c>
      <c r="AE1921">
        <v>0</v>
      </c>
      <c r="AF1921">
        <v>0</v>
      </c>
      <c r="AG1921">
        <v>162.37472992148014</v>
      </c>
      <c r="AH1921" t="s">
        <v>58</v>
      </c>
      <c r="AK1921" t="s">
        <v>798</v>
      </c>
      <c r="AL1921">
        <v>4132300940</v>
      </c>
      <c r="AM1921">
        <v>1020099280</v>
      </c>
      <c r="AN1921" t="s">
        <v>403</v>
      </c>
      <c r="AO1921" t="s">
        <v>441</v>
      </c>
      <c r="AP1921" t="s">
        <v>430</v>
      </c>
      <c r="AQ1921" t="s">
        <v>420</v>
      </c>
      <c r="AR1921" t="s">
        <v>236</v>
      </c>
      <c r="AT1921" t="s">
        <v>52</v>
      </c>
      <c r="AU1921">
        <v>6866</v>
      </c>
      <c r="AW1921">
        <v>45306</v>
      </c>
      <c r="AX1921" t="s">
        <v>1017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 t="s">
        <v>242</v>
      </c>
      <c r="BM1921">
        <v>4</v>
      </c>
      <c r="BN1921">
        <v>36866</v>
      </c>
      <c r="BO1921">
        <v>0</v>
      </c>
      <c r="BP1921">
        <v>0</v>
      </c>
      <c r="BQ1921">
        <v>2158.939444373319</v>
      </c>
      <c r="BR1921" t="s">
        <v>58</v>
      </c>
    </row>
    <row r="1922" spans="1:70" x14ac:dyDescent="0.3">
      <c r="A1922" t="s">
        <v>798</v>
      </c>
      <c r="B1922">
        <v>52200878</v>
      </c>
      <c r="C1922">
        <v>29429996</v>
      </c>
      <c r="D1922" t="s">
        <v>727</v>
      </c>
      <c r="E1922" t="s">
        <v>438</v>
      </c>
      <c r="F1922" t="s">
        <v>431</v>
      </c>
      <c r="G1922" t="s">
        <v>235</v>
      </c>
      <c r="H1922" t="s">
        <v>236</v>
      </c>
      <c r="J1922" t="s">
        <v>672</v>
      </c>
      <c r="M1922">
        <v>45306</v>
      </c>
      <c r="N1922" t="s">
        <v>1024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164561.68224299065</v>
      </c>
      <c r="W1922">
        <v>0</v>
      </c>
      <c r="X1922">
        <v>0</v>
      </c>
      <c r="Y1922">
        <v>164561.68224299065</v>
      </c>
      <c r="Z1922">
        <v>11519.317757009347</v>
      </c>
      <c r="AA1922">
        <v>176081</v>
      </c>
      <c r="AB1922" t="s">
        <v>242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 t="s">
        <v>72</v>
      </c>
      <c r="AK1922" t="s">
        <v>798</v>
      </c>
      <c r="AL1922">
        <v>42201234</v>
      </c>
      <c r="AM1922">
        <v>2754012385</v>
      </c>
      <c r="AN1922" t="s">
        <v>949</v>
      </c>
      <c r="AO1922" t="s">
        <v>439</v>
      </c>
      <c r="AP1922" t="s">
        <v>430</v>
      </c>
      <c r="AQ1922" t="s">
        <v>237</v>
      </c>
      <c r="AR1922" t="s">
        <v>234</v>
      </c>
      <c r="AT1922" t="s">
        <v>425</v>
      </c>
      <c r="AU1922">
        <v>45000</v>
      </c>
      <c r="AW1922">
        <v>45306</v>
      </c>
      <c r="AX1922" t="s">
        <v>1023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266175.70093457942</v>
      </c>
      <c r="BI1922">
        <v>266175.70093457942</v>
      </c>
      <c r="BJ1922">
        <v>18632.299065420561</v>
      </c>
      <c r="BK1922">
        <v>284808</v>
      </c>
      <c r="BL1922" t="s">
        <v>242</v>
      </c>
      <c r="BM1922">
        <v>0</v>
      </c>
      <c r="BN1922">
        <v>0</v>
      </c>
      <c r="BO1922">
        <v>0</v>
      </c>
      <c r="BP1922">
        <v>48150</v>
      </c>
      <c r="BQ1922">
        <v>3150</v>
      </c>
      <c r="BR1922" t="s">
        <v>72</v>
      </c>
    </row>
    <row r="1923" spans="1:70" x14ac:dyDescent="0.3">
      <c r="A1923" t="s">
        <v>798</v>
      </c>
      <c r="B1923">
        <v>52201351</v>
      </c>
      <c r="C1923">
        <v>22940816</v>
      </c>
      <c r="D1923" t="s">
        <v>155</v>
      </c>
      <c r="E1923" t="s">
        <v>438</v>
      </c>
      <c r="F1923" t="s">
        <v>431</v>
      </c>
      <c r="G1923" t="s">
        <v>82</v>
      </c>
      <c r="H1923" t="s">
        <v>83</v>
      </c>
      <c r="J1923" t="s">
        <v>52</v>
      </c>
      <c r="K1923" s="15">
        <v>500</v>
      </c>
      <c r="M1923">
        <v>45306</v>
      </c>
      <c r="N1923" t="s">
        <v>1013</v>
      </c>
      <c r="O1923">
        <v>0</v>
      </c>
      <c r="P1923">
        <v>0</v>
      </c>
      <c r="Q1923">
        <v>0</v>
      </c>
      <c r="R1923">
        <v>788.37581122070833</v>
      </c>
      <c r="S1923">
        <v>19513.832743459589</v>
      </c>
      <c r="T1923">
        <v>0</v>
      </c>
      <c r="U1923">
        <v>0</v>
      </c>
      <c r="V1923">
        <v>73829.741339665459</v>
      </c>
      <c r="W1923">
        <v>0</v>
      </c>
      <c r="X1923">
        <v>0</v>
      </c>
      <c r="Y1923">
        <v>94131.949894345758</v>
      </c>
      <c r="Z1923">
        <v>6534.0501858187536</v>
      </c>
      <c r="AA1923">
        <v>100666.00008016451</v>
      </c>
      <c r="AB1923" t="s">
        <v>242</v>
      </c>
      <c r="AC1923">
        <v>16</v>
      </c>
      <c r="AD1923">
        <v>12200</v>
      </c>
      <c r="AE1923">
        <v>0</v>
      </c>
      <c r="AF1923">
        <v>0</v>
      </c>
      <c r="AG1923">
        <v>791.41710914528016</v>
      </c>
      <c r="AH1923" t="s">
        <v>58</v>
      </c>
      <c r="AK1923" t="s">
        <v>798</v>
      </c>
      <c r="AL1923">
        <v>42201394</v>
      </c>
      <c r="AM1923">
        <v>2756007672</v>
      </c>
      <c r="AN1923" t="s">
        <v>950</v>
      </c>
      <c r="AO1923" t="s">
        <v>439</v>
      </c>
      <c r="AP1923" t="s">
        <v>430</v>
      </c>
      <c r="AQ1923" t="s">
        <v>237</v>
      </c>
      <c r="AR1923" t="s">
        <v>234</v>
      </c>
      <c r="AT1923" t="s">
        <v>425</v>
      </c>
      <c r="AU1923">
        <v>75000</v>
      </c>
      <c r="AW1923">
        <v>45306</v>
      </c>
      <c r="AX1923" t="s">
        <v>1023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324065.42056074768</v>
      </c>
      <c r="BI1923">
        <v>324065.42056074768</v>
      </c>
      <c r="BJ1923">
        <v>22684.579439252338</v>
      </c>
      <c r="BK1923">
        <v>346750</v>
      </c>
      <c r="BL1923" t="s">
        <v>242</v>
      </c>
      <c r="BM1923">
        <v>0</v>
      </c>
      <c r="BN1923">
        <v>0</v>
      </c>
      <c r="BO1923">
        <v>0</v>
      </c>
      <c r="BP1923">
        <v>80250</v>
      </c>
      <c r="BQ1923">
        <v>5250</v>
      </c>
      <c r="BR1923" t="s">
        <v>72</v>
      </c>
    </row>
    <row r="1924" spans="1:70" x14ac:dyDescent="0.3">
      <c r="A1924" t="s">
        <v>798</v>
      </c>
      <c r="B1924">
        <v>4132300275</v>
      </c>
      <c r="C1924">
        <v>1120095931</v>
      </c>
      <c r="D1924" t="s">
        <v>706</v>
      </c>
      <c r="E1924" t="s">
        <v>441</v>
      </c>
      <c r="F1924" t="s">
        <v>430</v>
      </c>
      <c r="G1924" t="s">
        <v>237</v>
      </c>
      <c r="H1924" t="s">
        <v>231</v>
      </c>
      <c r="J1924" t="s">
        <v>425</v>
      </c>
      <c r="K1924" s="15">
        <v>180000</v>
      </c>
      <c r="M1924">
        <v>45306</v>
      </c>
      <c r="N1924" t="s">
        <v>1023</v>
      </c>
      <c r="O1924">
        <v>0</v>
      </c>
      <c r="P1924">
        <v>17311</v>
      </c>
      <c r="Q1924">
        <v>0</v>
      </c>
      <c r="R1924">
        <v>0</v>
      </c>
      <c r="S1924">
        <v>0</v>
      </c>
      <c r="T1924">
        <v>52429.906542056073</v>
      </c>
      <c r="U1924">
        <v>0</v>
      </c>
      <c r="V1924">
        <v>0</v>
      </c>
      <c r="W1924">
        <v>380747.66355140181</v>
      </c>
      <c r="X1924">
        <v>0</v>
      </c>
      <c r="Y1924">
        <v>450488.57009345788</v>
      </c>
      <c r="Z1924">
        <v>30322.429906542053</v>
      </c>
      <c r="AA1924">
        <v>480810.99999999994</v>
      </c>
      <c r="AB1924" t="s">
        <v>331</v>
      </c>
      <c r="AC1924">
        <v>0</v>
      </c>
      <c r="AD1924">
        <v>0</v>
      </c>
      <c r="AE1924">
        <v>0</v>
      </c>
      <c r="AF1924">
        <v>192600</v>
      </c>
      <c r="AG1924">
        <v>12600</v>
      </c>
      <c r="AH1924" t="s">
        <v>72</v>
      </c>
      <c r="AK1924" t="s">
        <v>798</v>
      </c>
      <c r="AL1924">
        <v>4132300275</v>
      </c>
      <c r="AM1924">
        <v>1120095931</v>
      </c>
      <c r="AN1924" t="s">
        <v>706</v>
      </c>
      <c r="AO1924" t="s">
        <v>441</v>
      </c>
      <c r="AP1924" t="s">
        <v>430</v>
      </c>
      <c r="AQ1924" t="s">
        <v>237</v>
      </c>
      <c r="AR1924" t="s">
        <v>231</v>
      </c>
      <c r="AT1924" t="s">
        <v>425</v>
      </c>
      <c r="AU1924">
        <v>180000</v>
      </c>
      <c r="AW1924">
        <v>45306</v>
      </c>
      <c r="AX1924" t="s">
        <v>1023</v>
      </c>
      <c r="AY1924">
        <v>0</v>
      </c>
      <c r="AZ1924">
        <v>17311</v>
      </c>
      <c r="BA1924">
        <v>0</v>
      </c>
      <c r="BB1924">
        <v>0</v>
      </c>
      <c r="BC1924">
        <v>0</v>
      </c>
      <c r="BD1924">
        <v>52429.906542056073</v>
      </c>
      <c r="BE1924">
        <v>0</v>
      </c>
      <c r="BF1924">
        <v>0</v>
      </c>
      <c r="BG1924">
        <v>380747.66355140181</v>
      </c>
      <c r="BH1924">
        <v>0</v>
      </c>
      <c r="BI1924">
        <v>450488.57009345788</v>
      </c>
      <c r="BJ1924">
        <v>30322.429906542053</v>
      </c>
      <c r="BK1924">
        <v>480810.99999999994</v>
      </c>
      <c r="BL1924" t="s">
        <v>331</v>
      </c>
      <c r="BM1924">
        <v>0</v>
      </c>
      <c r="BN1924">
        <v>0</v>
      </c>
      <c r="BO1924">
        <v>0</v>
      </c>
      <c r="BP1924">
        <v>192600</v>
      </c>
      <c r="BQ1924">
        <v>12600</v>
      </c>
      <c r="BR1924" t="s">
        <v>72</v>
      </c>
    </row>
    <row r="1925" spans="1:70" x14ac:dyDescent="0.3">
      <c r="A1925" t="s">
        <v>798</v>
      </c>
      <c r="B1925">
        <v>4132300940</v>
      </c>
      <c r="C1925">
        <v>1020099280</v>
      </c>
      <c r="D1925" t="s">
        <v>403</v>
      </c>
      <c r="E1925" t="s">
        <v>441</v>
      </c>
      <c r="F1925" t="s">
        <v>430</v>
      </c>
      <c r="G1925" t="s">
        <v>238</v>
      </c>
      <c r="H1925" t="s">
        <v>236</v>
      </c>
      <c r="J1925" t="s">
        <v>52</v>
      </c>
      <c r="K1925" s="15">
        <v>6866</v>
      </c>
      <c r="M1925">
        <v>45306</v>
      </c>
      <c r="N1925" t="s">
        <v>1017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 t="s">
        <v>242</v>
      </c>
      <c r="AC1925">
        <v>5</v>
      </c>
      <c r="AD1925">
        <v>43732</v>
      </c>
      <c r="AE1925">
        <v>0</v>
      </c>
      <c r="AF1925">
        <v>0</v>
      </c>
      <c r="AG1925">
        <v>2158.939444373319</v>
      </c>
      <c r="AH1925" t="s">
        <v>58</v>
      </c>
      <c r="AK1925" t="s">
        <v>798</v>
      </c>
      <c r="AL1925">
        <v>4142300525</v>
      </c>
      <c r="AM1925">
        <v>10226551</v>
      </c>
      <c r="AN1925" t="s">
        <v>714</v>
      </c>
      <c r="AO1925" t="s">
        <v>445</v>
      </c>
      <c r="AP1925" t="s">
        <v>430</v>
      </c>
      <c r="AQ1925" t="s">
        <v>237</v>
      </c>
      <c r="AR1925" t="s">
        <v>234</v>
      </c>
      <c r="AT1925" t="s">
        <v>425</v>
      </c>
      <c r="AU1925">
        <v>225000</v>
      </c>
      <c r="AW1925">
        <v>45306</v>
      </c>
      <c r="AX1925" t="s">
        <v>1023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542435.51401869161</v>
      </c>
      <c r="BI1925">
        <v>542435.51401869161</v>
      </c>
      <c r="BJ1925">
        <v>37970.485981308419</v>
      </c>
      <c r="BK1925">
        <v>580406</v>
      </c>
      <c r="BL1925" t="s">
        <v>242</v>
      </c>
      <c r="BM1925">
        <v>0</v>
      </c>
      <c r="BN1925">
        <v>0</v>
      </c>
      <c r="BO1925">
        <v>0</v>
      </c>
      <c r="BP1925">
        <v>240750</v>
      </c>
      <c r="BQ1925">
        <v>15750</v>
      </c>
      <c r="BR1925" t="s">
        <v>72</v>
      </c>
    </row>
    <row r="1926" spans="1:70" x14ac:dyDescent="0.3">
      <c r="A1926" t="s">
        <v>798</v>
      </c>
      <c r="B1926">
        <v>4142300525</v>
      </c>
      <c r="C1926">
        <v>10226551</v>
      </c>
      <c r="D1926" t="s">
        <v>714</v>
      </c>
      <c r="E1926" t="s">
        <v>445</v>
      </c>
      <c r="F1926" t="s">
        <v>430</v>
      </c>
      <c r="G1926" t="s">
        <v>237</v>
      </c>
      <c r="H1926" t="s">
        <v>234</v>
      </c>
      <c r="J1926" t="s">
        <v>425</v>
      </c>
      <c r="K1926" s="15">
        <v>225000</v>
      </c>
      <c r="M1926">
        <v>45306</v>
      </c>
      <c r="N1926" t="s">
        <v>1023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542435.51401869161</v>
      </c>
      <c r="Y1926">
        <v>542435.51401869161</v>
      </c>
      <c r="Z1926">
        <v>37970.485981308419</v>
      </c>
      <c r="AA1926">
        <v>580406</v>
      </c>
      <c r="AB1926" t="s">
        <v>242</v>
      </c>
      <c r="AC1926">
        <v>0</v>
      </c>
      <c r="AD1926">
        <v>0</v>
      </c>
      <c r="AE1926">
        <v>0</v>
      </c>
      <c r="AF1926">
        <v>240750</v>
      </c>
      <c r="AG1926">
        <v>15750</v>
      </c>
      <c r="AH1926" t="s">
        <v>72</v>
      </c>
      <c r="AK1926" t="s">
        <v>798</v>
      </c>
      <c r="AL1926">
        <v>4142300859</v>
      </c>
      <c r="AM1926">
        <v>10394799</v>
      </c>
      <c r="AN1926" t="s">
        <v>720</v>
      </c>
      <c r="AO1926" t="s">
        <v>445</v>
      </c>
      <c r="AP1926" t="s">
        <v>430</v>
      </c>
      <c r="AQ1926" t="s">
        <v>237</v>
      </c>
      <c r="AR1926" t="s">
        <v>234</v>
      </c>
      <c r="AT1926" t="s">
        <v>425</v>
      </c>
      <c r="AU1926">
        <v>78000</v>
      </c>
      <c r="AW1926">
        <v>45306</v>
      </c>
      <c r="AX1926" t="s">
        <v>1023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267178.58878504677</v>
      </c>
      <c r="BI1926">
        <v>267178.58878504677</v>
      </c>
      <c r="BJ1926">
        <v>18702.501214953274</v>
      </c>
      <c r="BK1926">
        <v>285881.09000000003</v>
      </c>
      <c r="BL1926" t="s">
        <v>242</v>
      </c>
      <c r="BM1926">
        <v>0</v>
      </c>
      <c r="BN1926">
        <v>0</v>
      </c>
      <c r="BO1926">
        <v>0</v>
      </c>
      <c r="BP1926">
        <v>83460</v>
      </c>
      <c r="BQ1926">
        <v>5460</v>
      </c>
      <c r="BR1926" t="s">
        <v>72</v>
      </c>
    </row>
    <row r="1927" spans="1:70" x14ac:dyDescent="0.3">
      <c r="A1927" t="s">
        <v>798</v>
      </c>
      <c r="B1927">
        <v>4142300859</v>
      </c>
      <c r="C1927">
        <v>10394799</v>
      </c>
      <c r="D1927" t="s">
        <v>720</v>
      </c>
      <c r="E1927" t="s">
        <v>445</v>
      </c>
      <c r="F1927" t="s">
        <v>430</v>
      </c>
      <c r="G1927" t="s">
        <v>237</v>
      </c>
      <c r="H1927" t="s">
        <v>234</v>
      </c>
      <c r="J1927" t="s">
        <v>425</v>
      </c>
      <c r="K1927" s="15">
        <v>78000</v>
      </c>
      <c r="M1927">
        <v>45306</v>
      </c>
      <c r="N1927" t="s">
        <v>1023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267178.58878504677</v>
      </c>
      <c r="Y1927">
        <v>267178.58878504677</v>
      </c>
      <c r="Z1927">
        <v>18702.501214953274</v>
      </c>
      <c r="AA1927">
        <v>285881.09000000003</v>
      </c>
      <c r="AB1927" t="s">
        <v>242</v>
      </c>
      <c r="AC1927">
        <v>0</v>
      </c>
      <c r="AD1927">
        <v>0</v>
      </c>
      <c r="AE1927">
        <v>0</v>
      </c>
      <c r="AF1927">
        <v>83460</v>
      </c>
      <c r="AG1927">
        <v>5460</v>
      </c>
      <c r="AH1927" t="s">
        <v>72</v>
      </c>
      <c r="AK1927" t="s">
        <v>798</v>
      </c>
      <c r="AL1927">
        <v>52200644</v>
      </c>
      <c r="AM1927">
        <v>25645406</v>
      </c>
      <c r="AN1927" t="s">
        <v>662</v>
      </c>
      <c r="AO1927" t="s">
        <v>438</v>
      </c>
      <c r="AP1927" t="s">
        <v>431</v>
      </c>
      <c r="AQ1927" t="s">
        <v>230</v>
      </c>
      <c r="AR1927" t="s">
        <v>231</v>
      </c>
      <c r="AT1927" t="s">
        <v>672</v>
      </c>
      <c r="AW1927">
        <v>45306</v>
      </c>
      <c r="AX1927" t="s">
        <v>1024</v>
      </c>
      <c r="AY1927">
        <v>3000</v>
      </c>
      <c r="AZ1927">
        <v>0</v>
      </c>
      <c r="BA1927">
        <v>0</v>
      </c>
      <c r="BB1927">
        <v>0</v>
      </c>
      <c r="BC1927">
        <v>0</v>
      </c>
      <c r="BD1927">
        <v>37289.719626168226</v>
      </c>
      <c r="BE1927">
        <v>0</v>
      </c>
      <c r="BF1927">
        <v>0</v>
      </c>
      <c r="BG1927">
        <v>78504.672897196258</v>
      </c>
      <c r="BH1927">
        <v>0</v>
      </c>
      <c r="BI1927">
        <v>118794.39252336448</v>
      </c>
      <c r="BJ1927">
        <v>8105.607476635515</v>
      </c>
      <c r="BK1927">
        <v>126900</v>
      </c>
      <c r="BL1927" t="s">
        <v>242</v>
      </c>
      <c r="BM1927">
        <v>1</v>
      </c>
      <c r="BN1927">
        <v>2500</v>
      </c>
      <c r="BO1927">
        <v>0</v>
      </c>
      <c r="BP1927">
        <v>0</v>
      </c>
      <c r="BQ1927">
        <v>162.37472992148014</v>
      </c>
      <c r="BR1927" t="s">
        <v>58</v>
      </c>
    </row>
    <row r="1928" spans="1:70" x14ac:dyDescent="0.3">
      <c r="A1928" t="s">
        <v>798</v>
      </c>
      <c r="B1928">
        <v>4242300018</v>
      </c>
      <c r="C1928">
        <v>121435</v>
      </c>
      <c r="D1928" t="s">
        <v>951</v>
      </c>
      <c r="E1928" t="s">
        <v>444</v>
      </c>
      <c r="F1928" t="s">
        <v>431</v>
      </c>
      <c r="G1928" t="s">
        <v>230</v>
      </c>
      <c r="H1928" t="s">
        <v>231</v>
      </c>
      <c r="J1928" t="s">
        <v>416</v>
      </c>
      <c r="K1928" s="15">
        <v>0.1143430196519778</v>
      </c>
      <c r="M1928">
        <v>45306</v>
      </c>
      <c r="N1928" t="s">
        <v>1016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 t="s">
        <v>242</v>
      </c>
      <c r="AC1928">
        <v>4</v>
      </c>
      <c r="AD1928">
        <v>159000</v>
      </c>
      <c r="AE1928">
        <v>0</v>
      </c>
      <c r="AF1928">
        <v>0</v>
      </c>
      <c r="AG1928">
        <v>9900.7182214120749</v>
      </c>
      <c r="AH1928" t="s">
        <v>58</v>
      </c>
      <c r="AK1928" t="s">
        <v>798</v>
      </c>
      <c r="AL1928">
        <v>52200878</v>
      </c>
      <c r="AM1928">
        <v>29429996</v>
      </c>
      <c r="AN1928" t="s">
        <v>727</v>
      </c>
      <c r="AO1928" t="s">
        <v>438</v>
      </c>
      <c r="AP1928" t="s">
        <v>431</v>
      </c>
      <c r="AQ1928" t="s">
        <v>235</v>
      </c>
      <c r="AR1928" t="s">
        <v>236</v>
      </c>
      <c r="AT1928" t="s">
        <v>672</v>
      </c>
      <c r="AW1928">
        <v>45306</v>
      </c>
      <c r="AX1928" t="s">
        <v>1024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164561.68224299065</v>
      </c>
      <c r="BG1928">
        <v>0</v>
      </c>
      <c r="BH1928">
        <v>0</v>
      </c>
      <c r="BI1928">
        <v>164561.68224299065</v>
      </c>
      <c r="BJ1928">
        <v>11519.317757009347</v>
      </c>
      <c r="BK1928">
        <v>176081</v>
      </c>
      <c r="BL1928" t="s">
        <v>242</v>
      </c>
      <c r="BM1928">
        <v>0</v>
      </c>
      <c r="BN1928">
        <v>0</v>
      </c>
      <c r="BO1928">
        <v>0</v>
      </c>
      <c r="BP1928">
        <v>0</v>
      </c>
      <c r="BQ1928">
        <v>0</v>
      </c>
      <c r="BR1928" t="s">
        <v>72</v>
      </c>
    </row>
    <row r="1929" spans="1:70" x14ac:dyDescent="0.3">
      <c r="A1929" t="s">
        <v>798</v>
      </c>
      <c r="B1929">
        <v>2200015</v>
      </c>
      <c r="C1929">
        <v>20972229</v>
      </c>
      <c r="D1929" t="s">
        <v>76</v>
      </c>
      <c r="E1929" t="s">
        <v>435</v>
      </c>
      <c r="F1929" t="s">
        <v>426</v>
      </c>
      <c r="G1929" t="s">
        <v>82</v>
      </c>
      <c r="H1929" t="s">
        <v>82</v>
      </c>
      <c r="J1929" t="s">
        <v>52</v>
      </c>
      <c r="K1929" s="15">
        <v>1000</v>
      </c>
      <c r="M1929">
        <v>45307</v>
      </c>
      <c r="N1929" t="s">
        <v>1013</v>
      </c>
      <c r="O1929">
        <v>0</v>
      </c>
      <c r="P1929">
        <v>0</v>
      </c>
      <c r="Q1929">
        <v>0</v>
      </c>
      <c r="R1929">
        <v>0</v>
      </c>
      <c r="S1929">
        <v>2809.5975322232734</v>
      </c>
      <c r="T1929">
        <v>0</v>
      </c>
      <c r="U1929">
        <v>0</v>
      </c>
      <c r="V1929">
        <v>122323.98354815517</v>
      </c>
      <c r="W1929">
        <v>0</v>
      </c>
      <c r="X1929">
        <v>0</v>
      </c>
      <c r="Y1929">
        <v>125133.58108037844</v>
      </c>
      <c r="Z1929">
        <v>0</v>
      </c>
      <c r="AA1929">
        <v>125133.58108037844</v>
      </c>
      <c r="AB1929" t="s">
        <v>242</v>
      </c>
      <c r="AC1929">
        <v>17</v>
      </c>
      <c r="AD1929">
        <v>17000</v>
      </c>
      <c r="AE1929">
        <v>0</v>
      </c>
      <c r="AF1929">
        <v>0</v>
      </c>
      <c r="AG1929">
        <v>0</v>
      </c>
      <c r="AH1929" t="s">
        <v>58</v>
      </c>
      <c r="AK1929" t="s">
        <v>798</v>
      </c>
      <c r="AL1929">
        <v>2200015</v>
      </c>
      <c r="AM1929">
        <v>20972229</v>
      </c>
      <c r="AN1929" t="s">
        <v>76</v>
      </c>
      <c r="AO1929" t="s">
        <v>435</v>
      </c>
      <c r="AP1929" t="s">
        <v>426</v>
      </c>
      <c r="AQ1929" t="s">
        <v>82</v>
      </c>
      <c r="AR1929" t="s">
        <v>82</v>
      </c>
      <c r="AT1929" t="s">
        <v>52</v>
      </c>
      <c r="AU1929">
        <v>1000</v>
      </c>
      <c r="AW1929">
        <v>45307</v>
      </c>
      <c r="AX1929" t="s">
        <v>1013</v>
      </c>
      <c r="AY1929">
        <v>0</v>
      </c>
      <c r="AZ1929">
        <v>0</v>
      </c>
      <c r="BA1929">
        <v>0</v>
      </c>
      <c r="BB1929">
        <v>0</v>
      </c>
      <c r="BC1929">
        <v>2809.5975322232734</v>
      </c>
      <c r="BD1929">
        <v>0</v>
      </c>
      <c r="BE1929">
        <v>0</v>
      </c>
      <c r="BF1929">
        <v>122323.98354815517</v>
      </c>
      <c r="BG1929">
        <v>0</v>
      </c>
      <c r="BH1929">
        <v>0</v>
      </c>
      <c r="BI1929">
        <v>125133.58108037844</v>
      </c>
      <c r="BJ1929">
        <v>0</v>
      </c>
      <c r="BK1929">
        <v>125133.58108037844</v>
      </c>
      <c r="BL1929" t="s">
        <v>242</v>
      </c>
      <c r="BM1929">
        <v>17</v>
      </c>
      <c r="BN1929">
        <v>17000</v>
      </c>
      <c r="BO1929">
        <v>0</v>
      </c>
      <c r="BP1929">
        <v>0</v>
      </c>
      <c r="BQ1929">
        <v>0</v>
      </c>
      <c r="BR1929" t="s">
        <v>58</v>
      </c>
    </row>
    <row r="1930" spans="1:70" x14ac:dyDescent="0.3">
      <c r="A1930" t="s">
        <v>798</v>
      </c>
      <c r="B1930">
        <v>42200737</v>
      </c>
      <c r="C1930">
        <v>2754011893</v>
      </c>
      <c r="D1930" t="s">
        <v>952</v>
      </c>
      <c r="E1930" t="s">
        <v>439</v>
      </c>
      <c r="F1930" t="s">
        <v>430</v>
      </c>
      <c r="G1930" t="s">
        <v>233</v>
      </c>
      <c r="H1930" t="s">
        <v>234</v>
      </c>
      <c r="J1930" t="s">
        <v>52</v>
      </c>
      <c r="K1930" s="15">
        <v>1000</v>
      </c>
      <c r="M1930">
        <v>45307</v>
      </c>
      <c r="N1930" t="s">
        <v>1013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571038.22429906507</v>
      </c>
      <c r="Y1930">
        <v>571038.22429906507</v>
      </c>
      <c r="Z1930">
        <v>39972.67570093456</v>
      </c>
      <c r="AA1930">
        <v>611010.89999999967</v>
      </c>
      <c r="AB1930" t="s">
        <v>242</v>
      </c>
      <c r="AC1930">
        <v>8</v>
      </c>
      <c r="AD1930">
        <v>8000</v>
      </c>
      <c r="AE1930">
        <v>0</v>
      </c>
      <c r="AF1930">
        <v>0</v>
      </c>
      <c r="AG1930">
        <v>523.36448598130846</v>
      </c>
      <c r="AH1930" t="s">
        <v>58</v>
      </c>
      <c r="AK1930" t="s">
        <v>798</v>
      </c>
      <c r="AL1930">
        <v>42200737</v>
      </c>
      <c r="AM1930">
        <v>2754011893</v>
      </c>
      <c r="AN1930" t="s">
        <v>952</v>
      </c>
      <c r="AO1930" t="s">
        <v>439</v>
      </c>
      <c r="AP1930" t="s">
        <v>430</v>
      </c>
      <c r="AQ1930" t="s">
        <v>233</v>
      </c>
      <c r="AR1930" t="s">
        <v>234</v>
      </c>
      <c r="AT1930" t="s">
        <v>52</v>
      </c>
      <c r="AU1930">
        <v>1000</v>
      </c>
      <c r="AW1930">
        <v>45307</v>
      </c>
      <c r="AX1930" t="s">
        <v>1013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571038.22429906507</v>
      </c>
      <c r="BI1930">
        <v>571038.22429906507</v>
      </c>
      <c r="BJ1930">
        <v>39972.67570093456</v>
      </c>
      <c r="BK1930">
        <v>611010.89999999967</v>
      </c>
      <c r="BL1930" t="s">
        <v>242</v>
      </c>
      <c r="BM1930">
        <v>8</v>
      </c>
      <c r="BN1930">
        <v>8000</v>
      </c>
      <c r="BO1930">
        <v>0</v>
      </c>
      <c r="BP1930">
        <v>0</v>
      </c>
      <c r="BQ1930">
        <v>523.36448598130846</v>
      </c>
      <c r="BR1930" t="s">
        <v>58</v>
      </c>
    </row>
    <row r="1931" spans="1:70" x14ac:dyDescent="0.3">
      <c r="A1931" t="s">
        <v>798</v>
      </c>
      <c r="B1931">
        <v>42200889</v>
      </c>
      <c r="C1931">
        <v>2754011907</v>
      </c>
      <c r="D1931" t="s">
        <v>952</v>
      </c>
      <c r="E1931" t="s">
        <v>439</v>
      </c>
      <c r="F1931" t="s">
        <v>430</v>
      </c>
      <c r="G1931" t="s">
        <v>233</v>
      </c>
      <c r="H1931" t="s">
        <v>234</v>
      </c>
      <c r="J1931" t="s">
        <v>52</v>
      </c>
      <c r="K1931" s="15">
        <v>1000</v>
      </c>
      <c r="M1931">
        <v>45307</v>
      </c>
      <c r="N1931" t="s">
        <v>1013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381066.35514018702</v>
      </c>
      <c r="Y1931">
        <v>381066.35514018702</v>
      </c>
      <c r="Z1931">
        <v>26674.644859813096</v>
      </c>
      <c r="AA1931">
        <v>407741.00000000012</v>
      </c>
      <c r="AB1931" t="s">
        <v>242</v>
      </c>
      <c r="AC1931">
        <v>6</v>
      </c>
      <c r="AD1931">
        <v>6000</v>
      </c>
      <c r="AE1931">
        <v>0</v>
      </c>
      <c r="AF1931">
        <v>0</v>
      </c>
      <c r="AG1931">
        <v>392.52336448598135</v>
      </c>
      <c r="AH1931" t="s">
        <v>58</v>
      </c>
      <c r="AK1931" t="s">
        <v>798</v>
      </c>
      <c r="AL1931">
        <v>42200889</v>
      </c>
      <c r="AM1931">
        <v>2754011907</v>
      </c>
      <c r="AN1931" t="s">
        <v>952</v>
      </c>
      <c r="AO1931" t="s">
        <v>439</v>
      </c>
      <c r="AP1931" t="s">
        <v>430</v>
      </c>
      <c r="AQ1931" t="s">
        <v>233</v>
      </c>
      <c r="AR1931" t="s">
        <v>234</v>
      </c>
      <c r="AT1931" t="s">
        <v>52</v>
      </c>
      <c r="AU1931">
        <v>1000</v>
      </c>
      <c r="AW1931">
        <v>45307</v>
      </c>
      <c r="AX1931" t="s">
        <v>1013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381066.35514018702</v>
      </c>
      <c r="BI1931">
        <v>381066.35514018702</v>
      </c>
      <c r="BJ1931">
        <v>26674.644859813096</v>
      </c>
      <c r="BK1931">
        <v>407741.00000000012</v>
      </c>
      <c r="BL1931" t="s">
        <v>242</v>
      </c>
      <c r="BM1931">
        <v>6</v>
      </c>
      <c r="BN1931">
        <v>6000</v>
      </c>
      <c r="BO1931">
        <v>0</v>
      </c>
      <c r="BP1931">
        <v>0</v>
      </c>
      <c r="BQ1931">
        <v>392.52336448598135</v>
      </c>
      <c r="BR1931" t="s">
        <v>58</v>
      </c>
    </row>
    <row r="1932" spans="1:70" x14ac:dyDescent="0.3">
      <c r="A1932" t="s">
        <v>798</v>
      </c>
      <c r="B1932">
        <v>52200247</v>
      </c>
      <c r="C1932">
        <v>23477201</v>
      </c>
      <c r="D1932" t="s">
        <v>135</v>
      </c>
      <c r="E1932" t="s">
        <v>436</v>
      </c>
      <c r="F1932" t="s">
        <v>431</v>
      </c>
      <c r="G1932" t="s">
        <v>82</v>
      </c>
      <c r="H1932" t="s">
        <v>83</v>
      </c>
      <c r="J1932" t="s">
        <v>52</v>
      </c>
      <c r="K1932" s="15">
        <v>1000</v>
      </c>
      <c r="M1932">
        <v>45307</v>
      </c>
      <c r="N1932" t="s">
        <v>1013</v>
      </c>
      <c r="O1932">
        <v>0</v>
      </c>
      <c r="P1932">
        <v>0</v>
      </c>
      <c r="Q1932">
        <v>0</v>
      </c>
      <c r="R1932">
        <v>574.54056103557662</v>
      </c>
      <c r="S1932">
        <v>3815.6942140727888</v>
      </c>
      <c r="T1932">
        <v>0</v>
      </c>
      <c r="U1932">
        <v>0</v>
      </c>
      <c r="V1932">
        <v>46605.297542143431</v>
      </c>
      <c r="W1932">
        <v>0</v>
      </c>
      <c r="X1932">
        <v>0</v>
      </c>
      <c r="Y1932">
        <v>50995.532317251796</v>
      </c>
      <c r="Z1932">
        <v>3529.4694229351358</v>
      </c>
      <c r="AA1932">
        <v>54525.001740186934</v>
      </c>
      <c r="AB1932" t="s">
        <v>242</v>
      </c>
      <c r="AC1932">
        <v>8</v>
      </c>
      <c r="AD1932">
        <v>19000</v>
      </c>
      <c r="AE1932">
        <v>0</v>
      </c>
      <c r="AF1932">
        <v>0</v>
      </c>
      <c r="AG1932">
        <v>1228.7643357686834</v>
      </c>
      <c r="AH1932" t="s">
        <v>58</v>
      </c>
      <c r="AK1932" t="s">
        <v>798</v>
      </c>
      <c r="AL1932">
        <v>4132302163</v>
      </c>
      <c r="AM1932">
        <v>94261</v>
      </c>
      <c r="AN1932" t="s">
        <v>700</v>
      </c>
      <c r="AO1932" t="s">
        <v>443</v>
      </c>
      <c r="AP1932" t="s">
        <v>430</v>
      </c>
      <c r="AQ1932" t="s">
        <v>421</v>
      </c>
      <c r="AR1932" t="s">
        <v>231</v>
      </c>
      <c r="AT1932" t="s">
        <v>52</v>
      </c>
      <c r="AU1932">
        <v>870000</v>
      </c>
      <c r="AW1932">
        <v>45307</v>
      </c>
      <c r="AX1932" t="s">
        <v>1025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 t="s">
        <v>242</v>
      </c>
      <c r="BM1932">
        <v>2</v>
      </c>
      <c r="BN1932">
        <v>900000</v>
      </c>
      <c r="BO1932">
        <v>0</v>
      </c>
      <c r="BP1932">
        <v>0</v>
      </c>
      <c r="BQ1932">
        <v>56885.434211343949</v>
      </c>
      <c r="BR1932" t="s">
        <v>58</v>
      </c>
    </row>
    <row r="1933" spans="1:70" x14ac:dyDescent="0.3">
      <c r="A1933" t="s">
        <v>798</v>
      </c>
      <c r="B1933">
        <v>52201039</v>
      </c>
      <c r="C1933">
        <v>29379502</v>
      </c>
      <c r="D1933" t="s">
        <v>146</v>
      </c>
      <c r="E1933" t="s">
        <v>438</v>
      </c>
      <c r="F1933" t="s">
        <v>431</v>
      </c>
      <c r="G1933" t="s">
        <v>82</v>
      </c>
      <c r="H1933" t="s">
        <v>83</v>
      </c>
      <c r="J1933" t="s">
        <v>52</v>
      </c>
      <c r="K1933" s="15">
        <v>2500</v>
      </c>
      <c r="M1933">
        <v>45307</v>
      </c>
      <c r="N1933" t="s">
        <v>1013</v>
      </c>
      <c r="O1933">
        <v>0</v>
      </c>
      <c r="P1933">
        <v>0</v>
      </c>
      <c r="Q1933">
        <v>0</v>
      </c>
      <c r="R1933">
        <v>823.74563194965538</v>
      </c>
      <c r="S1933">
        <v>12393.834413699391</v>
      </c>
      <c r="T1933">
        <v>0</v>
      </c>
      <c r="U1933">
        <v>0</v>
      </c>
      <c r="V1933">
        <v>49170.889355899591</v>
      </c>
      <c r="W1933">
        <v>0</v>
      </c>
      <c r="X1933">
        <v>0</v>
      </c>
      <c r="Y1933">
        <v>62388.469401548638</v>
      </c>
      <c r="Z1933">
        <v>4309.5306638719294</v>
      </c>
      <c r="AA1933">
        <v>66698.000065420565</v>
      </c>
      <c r="AB1933" t="s">
        <v>242</v>
      </c>
      <c r="AC1933">
        <v>6</v>
      </c>
      <c r="AD1933">
        <v>12500</v>
      </c>
      <c r="AE1933">
        <v>0</v>
      </c>
      <c r="AF1933">
        <v>0</v>
      </c>
      <c r="AG1933">
        <v>806.88055536119282</v>
      </c>
      <c r="AH1933" t="s">
        <v>58</v>
      </c>
      <c r="AK1933" t="s">
        <v>798</v>
      </c>
      <c r="AL1933">
        <v>4142301330</v>
      </c>
      <c r="AM1933">
        <v>10336950</v>
      </c>
      <c r="AN1933" t="s">
        <v>702</v>
      </c>
      <c r="AO1933" t="s">
        <v>446</v>
      </c>
      <c r="AP1933" t="s">
        <v>430</v>
      </c>
      <c r="AQ1933" t="s">
        <v>421</v>
      </c>
      <c r="AR1933" t="s">
        <v>234</v>
      </c>
      <c r="AT1933" t="s">
        <v>52</v>
      </c>
      <c r="AU1933">
        <v>260000</v>
      </c>
      <c r="AW1933">
        <v>45307</v>
      </c>
      <c r="AX1933" t="s">
        <v>1018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 t="s">
        <v>242</v>
      </c>
      <c r="BM1933">
        <v>1</v>
      </c>
      <c r="BN1933">
        <v>260000</v>
      </c>
      <c r="BO1933">
        <v>0</v>
      </c>
      <c r="BP1933">
        <v>0</v>
      </c>
      <c r="BQ1933">
        <v>17009.345794392517</v>
      </c>
      <c r="BR1933" t="s">
        <v>58</v>
      </c>
    </row>
    <row r="1934" spans="1:70" x14ac:dyDescent="0.3">
      <c r="A1934" t="s">
        <v>798</v>
      </c>
      <c r="B1934">
        <v>52201220</v>
      </c>
      <c r="C1934">
        <v>25378599</v>
      </c>
      <c r="D1934" t="s">
        <v>150</v>
      </c>
      <c r="E1934" t="s">
        <v>438</v>
      </c>
      <c r="F1934" t="s">
        <v>431</v>
      </c>
      <c r="G1934" t="s">
        <v>82</v>
      </c>
      <c r="H1934" t="s">
        <v>83</v>
      </c>
      <c r="J1934" t="s">
        <v>52</v>
      </c>
      <c r="K1934" s="15">
        <v>1000</v>
      </c>
      <c r="M1934">
        <v>45307</v>
      </c>
      <c r="N1934" t="s">
        <v>1013</v>
      </c>
      <c r="O1934">
        <v>0</v>
      </c>
      <c r="P1934">
        <v>0</v>
      </c>
      <c r="Q1934">
        <v>0</v>
      </c>
      <c r="R1934">
        <v>667.0032758474274</v>
      </c>
      <c r="S1934">
        <v>10908.718579571801</v>
      </c>
      <c r="T1934">
        <v>0</v>
      </c>
      <c r="U1934">
        <v>0</v>
      </c>
      <c r="V1934">
        <v>79718.38097920474</v>
      </c>
      <c r="W1934">
        <v>0</v>
      </c>
      <c r="X1934">
        <v>0</v>
      </c>
      <c r="Y1934">
        <v>91294.102834623976</v>
      </c>
      <c r="Z1934">
        <v>6343.8969691143584</v>
      </c>
      <c r="AA1934">
        <v>97637.999803738334</v>
      </c>
      <c r="AB1934" t="s">
        <v>242</v>
      </c>
      <c r="AC1934">
        <v>11</v>
      </c>
      <c r="AD1934">
        <v>17000</v>
      </c>
      <c r="AE1934">
        <v>0</v>
      </c>
      <c r="AF1934">
        <v>0</v>
      </c>
      <c r="AG1934">
        <v>1103.9721769245982</v>
      </c>
      <c r="AH1934" t="s">
        <v>58</v>
      </c>
      <c r="AK1934" t="s">
        <v>798</v>
      </c>
      <c r="AL1934">
        <v>4242300018</v>
      </c>
      <c r="AM1934">
        <v>121435</v>
      </c>
      <c r="AN1934" t="s">
        <v>951</v>
      </c>
      <c r="AO1934" t="s">
        <v>444</v>
      </c>
      <c r="AP1934" t="s">
        <v>431</v>
      </c>
      <c r="AQ1934" t="s">
        <v>421</v>
      </c>
      <c r="AR1934" t="s">
        <v>231</v>
      </c>
      <c r="AT1934" t="s">
        <v>52</v>
      </c>
      <c r="AU1934">
        <v>59000</v>
      </c>
      <c r="AW1934">
        <v>45307</v>
      </c>
      <c r="AX1934" t="s">
        <v>1018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 t="s">
        <v>242</v>
      </c>
      <c r="BM1934">
        <v>4</v>
      </c>
      <c r="BN1934">
        <v>159000</v>
      </c>
      <c r="BO1934">
        <v>0</v>
      </c>
      <c r="BP1934">
        <v>0</v>
      </c>
      <c r="BQ1934">
        <v>9900.7182214120749</v>
      </c>
      <c r="BR1934" t="s">
        <v>58</v>
      </c>
    </row>
    <row r="1935" spans="1:70" x14ac:dyDescent="0.3">
      <c r="A1935" t="s">
        <v>798</v>
      </c>
      <c r="B1935">
        <v>52201830</v>
      </c>
      <c r="C1935">
        <v>25560817</v>
      </c>
      <c r="D1935" t="s">
        <v>167</v>
      </c>
      <c r="E1935" t="s">
        <v>438</v>
      </c>
      <c r="F1935" t="s">
        <v>431</v>
      </c>
      <c r="G1935" t="s">
        <v>82</v>
      </c>
      <c r="H1935" t="s">
        <v>83</v>
      </c>
      <c r="J1935" t="s">
        <v>52</v>
      </c>
      <c r="K1935" s="15">
        <v>1850</v>
      </c>
      <c r="M1935">
        <v>45307</v>
      </c>
      <c r="N1935" t="s">
        <v>1013</v>
      </c>
      <c r="O1935">
        <v>0</v>
      </c>
      <c r="P1935">
        <v>0</v>
      </c>
      <c r="Q1935">
        <v>0</v>
      </c>
      <c r="R1935">
        <v>789.26733327816351</v>
      </c>
      <c r="S1935">
        <v>19092.038474741556</v>
      </c>
      <c r="T1935">
        <v>0</v>
      </c>
      <c r="U1935">
        <v>0</v>
      </c>
      <c r="V1935">
        <v>53474.06748157987</v>
      </c>
      <c r="W1935">
        <v>0</v>
      </c>
      <c r="X1935">
        <v>0</v>
      </c>
      <c r="Y1935">
        <v>73355.373289599593</v>
      </c>
      <c r="Z1935">
        <v>5079.6274169424996</v>
      </c>
      <c r="AA1935">
        <v>78435.000706542094</v>
      </c>
      <c r="AB1935" t="s">
        <v>242</v>
      </c>
      <c r="AC1935">
        <v>11</v>
      </c>
      <c r="AD1935">
        <v>18500</v>
      </c>
      <c r="AE1935">
        <v>0</v>
      </c>
      <c r="AF1935">
        <v>0</v>
      </c>
      <c r="AG1935">
        <v>1197.1483302144591</v>
      </c>
      <c r="AH1935" t="s">
        <v>58</v>
      </c>
      <c r="AK1935" t="s">
        <v>798</v>
      </c>
      <c r="AL1935">
        <v>52200247</v>
      </c>
      <c r="AM1935">
        <v>23477201</v>
      </c>
      <c r="AN1935" t="s">
        <v>135</v>
      </c>
      <c r="AO1935" t="s">
        <v>436</v>
      </c>
      <c r="AP1935" t="s">
        <v>431</v>
      </c>
      <c r="AQ1935" t="s">
        <v>82</v>
      </c>
      <c r="AR1935" t="s">
        <v>83</v>
      </c>
      <c r="AT1935" t="s">
        <v>52</v>
      </c>
      <c r="AU1935">
        <v>1000</v>
      </c>
      <c r="AW1935">
        <v>45307</v>
      </c>
      <c r="AX1935" t="s">
        <v>1013</v>
      </c>
      <c r="AY1935">
        <v>0</v>
      </c>
      <c r="AZ1935">
        <v>0</v>
      </c>
      <c r="BA1935">
        <v>0</v>
      </c>
      <c r="BB1935">
        <v>574.54056103557662</v>
      </c>
      <c r="BC1935">
        <v>3815.6942140727888</v>
      </c>
      <c r="BD1935">
        <v>0</v>
      </c>
      <c r="BE1935">
        <v>0</v>
      </c>
      <c r="BF1935">
        <v>46605.297542143431</v>
      </c>
      <c r="BG1935">
        <v>0</v>
      </c>
      <c r="BH1935">
        <v>0</v>
      </c>
      <c r="BI1935">
        <v>50995.532317251796</v>
      </c>
      <c r="BJ1935">
        <v>3529.4694229351358</v>
      </c>
      <c r="BK1935">
        <v>54525.001740186934</v>
      </c>
      <c r="BL1935" t="s">
        <v>242</v>
      </c>
      <c r="BM1935">
        <v>8</v>
      </c>
      <c r="BN1935">
        <v>19000</v>
      </c>
      <c r="BO1935">
        <v>0</v>
      </c>
      <c r="BP1935">
        <v>0</v>
      </c>
      <c r="BQ1935">
        <v>1228.7643357686834</v>
      </c>
      <c r="BR1935" t="s">
        <v>58</v>
      </c>
    </row>
    <row r="1936" spans="1:70" x14ac:dyDescent="0.3">
      <c r="A1936" t="s">
        <v>798</v>
      </c>
      <c r="B1936">
        <v>62200013</v>
      </c>
      <c r="C1936">
        <v>20972385</v>
      </c>
      <c r="D1936" t="s">
        <v>76</v>
      </c>
      <c r="E1936" t="s">
        <v>435</v>
      </c>
      <c r="F1936" t="s">
        <v>432</v>
      </c>
      <c r="G1936" t="s">
        <v>82</v>
      </c>
      <c r="H1936" t="s">
        <v>82</v>
      </c>
      <c r="J1936" t="s">
        <v>52</v>
      </c>
      <c r="K1936" s="15">
        <v>4000</v>
      </c>
      <c r="M1936">
        <v>45307</v>
      </c>
      <c r="N1936" t="s">
        <v>1013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19665.191359418066</v>
      </c>
      <c r="W1936">
        <v>0</v>
      </c>
      <c r="X1936">
        <v>0</v>
      </c>
      <c r="Y1936">
        <v>19665.191359418066</v>
      </c>
      <c r="Z1936">
        <v>0</v>
      </c>
      <c r="AA1936">
        <v>19665.191359418066</v>
      </c>
      <c r="AB1936" t="s">
        <v>242</v>
      </c>
      <c r="AC1936">
        <v>17</v>
      </c>
      <c r="AD1936">
        <v>68000</v>
      </c>
      <c r="AE1936">
        <v>0</v>
      </c>
      <c r="AF1936">
        <v>0</v>
      </c>
      <c r="AG1936">
        <v>0</v>
      </c>
      <c r="AH1936" t="s">
        <v>58</v>
      </c>
      <c r="AK1936" t="s">
        <v>798</v>
      </c>
      <c r="AL1936">
        <v>52201039</v>
      </c>
      <c r="AM1936">
        <v>29379502</v>
      </c>
      <c r="AN1936" t="s">
        <v>146</v>
      </c>
      <c r="AO1936" t="s">
        <v>438</v>
      </c>
      <c r="AP1936" t="s">
        <v>431</v>
      </c>
      <c r="AQ1936" t="s">
        <v>82</v>
      </c>
      <c r="AR1936" t="s">
        <v>83</v>
      </c>
      <c r="AT1936" t="s">
        <v>52</v>
      </c>
      <c r="AU1936">
        <v>2500</v>
      </c>
      <c r="AW1936">
        <v>45307</v>
      </c>
      <c r="AX1936" t="s">
        <v>1013</v>
      </c>
      <c r="AY1936">
        <v>0</v>
      </c>
      <c r="AZ1936">
        <v>0</v>
      </c>
      <c r="BA1936">
        <v>0</v>
      </c>
      <c r="BB1936">
        <v>823.74563194965538</v>
      </c>
      <c r="BC1936">
        <v>12393.834413699391</v>
      </c>
      <c r="BD1936">
        <v>0</v>
      </c>
      <c r="BE1936">
        <v>0</v>
      </c>
      <c r="BF1936">
        <v>49170.889355899591</v>
      </c>
      <c r="BG1936">
        <v>0</v>
      </c>
      <c r="BH1936">
        <v>0</v>
      </c>
      <c r="BI1936">
        <v>62388.469401548638</v>
      </c>
      <c r="BJ1936">
        <v>4309.5306638719294</v>
      </c>
      <c r="BK1936">
        <v>66698.000065420565</v>
      </c>
      <c r="BL1936" t="s">
        <v>242</v>
      </c>
      <c r="BM1936">
        <v>6</v>
      </c>
      <c r="BN1936">
        <v>12500</v>
      </c>
      <c r="BO1936">
        <v>0</v>
      </c>
      <c r="BP1936">
        <v>0</v>
      </c>
      <c r="BQ1936">
        <v>806.88055536119282</v>
      </c>
      <c r="BR1936" t="s">
        <v>58</v>
      </c>
    </row>
    <row r="1937" spans="1:70" x14ac:dyDescent="0.3">
      <c r="A1937" t="s">
        <v>798</v>
      </c>
      <c r="B1937">
        <v>4132302163</v>
      </c>
      <c r="C1937">
        <v>94261</v>
      </c>
      <c r="D1937" t="s">
        <v>700</v>
      </c>
      <c r="E1937" t="s">
        <v>443</v>
      </c>
      <c r="F1937" t="s">
        <v>430</v>
      </c>
      <c r="G1937" t="s">
        <v>230</v>
      </c>
      <c r="H1937" t="s">
        <v>231</v>
      </c>
      <c r="J1937" t="s">
        <v>52</v>
      </c>
      <c r="K1937" s="15">
        <v>870000</v>
      </c>
      <c r="M1937">
        <v>45307</v>
      </c>
      <c r="N1937" t="s">
        <v>1025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 t="s">
        <v>242</v>
      </c>
      <c r="AC1937">
        <v>2</v>
      </c>
      <c r="AD1937">
        <v>900000</v>
      </c>
      <c r="AE1937">
        <v>0</v>
      </c>
      <c r="AF1937">
        <v>0</v>
      </c>
      <c r="AG1937">
        <v>56885.434211343949</v>
      </c>
      <c r="AH1937" t="s">
        <v>58</v>
      </c>
      <c r="AK1937" t="s">
        <v>798</v>
      </c>
      <c r="AL1937">
        <v>52201220</v>
      </c>
      <c r="AM1937">
        <v>25378599</v>
      </c>
      <c r="AN1937" t="s">
        <v>150</v>
      </c>
      <c r="AO1937" t="s">
        <v>438</v>
      </c>
      <c r="AP1937" t="s">
        <v>431</v>
      </c>
      <c r="AQ1937" t="s">
        <v>82</v>
      </c>
      <c r="AR1937" t="s">
        <v>83</v>
      </c>
      <c r="AT1937" t="s">
        <v>52</v>
      </c>
      <c r="AU1937">
        <v>1000</v>
      </c>
      <c r="AW1937">
        <v>45307</v>
      </c>
      <c r="AX1937" t="s">
        <v>1013</v>
      </c>
      <c r="AY1937">
        <v>0</v>
      </c>
      <c r="AZ1937">
        <v>0</v>
      </c>
      <c r="BA1937">
        <v>0</v>
      </c>
      <c r="BB1937">
        <v>667.0032758474274</v>
      </c>
      <c r="BC1937">
        <v>10908.718579571801</v>
      </c>
      <c r="BD1937">
        <v>0</v>
      </c>
      <c r="BE1937">
        <v>0</v>
      </c>
      <c r="BF1937">
        <v>79718.38097920474</v>
      </c>
      <c r="BG1937">
        <v>0</v>
      </c>
      <c r="BH1937">
        <v>0</v>
      </c>
      <c r="BI1937">
        <v>91294.102834623976</v>
      </c>
      <c r="BJ1937">
        <v>6343.8969691143584</v>
      </c>
      <c r="BK1937">
        <v>97637.999803738334</v>
      </c>
      <c r="BL1937" t="s">
        <v>242</v>
      </c>
      <c r="BM1937">
        <v>11</v>
      </c>
      <c r="BN1937">
        <v>17000</v>
      </c>
      <c r="BO1937">
        <v>0</v>
      </c>
      <c r="BP1937">
        <v>0</v>
      </c>
      <c r="BQ1937">
        <v>1103.9721769245982</v>
      </c>
      <c r="BR1937" t="s">
        <v>58</v>
      </c>
    </row>
    <row r="1938" spans="1:70" x14ac:dyDescent="0.3">
      <c r="A1938" t="s">
        <v>798</v>
      </c>
      <c r="B1938">
        <v>4142301330</v>
      </c>
      <c r="C1938">
        <v>10336950</v>
      </c>
      <c r="D1938" t="s">
        <v>702</v>
      </c>
      <c r="E1938" t="s">
        <v>446</v>
      </c>
      <c r="F1938" t="s">
        <v>430</v>
      </c>
      <c r="G1938" t="s">
        <v>230</v>
      </c>
      <c r="H1938" t="s">
        <v>234</v>
      </c>
      <c r="J1938" t="s">
        <v>52</v>
      </c>
      <c r="K1938" s="15">
        <v>260000</v>
      </c>
      <c r="M1938">
        <v>45307</v>
      </c>
      <c r="N1938" t="s">
        <v>1018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 t="s">
        <v>242</v>
      </c>
      <c r="AC1938">
        <v>1</v>
      </c>
      <c r="AD1938">
        <v>260000</v>
      </c>
      <c r="AE1938">
        <v>0</v>
      </c>
      <c r="AF1938">
        <v>0</v>
      </c>
      <c r="AG1938">
        <v>17009.345794392517</v>
      </c>
      <c r="AH1938" t="s">
        <v>58</v>
      </c>
      <c r="AK1938" t="s">
        <v>798</v>
      </c>
      <c r="AL1938">
        <v>52201830</v>
      </c>
      <c r="AM1938">
        <v>25560817</v>
      </c>
      <c r="AN1938" t="s">
        <v>167</v>
      </c>
      <c r="AO1938" t="s">
        <v>438</v>
      </c>
      <c r="AP1938" t="s">
        <v>431</v>
      </c>
      <c r="AQ1938" t="s">
        <v>82</v>
      </c>
      <c r="AR1938" t="s">
        <v>83</v>
      </c>
      <c r="AT1938" t="s">
        <v>52</v>
      </c>
      <c r="AU1938">
        <v>1850</v>
      </c>
      <c r="AW1938">
        <v>45307</v>
      </c>
      <c r="AX1938" t="s">
        <v>1013</v>
      </c>
      <c r="AY1938">
        <v>0</v>
      </c>
      <c r="AZ1938">
        <v>0</v>
      </c>
      <c r="BA1938">
        <v>0</v>
      </c>
      <c r="BB1938">
        <v>789.26733327816351</v>
      </c>
      <c r="BC1938">
        <v>19092.038474741556</v>
      </c>
      <c r="BD1938">
        <v>0</v>
      </c>
      <c r="BE1938">
        <v>0</v>
      </c>
      <c r="BF1938">
        <v>53474.06748157987</v>
      </c>
      <c r="BG1938">
        <v>0</v>
      </c>
      <c r="BH1938">
        <v>0</v>
      </c>
      <c r="BI1938">
        <v>73355.373289599593</v>
      </c>
      <c r="BJ1938">
        <v>5079.6274169424996</v>
      </c>
      <c r="BK1938">
        <v>78435.000706542094</v>
      </c>
      <c r="BL1938" t="s">
        <v>242</v>
      </c>
      <c r="BM1938">
        <v>11</v>
      </c>
      <c r="BN1938">
        <v>18500</v>
      </c>
      <c r="BO1938">
        <v>0</v>
      </c>
      <c r="BP1938">
        <v>0</v>
      </c>
      <c r="BQ1938">
        <v>1197.1483302144591</v>
      </c>
      <c r="BR1938" t="s">
        <v>58</v>
      </c>
    </row>
    <row r="1939" spans="1:70" x14ac:dyDescent="0.3">
      <c r="A1939" t="s">
        <v>798</v>
      </c>
      <c r="B1939">
        <v>4242300005</v>
      </c>
      <c r="C1939">
        <v>123246</v>
      </c>
      <c r="D1939" t="s">
        <v>939</v>
      </c>
      <c r="E1939" t="s">
        <v>444</v>
      </c>
      <c r="F1939" t="s">
        <v>431</v>
      </c>
      <c r="G1939" t="s">
        <v>237</v>
      </c>
      <c r="H1939" t="s">
        <v>231</v>
      </c>
      <c r="J1939" t="s">
        <v>52</v>
      </c>
      <c r="K1939" s="15">
        <v>5000</v>
      </c>
      <c r="M1939">
        <v>45307</v>
      </c>
      <c r="N1939" t="s">
        <v>1013</v>
      </c>
      <c r="O1939">
        <v>0</v>
      </c>
      <c r="P1939">
        <v>7489.6061972804628</v>
      </c>
      <c r="Q1939">
        <v>0</v>
      </c>
      <c r="R1939">
        <v>0</v>
      </c>
      <c r="S1939">
        <v>0</v>
      </c>
      <c r="T1939">
        <v>3282.302619364049</v>
      </c>
      <c r="U1939">
        <v>22429.906542056076</v>
      </c>
      <c r="V1939">
        <v>0</v>
      </c>
      <c r="W1939">
        <v>0</v>
      </c>
      <c r="X1939">
        <v>0</v>
      </c>
      <c r="Y1939">
        <v>33201.815358700587</v>
      </c>
      <c r="Z1939">
        <v>1799.854641299409</v>
      </c>
      <c r="AA1939">
        <v>35001.67</v>
      </c>
      <c r="AB1939" t="s">
        <v>242</v>
      </c>
      <c r="AC1939">
        <v>5</v>
      </c>
      <c r="AD1939">
        <v>32200</v>
      </c>
      <c r="AE1939">
        <v>0</v>
      </c>
      <c r="AF1939">
        <v>0</v>
      </c>
      <c r="AG1939">
        <v>1619.4602185136741</v>
      </c>
      <c r="AH1939" t="s">
        <v>58</v>
      </c>
      <c r="AK1939" t="s">
        <v>798</v>
      </c>
      <c r="AL1939">
        <v>62200013</v>
      </c>
      <c r="AM1939">
        <v>20972385</v>
      </c>
      <c r="AN1939" t="s">
        <v>76</v>
      </c>
      <c r="AO1939" t="s">
        <v>435</v>
      </c>
      <c r="AP1939" t="s">
        <v>432</v>
      </c>
      <c r="AQ1939" t="s">
        <v>82</v>
      </c>
      <c r="AR1939" t="s">
        <v>82</v>
      </c>
      <c r="AT1939" t="s">
        <v>52</v>
      </c>
      <c r="AU1939">
        <v>4000</v>
      </c>
      <c r="AW1939">
        <v>45307</v>
      </c>
      <c r="AX1939" t="s">
        <v>1013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19665.191359418066</v>
      </c>
      <c r="BG1939">
        <v>0</v>
      </c>
      <c r="BH1939">
        <v>0</v>
      </c>
      <c r="BI1939">
        <v>19665.191359418066</v>
      </c>
      <c r="BJ1939">
        <v>0</v>
      </c>
      <c r="BK1939">
        <v>19665.191359418066</v>
      </c>
      <c r="BL1939" t="s">
        <v>242</v>
      </c>
      <c r="BM1939">
        <v>17</v>
      </c>
      <c r="BN1939">
        <v>68000</v>
      </c>
      <c r="BO1939">
        <v>0</v>
      </c>
      <c r="BP1939">
        <v>0</v>
      </c>
      <c r="BQ1939">
        <v>0</v>
      </c>
      <c r="BR1939" t="s">
        <v>58</v>
      </c>
    </row>
    <row r="1940" spans="1:70" x14ac:dyDescent="0.3">
      <c r="A1940" t="s">
        <v>798</v>
      </c>
      <c r="B1940">
        <v>4242300018</v>
      </c>
      <c r="C1940">
        <v>121435</v>
      </c>
      <c r="D1940" t="s">
        <v>951</v>
      </c>
      <c r="E1940" t="s">
        <v>444</v>
      </c>
      <c r="F1940" t="s">
        <v>431</v>
      </c>
      <c r="G1940" t="s">
        <v>230</v>
      </c>
      <c r="H1940" t="s">
        <v>231</v>
      </c>
      <c r="J1940" t="s">
        <v>52</v>
      </c>
      <c r="K1940" s="15">
        <v>59000</v>
      </c>
      <c r="M1940">
        <v>45307</v>
      </c>
      <c r="N1940" t="s">
        <v>1018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 t="s">
        <v>242</v>
      </c>
      <c r="AC1940">
        <v>5</v>
      </c>
      <c r="AD1940">
        <v>218000</v>
      </c>
      <c r="AE1940">
        <v>0</v>
      </c>
      <c r="AF1940">
        <v>0</v>
      </c>
      <c r="AG1940">
        <v>9900.7182214120749</v>
      </c>
      <c r="AH1940" t="s">
        <v>58</v>
      </c>
      <c r="AK1940" t="s">
        <v>798</v>
      </c>
      <c r="AL1940">
        <v>4242300005</v>
      </c>
      <c r="AM1940">
        <v>123246</v>
      </c>
      <c r="AN1940" t="s">
        <v>939</v>
      </c>
      <c r="AO1940" t="s">
        <v>444</v>
      </c>
      <c r="AP1940" t="s">
        <v>431</v>
      </c>
      <c r="AQ1940" t="s">
        <v>237</v>
      </c>
      <c r="AR1940" t="s">
        <v>231</v>
      </c>
      <c r="AT1940" t="s">
        <v>52</v>
      </c>
      <c r="AU1940">
        <v>5000</v>
      </c>
      <c r="AW1940">
        <v>45307</v>
      </c>
      <c r="AX1940" t="s">
        <v>1013</v>
      </c>
      <c r="AY1940">
        <v>0</v>
      </c>
      <c r="AZ1940">
        <v>7489.6061972804628</v>
      </c>
      <c r="BA1940">
        <v>0</v>
      </c>
      <c r="BB1940">
        <v>0</v>
      </c>
      <c r="BC1940">
        <v>0</v>
      </c>
      <c r="BD1940">
        <v>3282.302619364049</v>
      </c>
      <c r="BE1940">
        <v>22429.906542056076</v>
      </c>
      <c r="BF1940">
        <v>0</v>
      </c>
      <c r="BG1940">
        <v>0</v>
      </c>
      <c r="BH1940">
        <v>0</v>
      </c>
      <c r="BI1940">
        <v>33201.815358700587</v>
      </c>
      <c r="BJ1940">
        <v>1799.854641299409</v>
      </c>
      <c r="BK1940">
        <v>35001.67</v>
      </c>
      <c r="BL1940" t="s">
        <v>242</v>
      </c>
      <c r="BM1940">
        <v>5</v>
      </c>
      <c r="BN1940">
        <v>32200</v>
      </c>
      <c r="BO1940">
        <v>0</v>
      </c>
      <c r="BP1940">
        <v>0</v>
      </c>
      <c r="BQ1940">
        <v>1619.4602185136741</v>
      </c>
      <c r="BR1940" t="s">
        <v>58</v>
      </c>
    </row>
    <row r="1941" spans="1:70" x14ac:dyDescent="0.3">
      <c r="A1941" t="s">
        <v>798</v>
      </c>
      <c r="B1941">
        <v>52200593</v>
      </c>
      <c r="C1941">
        <v>6101330260</v>
      </c>
      <c r="D1941" t="s">
        <v>732</v>
      </c>
      <c r="E1941" t="s">
        <v>437</v>
      </c>
      <c r="F1941" t="s">
        <v>431</v>
      </c>
      <c r="G1941" t="s">
        <v>82</v>
      </c>
      <c r="H1941" t="s">
        <v>83</v>
      </c>
      <c r="J1941" t="s">
        <v>52</v>
      </c>
      <c r="K1941" s="15">
        <v>5373</v>
      </c>
      <c r="M1941">
        <v>45308</v>
      </c>
      <c r="N1941" t="s">
        <v>1026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 t="s">
        <v>242</v>
      </c>
      <c r="AC1941">
        <v>1</v>
      </c>
      <c r="AD1941">
        <v>5373</v>
      </c>
      <c r="AE1941">
        <v>0</v>
      </c>
      <c r="AF1941">
        <v>0</v>
      </c>
      <c r="AG1941">
        <v>351.50467289719654</v>
      </c>
      <c r="AH1941" t="s">
        <v>72</v>
      </c>
      <c r="AK1941" t="s">
        <v>798</v>
      </c>
      <c r="AL1941">
        <v>4132300168</v>
      </c>
      <c r="AM1941">
        <v>9030051138</v>
      </c>
      <c r="AN1941" t="s">
        <v>696</v>
      </c>
      <c r="AO1941" t="s">
        <v>441</v>
      </c>
      <c r="AP1941" t="s">
        <v>430</v>
      </c>
      <c r="AQ1941" t="s">
        <v>230</v>
      </c>
      <c r="AR1941" t="s">
        <v>231</v>
      </c>
      <c r="AT1941" t="s">
        <v>416</v>
      </c>
      <c r="AU1941">
        <v>0.36120000000000002</v>
      </c>
      <c r="AW1941">
        <v>45308</v>
      </c>
      <c r="AX1941" t="s">
        <v>1016</v>
      </c>
      <c r="AY1941">
        <v>0</v>
      </c>
      <c r="AZ1941">
        <v>785.84474543393367</v>
      </c>
      <c r="BA1941">
        <v>0</v>
      </c>
      <c r="BB1941">
        <v>0</v>
      </c>
      <c r="BC1941">
        <v>2779.0845238356169</v>
      </c>
      <c r="BD1941">
        <v>0</v>
      </c>
      <c r="BE1941">
        <v>0</v>
      </c>
      <c r="BF1941">
        <v>0</v>
      </c>
      <c r="BG1941">
        <v>34835.382480902859</v>
      </c>
      <c r="BH1941">
        <v>0</v>
      </c>
      <c r="BI1941">
        <v>38400.311750172412</v>
      </c>
      <c r="BJ1941">
        <v>2438.4767736632002</v>
      </c>
      <c r="BK1941">
        <v>40838.78852383561</v>
      </c>
      <c r="BL1941" t="s">
        <v>242</v>
      </c>
      <c r="BM1941">
        <v>1</v>
      </c>
      <c r="BN1941">
        <v>30000</v>
      </c>
      <c r="BO1941">
        <v>0</v>
      </c>
      <c r="BP1941">
        <v>0</v>
      </c>
      <c r="BQ1941">
        <v>1774.8721788229923</v>
      </c>
      <c r="BR1941" t="s">
        <v>58</v>
      </c>
    </row>
    <row r="1942" spans="1:70" x14ac:dyDescent="0.3">
      <c r="A1942" t="s">
        <v>798</v>
      </c>
      <c r="B1942">
        <v>52200970</v>
      </c>
      <c r="C1942">
        <v>26133770</v>
      </c>
      <c r="D1942" t="s">
        <v>145</v>
      </c>
      <c r="E1942" t="s">
        <v>438</v>
      </c>
      <c r="F1942" t="s">
        <v>431</v>
      </c>
      <c r="G1942" t="s">
        <v>82</v>
      </c>
      <c r="H1942" t="s">
        <v>83</v>
      </c>
      <c r="J1942" t="s">
        <v>52</v>
      </c>
      <c r="K1942" s="15">
        <v>2000</v>
      </c>
      <c r="M1942">
        <v>45308</v>
      </c>
      <c r="N1942" t="s">
        <v>1013</v>
      </c>
      <c r="O1942">
        <v>0</v>
      </c>
      <c r="P1942">
        <v>0</v>
      </c>
      <c r="Q1942">
        <v>0</v>
      </c>
      <c r="R1942">
        <v>693.44597045436819</v>
      </c>
      <c r="S1942">
        <v>8858.7179771354058</v>
      </c>
      <c r="T1942">
        <v>0</v>
      </c>
      <c r="U1942">
        <v>0</v>
      </c>
      <c r="V1942">
        <v>38829.650696647303</v>
      </c>
      <c r="W1942">
        <v>0</v>
      </c>
      <c r="X1942">
        <v>0</v>
      </c>
      <c r="Y1942">
        <v>48381.814644237078</v>
      </c>
      <c r="Z1942">
        <v>3338.1858071647898</v>
      </c>
      <c r="AA1942">
        <v>51720.000451401866</v>
      </c>
      <c r="AB1942" t="s">
        <v>242</v>
      </c>
      <c r="AC1942">
        <v>3</v>
      </c>
      <c r="AD1942">
        <v>6835</v>
      </c>
      <c r="AE1942">
        <v>0</v>
      </c>
      <c r="AF1942">
        <v>0</v>
      </c>
      <c r="AG1942">
        <v>440.70207283346349</v>
      </c>
      <c r="AH1942" t="s">
        <v>58</v>
      </c>
      <c r="AK1942" t="s">
        <v>798</v>
      </c>
      <c r="AL1942">
        <v>52200593</v>
      </c>
      <c r="AM1942">
        <v>6101330260</v>
      </c>
      <c r="AN1942" t="s">
        <v>732</v>
      </c>
      <c r="AO1942" t="s">
        <v>437</v>
      </c>
      <c r="AP1942" t="s">
        <v>431</v>
      </c>
      <c r="AQ1942" t="s">
        <v>417</v>
      </c>
      <c r="AR1942" t="s">
        <v>83</v>
      </c>
      <c r="AT1942" t="s">
        <v>52</v>
      </c>
      <c r="AU1942">
        <v>5373</v>
      </c>
      <c r="AW1942">
        <v>45308</v>
      </c>
      <c r="AX1942" t="s">
        <v>1026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 t="s">
        <v>242</v>
      </c>
      <c r="BM1942">
        <v>1</v>
      </c>
      <c r="BN1942">
        <v>5373</v>
      </c>
      <c r="BO1942">
        <v>0</v>
      </c>
      <c r="BP1942">
        <v>0</v>
      </c>
      <c r="BQ1942">
        <v>351.50467289719654</v>
      </c>
      <c r="BR1942" t="s">
        <v>72</v>
      </c>
    </row>
    <row r="1943" spans="1:70" x14ac:dyDescent="0.3">
      <c r="A1943" t="s">
        <v>798</v>
      </c>
      <c r="B1943">
        <v>4132300168</v>
      </c>
      <c r="C1943">
        <v>9030051138</v>
      </c>
      <c r="D1943" t="s">
        <v>696</v>
      </c>
      <c r="E1943" t="s">
        <v>441</v>
      </c>
      <c r="F1943" t="s">
        <v>430</v>
      </c>
      <c r="G1943" t="s">
        <v>230</v>
      </c>
      <c r="H1943" t="s">
        <v>231</v>
      </c>
      <c r="J1943" t="s">
        <v>52</v>
      </c>
      <c r="K1943" s="15">
        <v>30000</v>
      </c>
      <c r="M1943">
        <v>45308</v>
      </c>
      <c r="N1943" t="s">
        <v>1027</v>
      </c>
      <c r="O1943">
        <v>0</v>
      </c>
      <c r="P1943">
        <v>1230.1890191514303</v>
      </c>
      <c r="Q1943">
        <v>0</v>
      </c>
      <c r="R1943">
        <v>0</v>
      </c>
      <c r="S1943">
        <v>4350.4767123287675</v>
      </c>
      <c r="T1943">
        <v>0</v>
      </c>
      <c r="U1943">
        <v>0</v>
      </c>
      <c r="V1943">
        <v>0</v>
      </c>
      <c r="W1943">
        <v>54532.533626961274</v>
      </c>
      <c r="X1943">
        <v>0</v>
      </c>
      <c r="Y1943">
        <v>60113.199358441474</v>
      </c>
      <c r="Z1943">
        <v>3817.2773538872898</v>
      </c>
      <c r="AA1943">
        <v>63930.47671232876</v>
      </c>
      <c r="AB1943" t="s">
        <v>242</v>
      </c>
      <c r="AC1943">
        <v>1</v>
      </c>
      <c r="AD1943">
        <v>30000</v>
      </c>
      <c r="AE1943">
        <v>0</v>
      </c>
      <c r="AF1943">
        <v>0</v>
      </c>
      <c r="AG1943">
        <v>1774.8721788229923</v>
      </c>
      <c r="AH1943" t="s">
        <v>72</v>
      </c>
      <c r="AK1943" t="s">
        <v>798</v>
      </c>
      <c r="AL1943">
        <v>4132300168</v>
      </c>
      <c r="AM1943">
        <v>9030051138</v>
      </c>
      <c r="AN1943" t="s">
        <v>696</v>
      </c>
      <c r="AO1943" t="s">
        <v>441</v>
      </c>
      <c r="AP1943" t="s">
        <v>430</v>
      </c>
      <c r="AQ1943" t="s">
        <v>230</v>
      </c>
      <c r="AR1943" t="s">
        <v>231</v>
      </c>
      <c r="AT1943" t="s">
        <v>52</v>
      </c>
      <c r="AU1943">
        <v>30000</v>
      </c>
      <c r="AW1943">
        <v>45308</v>
      </c>
      <c r="AX1943" t="s">
        <v>1027</v>
      </c>
      <c r="AY1943">
        <v>0</v>
      </c>
      <c r="AZ1943">
        <v>0</v>
      </c>
      <c r="BA1943">
        <v>0</v>
      </c>
      <c r="BB1943">
        <v>0</v>
      </c>
      <c r="BC1943">
        <v>779.85088829504343</v>
      </c>
      <c r="BD1943">
        <v>0</v>
      </c>
      <c r="BE1943">
        <v>0</v>
      </c>
      <c r="BF1943">
        <v>0</v>
      </c>
      <c r="BG1943">
        <v>9400.8762948977273</v>
      </c>
      <c r="BH1943">
        <v>0</v>
      </c>
      <c r="BI1943">
        <v>28205.395581163277</v>
      </c>
      <c r="BJ1943">
        <v>1797.3929426723369</v>
      </c>
      <c r="BK1943">
        <v>30002.788523835614</v>
      </c>
      <c r="BL1943" t="s">
        <v>242</v>
      </c>
      <c r="BM1943">
        <v>2</v>
      </c>
      <c r="BN1943">
        <v>60000</v>
      </c>
      <c r="BO1943">
        <v>0</v>
      </c>
      <c r="BP1943">
        <v>0</v>
      </c>
      <c r="BQ1943">
        <v>3555.2876118433524</v>
      </c>
      <c r="BR1943" t="s">
        <v>58</v>
      </c>
    </row>
    <row r="1944" spans="1:70" x14ac:dyDescent="0.3">
      <c r="A1944" t="s">
        <v>798</v>
      </c>
      <c r="B1944">
        <v>4132300168</v>
      </c>
      <c r="C1944">
        <v>9030051138</v>
      </c>
      <c r="D1944" t="s">
        <v>696</v>
      </c>
      <c r="E1944" t="s">
        <v>441</v>
      </c>
      <c r="F1944" t="s">
        <v>430</v>
      </c>
      <c r="G1944" t="s">
        <v>230</v>
      </c>
      <c r="H1944" t="s">
        <v>231</v>
      </c>
      <c r="J1944" t="s">
        <v>416</v>
      </c>
      <c r="K1944" s="15">
        <v>0.36120000000000002</v>
      </c>
      <c r="M1944">
        <v>45308</v>
      </c>
      <c r="N1944" t="s">
        <v>1016</v>
      </c>
      <c r="O1944">
        <v>0</v>
      </c>
      <c r="P1944">
        <v>785.84474543393367</v>
      </c>
      <c r="Q1944">
        <v>0</v>
      </c>
      <c r="R1944">
        <v>0</v>
      </c>
      <c r="S1944">
        <v>2779.0845238356169</v>
      </c>
      <c r="T1944">
        <v>0</v>
      </c>
      <c r="U1944">
        <v>0</v>
      </c>
      <c r="V1944">
        <v>0</v>
      </c>
      <c r="W1944">
        <v>34835.382480902859</v>
      </c>
      <c r="X1944">
        <v>0</v>
      </c>
      <c r="Y1944">
        <v>38400.311750172412</v>
      </c>
      <c r="Z1944">
        <v>2438.4767736632002</v>
      </c>
      <c r="AA1944">
        <v>40838.78852383561</v>
      </c>
      <c r="AB1944" t="s">
        <v>242</v>
      </c>
      <c r="AC1944">
        <v>1</v>
      </c>
      <c r="AD1944">
        <v>30000</v>
      </c>
      <c r="AE1944">
        <v>0</v>
      </c>
      <c r="AF1944">
        <v>0</v>
      </c>
      <c r="AG1944">
        <v>1774.8721788229923</v>
      </c>
      <c r="AH1944" t="s">
        <v>58</v>
      </c>
      <c r="AK1944" t="s">
        <v>798</v>
      </c>
      <c r="AL1944">
        <v>4132300713</v>
      </c>
      <c r="AM1944">
        <v>2080004691</v>
      </c>
      <c r="AN1944" t="s">
        <v>318</v>
      </c>
      <c r="AO1944" t="s">
        <v>441</v>
      </c>
      <c r="AP1944" t="s">
        <v>430</v>
      </c>
      <c r="AQ1944" t="s">
        <v>419</v>
      </c>
      <c r="AR1944" t="s">
        <v>231</v>
      </c>
      <c r="AT1944" t="s">
        <v>52</v>
      </c>
      <c r="AU1944">
        <v>1454</v>
      </c>
      <c r="AW1944">
        <v>45308</v>
      </c>
      <c r="AX1944" t="s">
        <v>1028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 t="s">
        <v>242</v>
      </c>
      <c r="BM1944">
        <v>7</v>
      </c>
      <c r="BN1944">
        <v>13454</v>
      </c>
      <c r="BO1944">
        <v>0</v>
      </c>
      <c r="BP1944">
        <v>0</v>
      </c>
      <c r="BQ1944">
        <v>0</v>
      </c>
      <c r="BR1944" t="s">
        <v>58</v>
      </c>
    </row>
    <row r="1945" spans="1:70" x14ac:dyDescent="0.3">
      <c r="A1945" t="s">
        <v>798</v>
      </c>
      <c r="B1945">
        <v>4132300713</v>
      </c>
      <c r="C1945">
        <v>2080004691</v>
      </c>
      <c r="D1945" t="s">
        <v>318</v>
      </c>
      <c r="E1945" t="s">
        <v>441</v>
      </c>
      <c r="F1945" t="s">
        <v>430</v>
      </c>
      <c r="G1945" t="s">
        <v>233</v>
      </c>
      <c r="H1945" t="s">
        <v>231</v>
      </c>
      <c r="J1945" t="s">
        <v>52</v>
      </c>
      <c r="K1945" s="15">
        <v>1454</v>
      </c>
      <c r="M1945">
        <v>45308</v>
      </c>
      <c r="N1945" t="s">
        <v>1028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 t="s">
        <v>242</v>
      </c>
      <c r="AC1945">
        <v>7</v>
      </c>
      <c r="AD1945">
        <v>13454</v>
      </c>
      <c r="AE1945">
        <v>0</v>
      </c>
      <c r="AF1945">
        <v>0</v>
      </c>
      <c r="AG1945">
        <v>0</v>
      </c>
      <c r="AH1945" t="s">
        <v>58</v>
      </c>
      <c r="AK1945" t="s">
        <v>798</v>
      </c>
      <c r="AL1945">
        <v>4142300600</v>
      </c>
      <c r="AM1945">
        <v>10261717</v>
      </c>
      <c r="AN1945" t="s">
        <v>202</v>
      </c>
      <c r="AO1945" t="s">
        <v>445</v>
      </c>
      <c r="AP1945" t="s">
        <v>430</v>
      </c>
      <c r="AQ1945" t="s">
        <v>230</v>
      </c>
      <c r="AR1945" t="s">
        <v>234</v>
      </c>
      <c r="AT1945" t="s">
        <v>52</v>
      </c>
      <c r="AU1945">
        <v>10000</v>
      </c>
      <c r="AW1945">
        <v>45308</v>
      </c>
      <c r="AX1945" t="s">
        <v>1013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189377.28971962622</v>
      </c>
      <c r="BI1945">
        <v>189377.28971962622</v>
      </c>
      <c r="BJ1945">
        <v>13256.410280373837</v>
      </c>
      <c r="BK1945">
        <v>202633.70000000007</v>
      </c>
      <c r="BL1945" t="s">
        <v>242</v>
      </c>
      <c r="BM1945">
        <v>7</v>
      </c>
      <c r="BN1945">
        <v>160000</v>
      </c>
      <c r="BO1945">
        <v>0</v>
      </c>
      <c r="BP1945">
        <v>0</v>
      </c>
      <c r="BQ1945">
        <v>10467.289719626166</v>
      </c>
      <c r="BR1945" t="s">
        <v>58</v>
      </c>
    </row>
    <row r="1946" spans="1:70" x14ac:dyDescent="0.3">
      <c r="A1946" t="s">
        <v>798</v>
      </c>
      <c r="B1946">
        <v>4142300600</v>
      </c>
      <c r="C1946">
        <v>10261717</v>
      </c>
      <c r="D1946" t="s">
        <v>202</v>
      </c>
      <c r="E1946" t="s">
        <v>445</v>
      </c>
      <c r="F1946" t="s">
        <v>430</v>
      </c>
      <c r="G1946" t="s">
        <v>230</v>
      </c>
      <c r="H1946" t="s">
        <v>234</v>
      </c>
      <c r="J1946" t="s">
        <v>52</v>
      </c>
      <c r="K1946" s="15">
        <v>10000</v>
      </c>
      <c r="M1946">
        <v>45308</v>
      </c>
      <c r="N1946" t="s">
        <v>1013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189377.28971962622</v>
      </c>
      <c r="Y1946">
        <v>189377.28971962622</v>
      </c>
      <c r="Z1946">
        <v>13256.410280373837</v>
      </c>
      <c r="AA1946">
        <v>202633.70000000007</v>
      </c>
      <c r="AB1946" t="s">
        <v>242</v>
      </c>
      <c r="AC1946">
        <v>7</v>
      </c>
      <c r="AD1946">
        <v>160000</v>
      </c>
      <c r="AE1946">
        <v>0</v>
      </c>
      <c r="AF1946">
        <v>0</v>
      </c>
      <c r="AG1946">
        <v>10467.289719626166</v>
      </c>
      <c r="AH1946" t="s">
        <v>58</v>
      </c>
      <c r="AK1946" t="s">
        <v>798</v>
      </c>
      <c r="AL1946">
        <v>4142301190</v>
      </c>
      <c r="AM1946">
        <v>10076213</v>
      </c>
      <c r="AN1946" t="s">
        <v>748</v>
      </c>
      <c r="AO1946" t="s">
        <v>446</v>
      </c>
      <c r="AP1946" t="s">
        <v>430</v>
      </c>
      <c r="AQ1946" t="s">
        <v>230</v>
      </c>
      <c r="AR1946" t="s">
        <v>234</v>
      </c>
      <c r="AT1946" t="s">
        <v>52</v>
      </c>
      <c r="AU1946">
        <v>11000</v>
      </c>
      <c r="AW1946">
        <v>45308</v>
      </c>
      <c r="AX1946" t="s">
        <v>1013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108979.75205607477</v>
      </c>
      <c r="BI1946">
        <v>108979.75205607477</v>
      </c>
      <c r="BJ1946">
        <v>7628.5826439252342</v>
      </c>
      <c r="BK1946">
        <v>116608.33470000001</v>
      </c>
      <c r="BL1946" t="s">
        <v>242</v>
      </c>
      <c r="BM1946">
        <v>1</v>
      </c>
      <c r="BN1946">
        <v>11000</v>
      </c>
      <c r="BO1946">
        <v>0</v>
      </c>
      <c r="BP1946">
        <v>0</v>
      </c>
      <c r="BQ1946">
        <v>719.62616822429845</v>
      </c>
      <c r="BR1946" t="s">
        <v>72</v>
      </c>
    </row>
    <row r="1947" spans="1:70" x14ac:dyDescent="0.3">
      <c r="A1947" t="s">
        <v>798</v>
      </c>
      <c r="B1947">
        <v>4142301190</v>
      </c>
      <c r="C1947">
        <v>10076213</v>
      </c>
      <c r="D1947" t="s">
        <v>748</v>
      </c>
      <c r="E1947" t="s">
        <v>446</v>
      </c>
      <c r="F1947" t="s">
        <v>430</v>
      </c>
      <c r="G1947" t="s">
        <v>230</v>
      </c>
      <c r="H1947" t="s">
        <v>234</v>
      </c>
      <c r="J1947" t="s">
        <v>52</v>
      </c>
      <c r="K1947" s="15">
        <v>11000</v>
      </c>
      <c r="M1947">
        <v>45308</v>
      </c>
      <c r="N1947" t="s">
        <v>1013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108979.75205607477</v>
      </c>
      <c r="Y1947">
        <v>108979.75205607477</v>
      </c>
      <c r="Z1947">
        <v>7628.5826439252342</v>
      </c>
      <c r="AA1947">
        <v>116608.33470000001</v>
      </c>
      <c r="AB1947" t="s">
        <v>242</v>
      </c>
      <c r="AC1947">
        <v>1</v>
      </c>
      <c r="AD1947">
        <v>11000</v>
      </c>
      <c r="AE1947">
        <v>0</v>
      </c>
      <c r="AF1947">
        <v>0</v>
      </c>
      <c r="AG1947">
        <v>719.62616822429845</v>
      </c>
      <c r="AH1947" t="s">
        <v>72</v>
      </c>
      <c r="AK1947" t="s">
        <v>798</v>
      </c>
      <c r="AL1947">
        <v>4142301540</v>
      </c>
      <c r="AM1947">
        <v>10592307</v>
      </c>
      <c r="AN1947" t="s">
        <v>760</v>
      </c>
      <c r="AO1947" t="s">
        <v>446</v>
      </c>
      <c r="AP1947" t="s">
        <v>430</v>
      </c>
      <c r="AQ1947" t="s">
        <v>230</v>
      </c>
      <c r="AR1947" t="s">
        <v>234</v>
      </c>
      <c r="AT1947" t="s">
        <v>52</v>
      </c>
      <c r="AU1947">
        <v>150000</v>
      </c>
      <c r="AW1947">
        <v>45308</v>
      </c>
      <c r="AX1947" t="s">
        <v>1029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245672.42598130839</v>
      </c>
      <c r="BI1947">
        <v>245672.42598130839</v>
      </c>
      <c r="BJ1947">
        <v>17197.069818691591</v>
      </c>
      <c r="BK1947">
        <v>262869.49579999998</v>
      </c>
      <c r="BL1947" t="s">
        <v>242</v>
      </c>
      <c r="BM1947">
        <v>1</v>
      </c>
      <c r="BN1947">
        <v>150000</v>
      </c>
      <c r="BO1947">
        <v>0</v>
      </c>
      <c r="BP1947">
        <v>0</v>
      </c>
      <c r="BQ1947">
        <v>9813.0841121495469</v>
      </c>
      <c r="BR1947" t="s">
        <v>72</v>
      </c>
    </row>
    <row r="1948" spans="1:70" x14ac:dyDescent="0.3">
      <c r="A1948" t="s">
        <v>798</v>
      </c>
      <c r="B1948">
        <v>4142301540</v>
      </c>
      <c r="C1948">
        <v>10592307</v>
      </c>
      <c r="D1948" t="s">
        <v>760</v>
      </c>
      <c r="E1948" t="s">
        <v>446</v>
      </c>
      <c r="F1948" t="s">
        <v>430</v>
      </c>
      <c r="G1948" t="s">
        <v>230</v>
      </c>
      <c r="H1948" t="s">
        <v>234</v>
      </c>
      <c r="J1948" t="s">
        <v>52</v>
      </c>
      <c r="K1948" s="15">
        <v>150000</v>
      </c>
      <c r="M1948">
        <v>45308</v>
      </c>
      <c r="N1948" t="s">
        <v>1029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245672.42598130839</v>
      </c>
      <c r="Y1948">
        <v>245672.42598130839</v>
      </c>
      <c r="Z1948">
        <v>17197.069818691591</v>
      </c>
      <c r="AA1948">
        <v>262869.49579999998</v>
      </c>
      <c r="AB1948" t="s">
        <v>242</v>
      </c>
      <c r="AC1948">
        <v>1</v>
      </c>
      <c r="AD1948">
        <v>150000</v>
      </c>
      <c r="AE1948">
        <v>0</v>
      </c>
      <c r="AF1948">
        <v>0</v>
      </c>
      <c r="AG1948">
        <v>9813.0841121495469</v>
      </c>
      <c r="AH1948" t="s">
        <v>72</v>
      </c>
      <c r="AK1948" t="s">
        <v>798</v>
      </c>
      <c r="AL1948">
        <v>52200970</v>
      </c>
      <c r="AM1948">
        <v>26133770</v>
      </c>
      <c r="AN1948" t="s">
        <v>145</v>
      </c>
      <c r="AO1948" t="s">
        <v>438</v>
      </c>
      <c r="AP1948" t="s">
        <v>431</v>
      </c>
      <c r="AQ1948" t="s">
        <v>82</v>
      </c>
      <c r="AR1948" t="s">
        <v>83</v>
      </c>
      <c r="AT1948" t="s">
        <v>52</v>
      </c>
      <c r="AU1948">
        <v>2000</v>
      </c>
      <c r="AW1948">
        <v>45308</v>
      </c>
      <c r="AX1948" t="s">
        <v>1013</v>
      </c>
      <c r="AY1948">
        <v>0</v>
      </c>
      <c r="AZ1948">
        <v>0</v>
      </c>
      <c r="BA1948">
        <v>0</v>
      </c>
      <c r="BB1948">
        <v>693.44597045436819</v>
      </c>
      <c r="BC1948">
        <v>8858.7179771354058</v>
      </c>
      <c r="BD1948">
        <v>0</v>
      </c>
      <c r="BE1948">
        <v>0</v>
      </c>
      <c r="BF1948">
        <v>38829.650696647303</v>
      </c>
      <c r="BG1948">
        <v>0</v>
      </c>
      <c r="BH1948">
        <v>0</v>
      </c>
      <c r="BI1948">
        <v>48381.814644237078</v>
      </c>
      <c r="BJ1948">
        <v>3338.1858071647898</v>
      </c>
      <c r="BK1948">
        <v>51720.000451401866</v>
      </c>
      <c r="BL1948" t="s">
        <v>242</v>
      </c>
      <c r="BM1948">
        <v>3</v>
      </c>
      <c r="BN1948">
        <v>6835</v>
      </c>
      <c r="BO1948">
        <v>0</v>
      </c>
      <c r="BP1948">
        <v>0</v>
      </c>
      <c r="BQ1948">
        <v>440.70207283346349</v>
      </c>
      <c r="BR1948" t="s">
        <v>58</v>
      </c>
    </row>
    <row r="1949" spans="1:70" x14ac:dyDescent="0.3">
      <c r="A1949" t="s">
        <v>798</v>
      </c>
      <c r="B1949">
        <v>42201150</v>
      </c>
      <c r="C1949">
        <v>2758020463</v>
      </c>
      <c r="D1949" t="s">
        <v>933</v>
      </c>
      <c r="E1949" t="s">
        <v>439</v>
      </c>
      <c r="F1949" t="s">
        <v>430</v>
      </c>
      <c r="G1949" t="s">
        <v>230</v>
      </c>
      <c r="H1949" t="s">
        <v>234</v>
      </c>
      <c r="J1949" t="s">
        <v>52</v>
      </c>
      <c r="K1949" s="15">
        <v>5000</v>
      </c>
      <c r="M1949">
        <v>45309</v>
      </c>
      <c r="N1949" t="s">
        <v>1013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312935.85981308419</v>
      </c>
      <c r="Y1949">
        <v>312935.85981308419</v>
      </c>
      <c r="Z1949">
        <v>21905.510186915893</v>
      </c>
      <c r="AA1949">
        <v>334841.37000000005</v>
      </c>
      <c r="AB1949" t="s">
        <v>242</v>
      </c>
      <c r="AC1949">
        <v>9</v>
      </c>
      <c r="AD1949">
        <v>80000</v>
      </c>
      <c r="AE1949">
        <v>0</v>
      </c>
      <c r="AF1949">
        <v>0</v>
      </c>
      <c r="AG1949">
        <v>5233.644859813081</v>
      </c>
      <c r="AH1949" t="s">
        <v>58</v>
      </c>
      <c r="AK1949" t="s">
        <v>798</v>
      </c>
      <c r="AL1949">
        <v>42201150</v>
      </c>
      <c r="AM1949">
        <v>2758020463</v>
      </c>
      <c r="AN1949" t="s">
        <v>933</v>
      </c>
      <c r="AO1949" t="s">
        <v>439</v>
      </c>
      <c r="AP1949" t="s">
        <v>430</v>
      </c>
      <c r="AQ1949" t="s">
        <v>230</v>
      </c>
      <c r="AR1949" t="s">
        <v>234</v>
      </c>
      <c r="AT1949" t="s">
        <v>52</v>
      </c>
      <c r="AU1949">
        <v>5000</v>
      </c>
      <c r="AW1949">
        <v>45309</v>
      </c>
      <c r="AX1949" t="s">
        <v>1013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312935.85981308419</v>
      </c>
      <c r="BI1949">
        <v>312935.85981308419</v>
      </c>
      <c r="BJ1949">
        <v>21905.510186915893</v>
      </c>
      <c r="BK1949">
        <v>334841.37000000005</v>
      </c>
      <c r="BL1949" t="s">
        <v>242</v>
      </c>
      <c r="BM1949">
        <v>9</v>
      </c>
      <c r="BN1949">
        <v>80000</v>
      </c>
      <c r="BO1949">
        <v>0</v>
      </c>
      <c r="BP1949">
        <v>0</v>
      </c>
      <c r="BQ1949">
        <v>5233.644859813081</v>
      </c>
      <c r="BR1949" t="s">
        <v>58</v>
      </c>
    </row>
    <row r="1950" spans="1:70" x14ac:dyDescent="0.3">
      <c r="A1950" t="s">
        <v>798</v>
      </c>
      <c r="B1950">
        <v>4142300097</v>
      </c>
      <c r="C1950">
        <v>82365</v>
      </c>
      <c r="D1950" t="s">
        <v>953</v>
      </c>
      <c r="E1950" t="s">
        <v>444</v>
      </c>
      <c r="F1950" t="s">
        <v>430</v>
      </c>
      <c r="G1950" t="s">
        <v>230</v>
      </c>
      <c r="H1950" t="s">
        <v>231</v>
      </c>
      <c r="J1950" t="s">
        <v>52</v>
      </c>
      <c r="K1950" s="15">
        <v>6000</v>
      </c>
      <c r="M1950">
        <v>45312</v>
      </c>
      <c r="N1950" t="s">
        <v>1030</v>
      </c>
      <c r="O1950">
        <v>0</v>
      </c>
      <c r="P1950">
        <v>3040.0931950084796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63122.651219618252</v>
      </c>
      <c r="X1950">
        <v>0</v>
      </c>
      <c r="Y1950">
        <v>66162.744414626737</v>
      </c>
      <c r="Z1950">
        <v>4418.5855853732783</v>
      </c>
      <c r="AA1950">
        <v>70581.330000000016</v>
      </c>
      <c r="AB1950" t="s">
        <v>242</v>
      </c>
      <c r="AC1950">
        <v>5</v>
      </c>
      <c r="AD1950">
        <v>30000</v>
      </c>
      <c r="AE1950">
        <v>0</v>
      </c>
      <c r="AF1950">
        <v>0</v>
      </c>
      <c r="AG1950">
        <v>1871.0341342528918</v>
      </c>
      <c r="AH1950" t="s">
        <v>58</v>
      </c>
      <c r="AK1950" t="s">
        <v>798</v>
      </c>
      <c r="AL1950">
        <v>4142300097</v>
      </c>
      <c r="AM1950">
        <v>82365</v>
      </c>
      <c r="AN1950" t="s">
        <v>953</v>
      </c>
      <c r="AO1950" t="s">
        <v>444</v>
      </c>
      <c r="AP1950" t="s">
        <v>430</v>
      </c>
      <c r="AQ1950" t="s">
        <v>230</v>
      </c>
      <c r="AR1950" t="s">
        <v>231</v>
      </c>
      <c r="AT1950" t="s">
        <v>52</v>
      </c>
      <c r="AU1950">
        <v>6000</v>
      </c>
      <c r="AW1950">
        <v>45312</v>
      </c>
      <c r="AX1950" t="s">
        <v>1030</v>
      </c>
      <c r="AY1950">
        <v>0</v>
      </c>
      <c r="AZ1950">
        <v>3040.0931950084796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63122.651219618252</v>
      </c>
      <c r="BH1950">
        <v>0</v>
      </c>
      <c r="BI1950">
        <v>66162.744414626737</v>
      </c>
      <c r="BJ1950">
        <v>4418.5855853732783</v>
      </c>
      <c r="BK1950">
        <v>70581.330000000016</v>
      </c>
      <c r="BL1950" t="s">
        <v>242</v>
      </c>
      <c r="BM1950">
        <v>5</v>
      </c>
      <c r="BN1950">
        <v>30000</v>
      </c>
      <c r="BO1950">
        <v>0</v>
      </c>
      <c r="BP1950">
        <v>0</v>
      </c>
      <c r="BQ1950">
        <v>1871.0341342528918</v>
      </c>
      <c r="BR1950" t="s">
        <v>58</v>
      </c>
    </row>
    <row r="1951" spans="1:70" x14ac:dyDescent="0.3">
      <c r="A1951" t="s">
        <v>798</v>
      </c>
      <c r="B1951">
        <v>52200024</v>
      </c>
      <c r="C1951">
        <v>25429489</v>
      </c>
      <c r="D1951" t="s">
        <v>769</v>
      </c>
      <c r="E1951" t="s">
        <v>435</v>
      </c>
      <c r="F1951" t="s">
        <v>431</v>
      </c>
      <c r="G1951" t="s">
        <v>230</v>
      </c>
      <c r="H1951" t="s">
        <v>231</v>
      </c>
      <c r="J1951" t="s">
        <v>672</v>
      </c>
      <c r="M1951">
        <v>45313</v>
      </c>
      <c r="N1951" t="s">
        <v>1024</v>
      </c>
      <c r="O1951">
        <v>3000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28037.383177570093</v>
      </c>
      <c r="V1951">
        <v>0</v>
      </c>
      <c r="W1951">
        <v>140186.91588785045</v>
      </c>
      <c r="X1951">
        <v>0</v>
      </c>
      <c r="Y1951">
        <v>171224.29906542055</v>
      </c>
      <c r="Z1951">
        <v>11775.700934579439</v>
      </c>
      <c r="AA1951">
        <v>183000</v>
      </c>
      <c r="AB1951" t="s">
        <v>242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 t="s">
        <v>72</v>
      </c>
      <c r="AK1951" t="s">
        <v>798</v>
      </c>
      <c r="AL1951">
        <v>4142300416</v>
      </c>
      <c r="AM1951">
        <v>10179898</v>
      </c>
      <c r="AN1951" t="s">
        <v>198</v>
      </c>
      <c r="AO1951" t="s">
        <v>445</v>
      </c>
      <c r="AP1951" t="s">
        <v>430</v>
      </c>
      <c r="AQ1951" t="s">
        <v>230</v>
      </c>
      <c r="AR1951" t="s">
        <v>234</v>
      </c>
      <c r="AT1951" t="s">
        <v>52</v>
      </c>
      <c r="AU1951">
        <v>4000</v>
      </c>
      <c r="AW1951">
        <v>45313</v>
      </c>
      <c r="AX1951" t="s">
        <v>1013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306128.02803738316</v>
      </c>
      <c r="BI1951">
        <v>306128.02803738316</v>
      </c>
      <c r="BJ1951">
        <v>21428.961962616824</v>
      </c>
      <c r="BK1951">
        <v>327556.99</v>
      </c>
      <c r="BL1951" t="s">
        <v>242</v>
      </c>
      <c r="BM1951">
        <v>12</v>
      </c>
      <c r="BN1951">
        <v>49200</v>
      </c>
      <c r="BO1951">
        <v>0</v>
      </c>
      <c r="BP1951">
        <v>0</v>
      </c>
      <c r="BQ1951">
        <v>3218.6915887850464</v>
      </c>
      <c r="BR1951" t="s">
        <v>58</v>
      </c>
    </row>
    <row r="1952" spans="1:70" x14ac:dyDescent="0.3">
      <c r="A1952" t="s">
        <v>798</v>
      </c>
      <c r="B1952">
        <v>52200360</v>
      </c>
      <c r="C1952">
        <v>25933922</v>
      </c>
      <c r="D1952" t="s">
        <v>609</v>
      </c>
      <c r="E1952" t="s">
        <v>436</v>
      </c>
      <c r="F1952" t="s">
        <v>431</v>
      </c>
      <c r="G1952" t="s">
        <v>230</v>
      </c>
      <c r="H1952" t="s">
        <v>231</v>
      </c>
      <c r="J1952" t="s">
        <v>672</v>
      </c>
      <c r="M1952">
        <v>45313</v>
      </c>
      <c r="N1952" t="s">
        <v>1024</v>
      </c>
      <c r="O1952">
        <v>3000</v>
      </c>
      <c r="P1952">
        <v>0</v>
      </c>
      <c r="Q1952">
        <v>0</v>
      </c>
      <c r="R1952">
        <v>0</v>
      </c>
      <c r="S1952">
        <v>0</v>
      </c>
      <c r="T1952">
        <v>25546.728971962617</v>
      </c>
      <c r="U1952">
        <v>0</v>
      </c>
      <c r="V1952">
        <v>0</v>
      </c>
      <c r="W1952">
        <v>79439.252336448597</v>
      </c>
      <c r="X1952">
        <v>0</v>
      </c>
      <c r="Y1952">
        <v>107985.98130841121</v>
      </c>
      <c r="Z1952">
        <v>7349.0186915887853</v>
      </c>
      <c r="AA1952">
        <v>115335</v>
      </c>
      <c r="AB1952" t="s">
        <v>242</v>
      </c>
      <c r="AC1952">
        <v>3</v>
      </c>
      <c r="AD1952">
        <v>2500</v>
      </c>
      <c r="AE1952">
        <v>0</v>
      </c>
      <c r="AF1952">
        <v>0</v>
      </c>
      <c r="AG1952">
        <v>162.49382763599152</v>
      </c>
      <c r="AH1952" t="s">
        <v>58</v>
      </c>
      <c r="AK1952" t="s">
        <v>798</v>
      </c>
      <c r="AL1952">
        <v>52200412</v>
      </c>
      <c r="AM1952">
        <v>25145601</v>
      </c>
      <c r="AN1952" t="s">
        <v>86</v>
      </c>
      <c r="AO1952" t="s">
        <v>436</v>
      </c>
      <c r="AP1952" t="s">
        <v>431</v>
      </c>
      <c r="AQ1952" t="s">
        <v>82</v>
      </c>
      <c r="AR1952" t="s">
        <v>83</v>
      </c>
      <c r="AT1952" t="s">
        <v>52</v>
      </c>
      <c r="AU1952">
        <v>1700</v>
      </c>
      <c r="AW1952">
        <v>45313</v>
      </c>
      <c r="AX1952" t="s">
        <v>1013</v>
      </c>
      <c r="AY1952">
        <v>0</v>
      </c>
      <c r="AZ1952">
        <v>0</v>
      </c>
      <c r="BA1952">
        <v>0</v>
      </c>
      <c r="BB1952">
        <v>704.41080224117036</v>
      </c>
      <c r="BC1952">
        <v>16359.053756312296</v>
      </c>
      <c r="BD1952">
        <v>0</v>
      </c>
      <c r="BE1952">
        <v>0</v>
      </c>
      <c r="BF1952">
        <v>52616.263104201244</v>
      </c>
      <c r="BG1952">
        <v>0</v>
      </c>
      <c r="BH1952">
        <v>0</v>
      </c>
      <c r="BI1952">
        <v>69679.727662754711</v>
      </c>
      <c r="BJ1952">
        <v>4828.2721802359483</v>
      </c>
      <c r="BK1952">
        <v>74507.999842990655</v>
      </c>
      <c r="BL1952" t="s">
        <v>242</v>
      </c>
      <c r="BM1952">
        <v>15</v>
      </c>
      <c r="BN1952">
        <v>18300</v>
      </c>
      <c r="BO1952">
        <v>0</v>
      </c>
      <c r="BP1952">
        <v>0</v>
      </c>
      <c r="BQ1952">
        <v>1184.9894917354038</v>
      </c>
      <c r="BR1952" t="s">
        <v>58</v>
      </c>
    </row>
    <row r="1953" spans="1:70" x14ac:dyDescent="0.3">
      <c r="A1953" t="s">
        <v>798</v>
      </c>
      <c r="B1953">
        <v>52200412</v>
      </c>
      <c r="C1953">
        <v>25145601</v>
      </c>
      <c r="D1953" t="s">
        <v>86</v>
      </c>
      <c r="E1953" t="s">
        <v>436</v>
      </c>
      <c r="F1953" t="s">
        <v>431</v>
      </c>
      <c r="G1953" t="s">
        <v>82</v>
      </c>
      <c r="H1953" t="s">
        <v>83</v>
      </c>
      <c r="J1953" t="s">
        <v>52</v>
      </c>
      <c r="K1953" s="15">
        <v>1700</v>
      </c>
      <c r="M1953">
        <v>45313</v>
      </c>
      <c r="N1953" t="s">
        <v>1013</v>
      </c>
      <c r="O1953">
        <v>0</v>
      </c>
      <c r="P1953">
        <v>0</v>
      </c>
      <c r="Q1953">
        <v>0</v>
      </c>
      <c r="R1953">
        <v>704.41080224117036</v>
      </c>
      <c r="S1953">
        <v>16359.053756312296</v>
      </c>
      <c r="T1953">
        <v>0</v>
      </c>
      <c r="U1953">
        <v>0</v>
      </c>
      <c r="V1953">
        <v>52616.263104201244</v>
      </c>
      <c r="W1953">
        <v>0</v>
      </c>
      <c r="X1953">
        <v>0</v>
      </c>
      <c r="Y1953">
        <v>69679.727662754711</v>
      </c>
      <c r="Z1953">
        <v>4828.2721802359483</v>
      </c>
      <c r="AA1953">
        <v>74507.999842990655</v>
      </c>
      <c r="AB1953" t="s">
        <v>242</v>
      </c>
      <c r="AC1953">
        <v>15</v>
      </c>
      <c r="AD1953">
        <v>18300</v>
      </c>
      <c r="AE1953">
        <v>0</v>
      </c>
      <c r="AF1953">
        <v>0</v>
      </c>
      <c r="AG1953">
        <v>1184.9894917354038</v>
      </c>
      <c r="AH1953" t="s">
        <v>58</v>
      </c>
      <c r="AK1953" t="s">
        <v>798</v>
      </c>
      <c r="AL1953">
        <v>52201589</v>
      </c>
      <c r="AM1953">
        <v>25928923</v>
      </c>
      <c r="AN1953" t="s">
        <v>162</v>
      </c>
      <c r="AO1953" t="s">
        <v>438</v>
      </c>
      <c r="AP1953" t="s">
        <v>431</v>
      </c>
      <c r="AQ1953" t="s">
        <v>82</v>
      </c>
      <c r="AR1953" t="s">
        <v>83</v>
      </c>
      <c r="AT1953" t="s">
        <v>52</v>
      </c>
      <c r="AU1953">
        <v>1000</v>
      </c>
      <c r="AW1953">
        <v>45313</v>
      </c>
      <c r="AX1953" t="s">
        <v>1013</v>
      </c>
      <c r="AY1953">
        <v>0</v>
      </c>
      <c r="AZ1953">
        <v>0</v>
      </c>
      <c r="BA1953">
        <v>0</v>
      </c>
      <c r="BB1953">
        <v>994.81710643891415</v>
      </c>
      <c r="BC1953">
        <v>12024.704479963626</v>
      </c>
      <c r="BD1953">
        <v>0</v>
      </c>
      <c r="BE1953">
        <v>0</v>
      </c>
      <c r="BF1953">
        <v>54655.854112149529</v>
      </c>
      <c r="BG1953">
        <v>0</v>
      </c>
      <c r="BH1953">
        <v>0</v>
      </c>
      <c r="BI1953">
        <v>67675.375698552074</v>
      </c>
      <c r="BJ1953">
        <v>4667.6391014479213</v>
      </c>
      <c r="BK1953">
        <v>72343.01479999999</v>
      </c>
      <c r="BL1953" t="s">
        <v>242</v>
      </c>
      <c r="BM1953">
        <v>3</v>
      </c>
      <c r="BN1953">
        <v>3000</v>
      </c>
      <c r="BO1953">
        <v>0</v>
      </c>
      <c r="BP1953">
        <v>0</v>
      </c>
      <c r="BQ1953">
        <v>193.37121257077013</v>
      </c>
      <c r="BR1953" t="s">
        <v>58</v>
      </c>
    </row>
    <row r="1954" spans="1:70" x14ac:dyDescent="0.3">
      <c r="A1954" t="s">
        <v>798</v>
      </c>
      <c r="B1954">
        <v>52201589</v>
      </c>
      <c r="C1954">
        <v>25928923</v>
      </c>
      <c r="D1954" t="s">
        <v>162</v>
      </c>
      <c r="E1954" t="s">
        <v>438</v>
      </c>
      <c r="F1954" t="s">
        <v>431</v>
      </c>
      <c r="G1954" t="s">
        <v>82</v>
      </c>
      <c r="H1954" t="s">
        <v>83</v>
      </c>
      <c r="J1954" t="s">
        <v>52</v>
      </c>
      <c r="K1954" s="15">
        <v>1000</v>
      </c>
      <c r="M1954">
        <v>45313</v>
      </c>
      <c r="N1954" t="s">
        <v>1013</v>
      </c>
      <c r="O1954">
        <v>0</v>
      </c>
      <c r="P1954">
        <v>0</v>
      </c>
      <c r="Q1954">
        <v>0</v>
      </c>
      <c r="R1954">
        <v>994.81710643891415</v>
      </c>
      <c r="S1954">
        <v>12024.704479963626</v>
      </c>
      <c r="T1954">
        <v>0</v>
      </c>
      <c r="U1954">
        <v>0</v>
      </c>
      <c r="V1954">
        <v>54655.854112149529</v>
      </c>
      <c r="W1954">
        <v>0</v>
      </c>
      <c r="X1954">
        <v>0</v>
      </c>
      <c r="Y1954">
        <v>67675.375698552074</v>
      </c>
      <c r="Z1954">
        <v>4667.6391014479213</v>
      </c>
      <c r="AA1954">
        <v>72343.01479999999</v>
      </c>
      <c r="AB1954" t="s">
        <v>242</v>
      </c>
      <c r="AC1954">
        <v>3</v>
      </c>
      <c r="AD1954">
        <v>3000</v>
      </c>
      <c r="AE1954">
        <v>0</v>
      </c>
      <c r="AF1954">
        <v>0</v>
      </c>
      <c r="AG1954">
        <v>193.37121257077013</v>
      </c>
      <c r="AH1954" t="s">
        <v>58</v>
      </c>
      <c r="AK1954" t="s">
        <v>798</v>
      </c>
      <c r="AL1954">
        <v>52200024</v>
      </c>
      <c r="AM1954">
        <v>25429489</v>
      </c>
      <c r="AN1954" t="s">
        <v>769</v>
      </c>
      <c r="AO1954" t="s">
        <v>435</v>
      </c>
      <c r="AP1954" t="s">
        <v>431</v>
      </c>
      <c r="AQ1954" t="s">
        <v>230</v>
      </c>
      <c r="AR1954" t="s">
        <v>231</v>
      </c>
      <c r="AT1954" t="s">
        <v>672</v>
      </c>
      <c r="AW1954">
        <v>45313</v>
      </c>
      <c r="AX1954" t="s">
        <v>1024</v>
      </c>
      <c r="AY1954">
        <v>3000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28037.383177570093</v>
      </c>
      <c r="BF1954">
        <v>0</v>
      </c>
      <c r="BG1954">
        <v>140186.91588785045</v>
      </c>
      <c r="BH1954">
        <v>0</v>
      </c>
      <c r="BI1954">
        <v>171224.29906542055</v>
      </c>
      <c r="BJ1954">
        <v>11775.700934579439</v>
      </c>
      <c r="BK1954">
        <v>183000</v>
      </c>
      <c r="BL1954" t="s">
        <v>242</v>
      </c>
      <c r="BM1954">
        <v>0</v>
      </c>
      <c r="BN1954">
        <v>0</v>
      </c>
      <c r="BO1954">
        <v>0</v>
      </c>
      <c r="BP1954">
        <v>0</v>
      </c>
      <c r="BQ1954">
        <v>0</v>
      </c>
      <c r="BR1954" t="s">
        <v>72</v>
      </c>
    </row>
    <row r="1955" spans="1:70" x14ac:dyDescent="0.3">
      <c r="A1955" t="s">
        <v>798</v>
      </c>
      <c r="B1955">
        <v>4142300416</v>
      </c>
      <c r="C1955">
        <v>10179898</v>
      </c>
      <c r="D1955" t="s">
        <v>198</v>
      </c>
      <c r="E1955" t="s">
        <v>445</v>
      </c>
      <c r="F1955" t="s">
        <v>430</v>
      </c>
      <c r="G1955" t="s">
        <v>230</v>
      </c>
      <c r="H1955" t="s">
        <v>234</v>
      </c>
      <c r="J1955" t="s">
        <v>52</v>
      </c>
      <c r="K1955" s="15">
        <v>4000</v>
      </c>
      <c r="M1955">
        <v>45313</v>
      </c>
      <c r="N1955" t="s">
        <v>1013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306128.02803738316</v>
      </c>
      <c r="Y1955">
        <v>306128.02803738316</v>
      </c>
      <c r="Z1955">
        <v>21428.961962616824</v>
      </c>
      <c r="AA1955">
        <v>327556.99</v>
      </c>
      <c r="AB1955" t="s">
        <v>242</v>
      </c>
      <c r="AC1955">
        <v>12</v>
      </c>
      <c r="AD1955">
        <v>49200</v>
      </c>
      <c r="AE1955">
        <v>0</v>
      </c>
      <c r="AF1955">
        <v>0</v>
      </c>
      <c r="AG1955">
        <v>3218.6915887850464</v>
      </c>
      <c r="AH1955" t="s">
        <v>58</v>
      </c>
      <c r="AK1955" t="s">
        <v>798</v>
      </c>
      <c r="AL1955">
        <v>52200360</v>
      </c>
      <c r="AM1955">
        <v>25933922</v>
      </c>
      <c r="AN1955" t="s">
        <v>609</v>
      </c>
      <c r="AO1955" t="s">
        <v>436</v>
      </c>
      <c r="AP1955" t="s">
        <v>431</v>
      </c>
      <c r="AQ1955" t="s">
        <v>230</v>
      </c>
      <c r="AR1955" t="s">
        <v>231</v>
      </c>
      <c r="AT1955" t="s">
        <v>672</v>
      </c>
      <c r="AW1955">
        <v>45313</v>
      </c>
      <c r="AX1955" t="s">
        <v>1024</v>
      </c>
      <c r="AY1955">
        <v>3000</v>
      </c>
      <c r="AZ1955">
        <v>0</v>
      </c>
      <c r="BA1955">
        <v>0</v>
      </c>
      <c r="BB1955">
        <v>0</v>
      </c>
      <c r="BC1955">
        <v>0</v>
      </c>
      <c r="BD1955">
        <v>25546.728971962617</v>
      </c>
      <c r="BE1955">
        <v>0</v>
      </c>
      <c r="BF1955">
        <v>0</v>
      </c>
      <c r="BG1955">
        <v>79439.252336448597</v>
      </c>
      <c r="BH1955">
        <v>0</v>
      </c>
      <c r="BI1955">
        <v>107985.98130841121</v>
      </c>
      <c r="BJ1955">
        <v>7349.0186915887853</v>
      </c>
      <c r="BK1955">
        <v>115335</v>
      </c>
      <c r="BL1955" t="s">
        <v>242</v>
      </c>
      <c r="BM1955">
        <v>3</v>
      </c>
      <c r="BN1955">
        <v>2500</v>
      </c>
      <c r="BO1955">
        <v>0</v>
      </c>
      <c r="BP1955">
        <v>0</v>
      </c>
      <c r="BQ1955">
        <v>162.49382763599152</v>
      </c>
      <c r="BR1955" t="s">
        <v>58</v>
      </c>
    </row>
    <row r="1956" spans="1:70" x14ac:dyDescent="0.3">
      <c r="A1956" t="s">
        <v>798</v>
      </c>
      <c r="B1956">
        <v>4132300375</v>
      </c>
      <c r="C1956">
        <v>1010227956</v>
      </c>
      <c r="D1956" t="s">
        <v>175</v>
      </c>
      <c r="E1956" t="s">
        <v>441</v>
      </c>
      <c r="F1956" t="s">
        <v>430</v>
      </c>
      <c r="G1956" t="s">
        <v>233</v>
      </c>
      <c r="H1956" t="s">
        <v>231</v>
      </c>
      <c r="J1956" t="s">
        <v>52</v>
      </c>
      <c r="K1956" s="15">
        <v>2000</v>
      </c>
      <c r="M1956">
        <v>45314</v>
      </c>
      <c r="N1956" t="s">
        <v>1013</v>
      </c>
      <c r="O1956">
        <v>0</v>
      </c>
      <c r="P1956">
        <v>0</v>
      </c>
      <c r="Q1956">
        <v>0</v>
      </c>
      <c r="R1956">
        <v>0</v>
      </c>
      <c r="S1956">
        <v>10375.606833558191</v>
      </c>
      <c r="T1956">
        <v>2806.0197305114852</v>
      </c>
      <c r="U1956">
        <v>0</v>
      </c>
      <c r="V1956">
        <v>0</v>
      </c>
      <c r="W1956">
        <v>0</v>
      </c>
      <c r="X1956">
        <v>0</v>
      </c>
      <c r="Y1956">
        <v>13181.626564069677</v>
      </c>
      <c r="Z1956">
        <v>196.42138113580398</v>
      </c>
      <c r="AA1956">
        <v>13378.047945205481</v>
      </c>
      <c r="AB1956" t="s">
        <v>242</v>
      </c>
      <c r="AC1956">
        <v>6</v>
      </c>
      <c r="AD1956">
        <v>12000</v>
      </c>
      <c r="AE1956">
        <v>0</v>
      </c>
      <c r="AF1956">
        <v>0</v>
      </c>
      <c r="AG1956">
        <v>163.39170297634564</v>
      </c>
      <c r="AH1956" t="s">
        <v>58</v>
      </c>
      <c r="AK1956" t="s">
        <v>798</v>
      </c>
      <c r="AL1956">
        <v>4132300375</v>
      </c>
      <c r="AM1956">
        <v>1010227956</v>
      </c>
      <c r="AN1956" t="s">
        <v>175</v>
      </c>
      <c r="AO1956" t="s">
        <v>441</v>
      </c>
      <c r="AP1956" t="s">
        <v>430</v>
      </c>
      <c r="AQ1956" t="s">
        <v>233</v>
      </c>
      <c r="AR1956" t="s">
        <v>231</v>
      </c>
      <c r="AT1956" t="s">
        <v>52</v>
      </c>
      <c r="AU1956">
        <v>2000</v>
      </c>
      <c r="AW1956">
        <v>45314</v>
      </c>
      <c r="AX1956" t="s">
        <v>1013</v>
      </c>
      <c r="AY1956">
        <v>0</v>
      </c>
      <c r="AZ1956">
        <v>0</v>
      </c>
      <c r="BA1956">
        <v>0</v>
      </c>
      <c r="BB1956">
        <v>0</v>
      </c>
      <c r="BC1956">
        <v>10375.606833558191</v>
      </c>
      <c r="BD1956">
        <v>2806.0197305114852</v>
      </c>
      <c r="BE1956">
        <v>0</v>
      </c>
      <c r="BF1956">
        <v>0</v>
      </c>
      <c r="BG1956">
        <v>0</v>
      </c>
      <c r="BH1956">
        <v>0</v>
      </c>
      <c r="BI1956">
        <v>13181.626564069677</v>
      </c>
      <c r="BJ1956">
        <v>196.42138113580398</v>
      </c>
      <c r="BK1956">
        <v>13378.047945205481</v>
      </c>
      <c r="BL1956" t="s">
        <v>242</v>
      </c>
      <c r="BM1956">
        <v>6</v>
      </c>
      <c r="BN1956">
        <v>12000</v>
      </c>
      <c r="BO1956">
        <v>0</v>
      </c>
      <c r="BP1956">
        <v>0</v>
      </c>
      <c r="BQ1956">
        <v>163.39170297634564</v>
      </c>
      <c r="BR1956" t="s">
        <v>58</v>
      </c>
    </row>
    <row r="1957" spans="1:70" x14ac:dyDescent="0.3">
      <c r="A1957" t="s">
        <v>798</v>
      </c>
      <c r="B1957">
        <v>4142300080</v>
      </c>
      <c r="C1957">
        <v>107356</v>
      </c>
      <c r="D1957" t="s">
        <v>954</v>
      </c>
      <c r="E1957" t="s">
        <v>444</v>
      </c>
      <c r="F1957" t="s">
        <v>430</v>
      </c>
      <c r="G1957" t="s">
        <v>237</v>
      </c>
      <c r="H1957" t="s">
        <v>231</v>
      </c>
      <c r="J1957" t="s">
        <v>425</v>
      </c>
      <c r="K1957" s="15">
        <v>900000</v>
      </c>
      <c r="M1957">
        <v>45314</v>
      </c>
      <c r="N1957" t="s">
        <v>1023</v>
      </c>
      <c r="O1957">
        <v>0</v>
      </c>
      <c r="P1957">
        <v>72991</v>
      </c>
      <c r="Q1957">
        <v>0</v>
      </c>
      <c r="R1957">
        <v>0</v>
      </c>
      <c r="S1957">
        <v>0</v>
      </c>
      <c r="T1957">
        <v>92897.177570093452</v>
      </c>
      <c r="U1957">
        <v>0</v>
      </c>
      <c r="V1957">
        <v>0</v>
      </c>
      <c r="W1957">
        <v>2226324.2990654204</v>
      </c>
      <c r="X1957">
        <v>0</v>
      </c>
      <c r="Y1957">
        <v>2392212.4766355138</v>
      </c>
      <c r="Z1957">
        <v>162345.50336448598</v>
      </c>
      <c r="AA1957">
        <v>2554557.98</v>
      </c>
      <c r="AB1957" t="s">
        <v>331</v>
      </c>
      <c r="AC1957">
        <v>0</v>
      </c>
      <c r="AD1957">
        <v>0</v>
      </c>
      <c r="AE1957">
        <v>0</v>
      </c>
      <c r="AF1957">
        <v>963000</v>
      </c>
      <c r="AG1957">
        <v>63000</v>
      </c>
      <c r="AH1957" t="s">
        <v>72</v>
      </c>
      <c r="AK1957" t="s">
        <v>798</v>
      </c>
      <c r="AL1957">
        <v>4142300080</v>
      </c>
      <c r="AM1957">
        <v>107356</v>
      </c>
      <c r="AN1957" t="s">
        <v>954</v>
      </c>
      <c r="AO1957" t="s">
        <v>444</v>
      </c>
      <c r="AP1957" t="s">
        <v>430</v>
      </c>
      <c r="AQ1957" t="s">
        <v>237</v>
      </c>
      <c r="AR1957" t="s">
        <v>231</v>
      </c>
      <c r="AT1957" t="s">
        <v>425</v>
      </c>
      <c r="AU1957">
        <v>900000</v>
      </c>
      <c r="AW1957">
        <v>45314</v>
      </c>
      <c r="AX1957" t="s">
        <v>1023</v>
      </c>
      <c r="AY1957">
        <v>0</v>
      </c>
      <c r="AZ1957">
        <v>72991</v>
      </c>
      <c r="BA1957">
        <v>0</v>
      </c>
      <c r="BB1957">
        <v>0</v>
      </c>
      <c r="BC1957">
        <v>0</v>
      </c>
      <c r="BD1957">
        <v>92897.177570093452</v>
      </c>
      <c r="BE1957">
        <v>0</v>
      </c>
      <c r="BF1957">
        <v>0</v>
      </c>
      <c r="BG1957">
        <v>2226324.2990654204</v>
      </c>
      <c r="BH1957">
        <v>0</v>
      </c>
      <c r="BI1957">
        <v>2392212.4766355138</v>
      </c>
      <c r="BJ1957">
        <v>162345.50336448598</v>
      </c>
      <c r="BK1957">
        <v>2554557.98</v>
      </c>
      <c r="BL1957" t="s">
        <v>331</v>
      </c>
      <c r="BM1957">
        <v>0</v>
      </c>
      <c r="BN1957">
        <v>0</v>
      </c>
      <c r="BO1957">
        <v>0</v>
      </c>
      <c r="BP1957">
        <v>963000</v>
      </c>
      <c r="BQ1957">
        <v>63000</v>
      </c>
      <c r="BR1957" t="s">
        <v>72</v>
      </c>
    </row>
    <row r="1958" spans="1:70" x14ac:dyDescent="0.3">
      <c r="A1958" t="s">
        <v>798</v>
      </c>
      <c r="B1958">
        <v>4132300266</v>
      </c>
      <c r="C1958">
        <v>1100168312</v>
      </c>
      <c r="D1958" t="s">
        <v>173</v>
      </c>
      <c r="E1958" t="s">
        <v>441</v>
      </c>
      <c r="F1958" t="s">
        <v>430</v>
      </c>
      <c r="G1958" t="s">
        <v>235</v>
      </c>
      <c r="H1958" t="s">
        <v>236</v>
      </c>
      <c r="J1958" t="s">
        <v>52</v>
      </c>
      <c r="K1958" s="15">
        <v>2000</v>
      </c>
      <c r="M1958">
        <v>45315</v>
      </c>
      <c r="N1958" t="s">
        <v>1013</v>
      </c>
      <c r="O1958">
        <v>0</v>
      </c>
      <c r="P1958">
        <v>0</v>
      </c>
      <c r="Q1958">
        <v>0</v>
      </c>
      <c r="R1958">
        <v>0</v>
      </c>
      <c r="S1958">
        <v>82372.055187778897</v>
      </c>
      <c r="T1958">
        <v>0</v>
      </c>
      <c r="U1958">
        <v>0</v>
      </c>
      <c r="V1958">
        <v>215105.10781323953</v>
      </c>
      <c r="W1958">
        <v>0</v>
      </c>
      <c r="X1958">
        <v>0</v>
      </c>
      <c r="Y1958">
        <v>297477.16300101846</v>
      </c>
      <c r="Z1958">
        <v>15057.357546926769</v>
      </c>
      <c r="AA1958">
        <v>312534.52054794523</v>
      </c>
      <c r="AB1958" t="s">
        <v>242</v>
      </c>
      <c r="AC1958">
        <v>3</v>
      </c>
      <c r="AD1958">
        <v>6000</v>
      </c>
      <c r="AE1958">
        <v>0</v>
      </c>
      <c r="AF1958">
        <v>0</v>
      </c>
      <c r="AG1958">
        <v>283.76394840033436</v>
      </c>
      <c r="AH1958" t="s">
        <v>58</v>
      </c>
      <c r="AK1958" t="s">
        <v>798</v>
      </c>
      <c r="AL1958">
        <v>4312300010</v>
      </c>
      <c r="AM1958" t="s">
        <v>517</v>
      </c>
      <c r="AN1958" t="s">
        <v>956</v>
      </c>
      <c r="AO1958" t="s">
        <v>448</v>
      </c>
      <c r="AP1958" t="s">
        <v>433</v>
      </c>
      <c r="AQ1958" t="s">
        <v>82</v>
      </c>
      <c r="AR1958" t="s">
        <v>71</v>
      </c>
      <c r="AT1958" t="s">
        <v>416</v>
      </c>
      <c r="AU1958">
        <v>0.39905531495510949</v>
      </c>
      <c r="AW1958">
        <v>45315</v>
      </c>
      <c r="AX1958" t="s">
        <v>1016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112149.53271028036</v>
      </c>
      <c r="BI1958">
        <v>112149.53271028036</v>
      </c>
      <c r="BJ1958">
        <v>7850.467289719626</v>
      </c>
      <c r="BK1958">
        <v>119999.99999999999</v>
      </c>
      <c r="BL1958" t="s">
        <v>242</v>
      </c>
      <c r="BM1958">
        <v>2</v>
      </c>
      <c r="BN1958">
        <v>124973.8</v>
      </c>
      <c r="BO1958">
        <v>0</v>
      </c>
      <c r="BP1958">
        <v>0</v>
      </c>
      <c r="BQ1958">
        <v>8175.8560747663541</v>
      </c>
      <c r="BR1958" t="s">
        <v>58</v>
      </c>
    </row>
    <row r="1959" spans="1:70" x14ac:dyDescent="0.3">
      <c r="A1959" t="s">
        <v>798</v>
      </c>
      <c r="B1959">
        <v>4142300044</v>
      </c>
      <c r="C1959">
        <v>120810</v>
      </c>
      <c r="D1959" t="s">
        <v>955</v>
      </c>
      <c r="E1959" t="s">
        <v>444</v>
      </c>
      <c r="F1959" t="s">
        <v>430</v>
      </c>
      <c r="G1959" t="s">
        <v>233</v>
      </c>
      <c r="H1959" t="s">
        <v>231</v>
      </c>
      <c r="J1959" t="s">
        <v>52</v>
      </c>
      <c r="K1959" s="15">
        <v>1637</v>
      </c>
      <c r="M1959">
        <v>45315</v>
      </c>
      <c r="N1959" t="s">
        <v>1013</v>
      </c>
      <c r="O1959">
        <v>0</v>
      </c>
      <c r="P1959">
        <v>0</v>
      </c>
      <c r="Q1959">
        <v>12952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12952</v>
      </c>
      <c r="Z1959">
        <v>0</v>
      </c>
      <c r="AA1959">
        <v>12952</v>
      </c>
      <c r="AB1959" t="s">
        <v>242</v>
      </c>
      <c r="AC1959">
        <v>6</v>
      </c>
      <c r="AD1959">
        <v>13048</v>
      </c>
      <c r="AE1959">
        <v>0</v>
      </c>
      <c r="AF1959">
        <v>0</v>
      </c>
      <c r="AG1959">
        <v>0</v>
      </c>
      <c r="AH1959" t="s">
        <v>58</v>
      </c>
      <c r="AK1959" t="s">
        <v>798</v>
      </c>
      <c r="AL1959">
        <v>4132300266</v>
      </c>
      <c r="AM1959">
        <v>1100168312</v>
      </c>
      <c r="AN1959" t="s">
        <v>173</v>
      </c>
      <c r="AO1959" t="s">
        <v>441</v>
      </c>
      <c r="AP1959" t="s">
        <v>430</v>
      </c>
      <c r="AQ1959" t="s">
        <v>235</v>
      </c>
      <c r="AR1959" t="s">
        <v>236</v>
      </c>
      <c r="AT1959" t="s">
        <v>52</v>
      </c>
      <c r="AU1959">
        <v>2000</v>
      </c>
      <c r="AW1959">
        <v>45315</v>
      </c>
      <c r="AX1959" t="s">
        <v>1013</v>
      </c>
      <c r="AY1959">
        <v>0</v>
      </c>
      <c r="AZ1959">
        <v>0</v>
      </c>
      <c r="BA1959">
        <v>0</v>
      </c>
      <c r="BB1959">
        <v>0</v>
      </c>
      <c r="BC1959">
        <v>82372.055187778897</v>
      </c>
      <c r="BD1959">
        <v>0</v>
      </c>
      <c r="BE1959">
        <v>0</v>
      </c>
      <c r="BF1959">
        <v>215105.10781323953</v>
      </c>
      <c r="BG1959">
        <v>0</v>
      </c>
      <c r="BH1959">
        <v>0</v>
      </c>
      <c r="BI1959">
        <v>297477.16300101846</v>
      </c>
      <c r="BJ1959">
        <v>15057.357546926769</v>
      </c>
      <c r="BK1959">
        <v>312534.52054794523</v>
      </c>
      <c r="BL1959" t="s">
        <v>242</v>
      </c>
      <c r="BM1959">
        <v>3</v>
      </c>
      <c r="BN1959">
        <v>6000</v>
      </c>
      <c r="BO1959">
        <v>0</v>
      </c>
      <c r="BP1959">
        <v>0</v>
      </c>
      <c r="BQ1959">
        <v>283.76394840033436</v>
      </c>
      <c r="BR1959" t="s">
        <v>58</v>
      </c>
    </row>
    <row r="1960" spans="1:70" x14ac:dyDescent="0.3">
      <c r="A1960" t="s">
        <v>798</v>
      </c>
      <c r="B1960">
        <v>4142300249</v>
      </c>
      <c r="C1960">
        <v>10103014</v>
      </c>
      <c r="D1960" t="s">
        <v>709</v>
      </c>
      <c r="E1960" t="s">
        <v>445</v>
      </c>
      <c r="F1960" t="s">
        <v>430</v>
      </c>
      <c r="G1960" t="s">
        <v>237</v>
      </c>
      <c r="H1960" t="s">
        <v>234</v>
      </c>
      <c r="J1960" t="s">
        <v>425</v>
      </c>
      <c r="K1960" s="15">
        <v>99000</v>
      </c>
      <c r="M1960">
        <v>45315</v>
      </c>
      <c r="N1960" t="s">
        <v>1023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187162.61682242993</v>
      </c>
      <c r="Y1960">
        <v>187162.61682242993</v>
      </c>
      <c r="Z1960">
        <v>13101.383177570096</v>
      </c>
      <c r="AA1960">
        <v>200264.00000000003</v>
      </c>
      <c r="AB1960" t="s">
        <v>242</v>
      </c>
      <c r="AC1960">
        <v>0</v>
      </c>
      <c r="AD1960">
        <v>0</v>
      </c>
      <c r="AE1960">
        <v>0</v>
      </c>
      <c r="AF1960">
        <v>105930</v>
      </c>
      <c r="AG1960">
        <v>6930</v>
      </c>
      <c r="AH1960" t="s">
        <v>72</v>
      </c>
      <c r="AK1960" t="s">
        <v>798</v>
      </c>
      <c r="AL1960">
        <v>4142300044</v>
      </c>
      <c r="AM1960">
        <v>120810</v>
      </c>
      <c r="AN1960" t="s">
        <v>955</v>
      </c>
      <c r="AO1960" t="s">
        <v>444</v>
      </c>
      <c r="AP1960" t="s">
        <v>430</v>
      </c>
      <c r="AQ1960" t="s">
        <v>233</v>
      </c>
      <c r="AR1960" t="s">
        <v>231</v>
      </c>
      <c r="AT1960" t="s">
        <v>52</v>
      </c>
      <c r="AU1960">
        <v>1637</v>
      </c>
      <c r="AW1960">
        <v>45315</v>
      </c>
      <c r="AX1960" t="s">
        <v>1013</v>
      </c>
      <c r="AY1960">
        <v>0</v>
      </c>
      <c r="AZ1960">
        <v>0</v>
      </c>
      <c r="BA1960">
        <v>12952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12952</v>
      </c>
      <c r="BJ1960">
        <v>0</v>
      </c>
      <c r="BK1960">
        <v>12952</v>
      </c>
      <c r="BL1960" t="s">
        <v>242</v>
      </c>
      <c r="BM1960">
        <v>6</v>
      </c>
      <c r="BN1960">
        <v>13048</v>
      </c>
      <c r="BO1960">
        <v>0</v>
      </c>
      <c r="BP1960">
        <v>0</v>
      </c>
      <c r="BQ1960">
        <v>0</v>
      </c>
      <c r="BR1960" t="s">
        <v>58</v>
      </c>
    </row>
    <row r="1961" spans="1:70" x14ac:dyDescent="0.3">
      <c r="A1961" t="s">
        <v>798</v>
      </c>
      <c r="B1961">
        <v>4142300938</v>
      </c>
      <c r="C1961">
        <v>10454206</v>
      </c>
      <c r="D1961" t="s">
        <v>721</v>
      </c>
      <c r="E1961" t="s">
        <v>445</v>
      </c>
      <c r="F1961" t="s">
        <v>430</v>
      </c>
      <c r="G1961" t="s">
        <v>237</v>
      </c>
      <c r="H1961" t="s">
        <v>234</v>
      </c>
      <c r="J1961" t="s">
        <v>450</v>
      </c>
      <c r="K1961" s="15">
        <v>54000</v>
      </c>
      <c r="M1961">
        <v>45315</v>
      </c>
      <c r="N1961" t="s">
        <v>1031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200400.29445653563</v>
      </c>
      <c r="Y1961">
        <v>200400.29445653563</v>
      </c>
      <c r="Z1961">
        <v>14028.020611957496</v>
      </c>
      <c r="AA1961">
        <v>214428.31506849313</v>
      </c>
      <c r="AB1961" t="s">
        <v>242</v>
      </c>
      <c r="AC1961">
        <v>0</v>
      </c>
      <c r="AD1961">
        <v>0</v>
      </c>
      <c r="AE1961">
        <v>0</v>
      </c>
      <c r="AF1961">
        <v>54000</v>
      </c>
      <c r="AG1961">
        <v>3532.7102803738308</v>
      </c>
      <c r="AH1961" t="s">
        <v>72</v>
      </c>
      <c r="AK1961" t="s">
        <v>798</v>
      </c>
      <c r="AL1961">
        <v>4142300249</v>
      </c>
      <c r="AM1961">
        <v>10103014</v>
      </c>
      <c r="AN1961" t="s">
        <v>709</v>
      </c>
      <c r="AO1961" t="s">
        <v>445</v>
      </c>
      <c r="AP1961" t="s">
        <v>430</v>
      </c>
      <c r="AQ1961" t="s">
        <v>237</v>
      </c>
      <c r="AR1961" t="s">
        <v>234</v>
      </c>
      <c r="AT1961" t="s">
        <v>425</v>
      </c>
      <c r="AU1961">
        <v>99000</v>
      </c>
      <c r="AW1961">
        <v>45315</v>
      </c>
      <c r="AX1961" t="s">
        <v>1023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187162.61682242993</v>
      </c>
      <c r="BI1961">
        <v>187162.61682242993</v>
      </c>
      <c r="BJ1961">
        <v>13101.383177570096</v>
      </c>
      <c r="BK1961">
        <v>200264.00000000003</v>
      </c>
      <c r="BL1961" t="s">
        <v>242</v>
      </c>
      <c r="BM1961">
        <v>0</v>
      </c>
      <c r="BN1961">
        <v>0</v>
      </c>
      <c r="BO1961">
        <v>0</v>
      </c>
      <c r="BP1961">
        <v>105930</v>
      </c>
      <c r="BQ1961">
        <v>6930</v>
      </c>
      <c r="BR1961" t="s">
        <v>72</v>
      </c>
    </row>
    <row r="1962" spans="1:70" x14ac:dyDescent="0.3">
      <c r="A1962" t="s">
        <v>798</v>
      </c>
      <c r="B1962">
        <v>4142301139</v>
      </c>
      <c r="C1962">
        <v>10082313</v>
      </c>
      <c r="D1962" t="s">
        <v>725</v>
      </c>
      <c r="E1962" t="s">
        <v>445</v>
      </c>
      <c r="F1962" t="s">
        <v>430</v>
      </c>
      <c r="G1962" t="s">
        <v>237</v>
      </c>
      <c r="H1962" t="s">
        <v>234</v>
      </c>
      <c r="J1962" t="s">
        <v>450</v>
      </c>
      <c r="K1962" s="15">
        <v>40000</v>
      </c>
      <c r="M1962">
        <v>45315</v>
      </c>
      <c r="N1962" t="s">
        <v>1031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254008.41121495326</v>
      </c>
      <c r="Y1962">
        <v>254008.41121495326</v>
      </c>
      <c r="Z1962">
        <v>17780.58878504673</v>
      </c>
      <c r="AA1962">
        <v>271789</v>
      </c>
      <c r="AB1962" t="s">
        <v>242</v>
      </c>
      <c r="AC1962">
        <v>0</v>
      </c>
      <c r="AD1962">
        <v>0</v>
      </c>
      <c r="AE1962">
        <v>0</v>
      </c>
      <c r="AF1962">
        <v>40000</v>
      </c>
      <c r="AG1962">
        <v>2616.8224299065405</v>
      </c>
      <c r="AH1962" t="s">
        <v>72</v>
      </c>
      <c r="AK1962" t="s">
        <v>798</v>
      </c>
      <c r="AL1962">
        <v>4142300938</v>
      </c>
      <c r="AM1962">
        <v>10454206</v>
      </c>
      <c r="AN1962" t="s">
        <v>721</v>
      </c>
      <c r="AO1962" t="s">
        <v>445</v>
      </c>
      <c r="AP1962" t="s">
        <v>430</v>
      </c>
      <c r="AQ1962" t="s">
        <v>237</v>
      </c>
      <c r="AR1962" t="s">
        <v>234</v>
      </c>
      <c r="AT1962" t="s">
        <v>450</v>
      </c>
      <c r="AU1962">
        <v>54000</v>
      </c>
      <c r="AW1962">
        <v>45315</v>
      </c>
      <c r="AX1962" t="s">
        <v>1031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200400.29445653563</v>
      </c>
      <c r="BI1962">
        <v>200400.29445653563</v>
      </c>
      <c r="BJ1962">
        <v>14028.020611957496</v>
      </c>
      <c r="BK1962">
        <v>214428.31506849313</v>
      </c>
      <c r="BL1962" t="s">
        <v>242</v>
      </c>
      <c r="BM1962">
        <v>0</v>
      </c>
      <c r="BN1962">
        <v>0</v>
      </c>
      <c r="BO1962">
        <v>0</v>
      </c>
      <c r="BP1962">
        <v>54000</v>
      </c>
      <c r="BQ1962">
        <v>3532.7102803738308</v>
      </c>
      <c r="BR1962" t="s">
        <v>72</v>
      </c>
    </row>
    <row r="1963" spans="1:70" x14ac:dyDescent="0.3">
      <c r="A1963" t="s">
        <v>798</v>
      </c>
      <c r="B1963">
        <v>4312300010</v>
      </c>
      <c r="C1963" t="s">
        <v>517</v>
      </c>
      <c r="D1963" t="s">
        <v>956</v>
      </c>
      <c r="E1963" t="s">
        <v>448</v>
      </c>
      <c r="F1963" t="s">
        <v>433</v>
      </c>
      <c r="G1963" t="s">
        <v>82</v>
      </c>
      <c r="H1963" t="s">
        <v>71</v>
      </c>
      <c r="J1963" t="s">
        <v>416</v>
      </c>
      <c r="K1963" s="15">
        <v>0.39905531495510949</v>
      </c>
      <c r="M1963">
        <v>45315</v>
      </c>
      <c r="N1963" t="s">
        <v>1016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 t="s">
        <v>242</v>
      </c>
      <c r="AC1963">
        <v>3</v>
      </c>
      <c r="AD1963">
        <v>244973.8</v>
      </c>
      <c r="AE1963">
        <v>0</v>
      </c>
      <c r="AF1963">
        <v>0</v>
      </c>
      <c r="AG1963">
        <v>16026.323364485983</v>
      </c>
      <c r="AH1963" t="s">
        <v>58</v>
      </c>
      <c r="AK1963" t="s">
        <v>798</v>
      </c>
      <c r="AL1963">
        <v>4142301139</v>
      </c>
      <c r="AM1963">
        <v>10082313</v>
      </c>
      <c r="AN1963" t="s">
        <v>725</v>
      </c>
      <c r="AO1963" t="s">
        <v>445</v>
      </c>
      <c r="AP1963" t="s">
        <v>430</v>
      </c>
      <c r="AQ1963" t="s">
        <v>237</v>
      </c>
      <c r="AR1963" t="s">
        <v>234</v>
      </c>
      <c r="AT1963" t="s">
        <v>450</v>
      </c>
      <c r="AU1963">
        <v>40000</v>
      </c>
      <c r="AW1963">
        <v>45315</v>
      </c>
      <c r="AX1963" t="s">
        <v>1031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254008.41121495326</v>
      </c>
      <c r="BI1963">
        <v>254008.41121495326</v>
      </c>
      <c r="BJ1963">
        <v>17780.58878504673</v>
      </c>
      <c r="BK1963">
        <v>271789</v>
      </c>
      <c r="BL1963" t="s">
        <v>242</v>
      </c>
      <c r="BM1963">
        <v>0</v>
      </c>
      <c r="BN1963">
        <v>0</v>
      </c>
      <c r="BO1963">
        <v>0</v>
      </c>
      <c r="BP1963">
        <v>40000</v>
      </c>
      <c r="BQ1963">
        <v>2616.8224299065405</v>
      </c>
      <c r="BR1963" t="s">
        <v>72</v>
      </c>
    </row>
    <row r="1964" spans="1:70" x14ac:dyDescent="0.3">
      <c r="A1964" t="s">
        <v>798</v>
      </c>
      <c r="B1964">
        <v>2200001</v>
      </c>
      <c r="C1964">
        <v>22961523</v>
      </c>
      <c r="D1964" t="s">
        <v>407</v>
      </c>
      <c r="E1964" t="s">
        <v>435</v>
      </c>
      <c r="F1964" t="s">
        <v>675</v>
      </c>
      <c r="G1964" t="s">
        <v>235</v>
      </c>
      <c r="H1964" t="s">
        <v>235</v>
      </c>
      <c r="J1964" t="s">
        <v>52</v>
      </c>
      <c r="K1964" s="15">
        <v>3000</v>
      </c>
      <c r="M1964">
        <v>45316</v>
      </c>
      <c r="N1964" t="s">
        <v>1013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33246.990000000005</v>
      </c>
      <c r="W1964">
        <v>0</v>
      </c>
      <c r="X1964">
        <v>0</v>
      </c>
      <c r="Y1964">
        <v>33246.990000000005</v>
      </c>
      <c r="Z1964">
        <v>0</v>
      </c>
      <c r="AA1964">
        <v>33246.990000000005</v>
      </c>
      <c r="AB1964" t="s">
        <v>242</v>
      </c>
      <c r="AC1964">
        <v>12</v>
      </c>
      <c r="AD1964">
        <v>36000</v>
      </c>
      <c r="AE1964">
        <v>0</v>
      </c>
      <c r="AF1964">
        <v>0</v>
      </c>
      <c r="AG1964">
        <v>0</v>
      </c>
      <c r="AH1964" t="s">
        <v>58</v>
      </c>
      <c r="AK1964" t="s">
        <v>798</v>
      </c>
      <c r="AL1964">
        <v>42200982</v>
      </c>
      <c r="AM1964">
        <v>2757006807</v>
      </c>
      <c r="AN1964" t="s">
        <v>957</v>
      </c>
      <c r="AO1964" t="s">
        <v>439</v>
      </c>
      <c r="AP1964" t="s">
        <v>430</v>
      </c>
      <c r="AQ1964" t="s">
        <v>233</v>
      </c>
      <c r="AR1964" t="s">
        <v>234</v>
      </c>
      <c r="AT1964" t="s">
        <v>416</v>
      </c>
      <c r="AU1964">
        <v>0.2611</v>
      </c>
      <c r="AW1964">
        <v>45316</v>
      </c>
      <c r="AX1964" t="s">
        <v>1016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149541.39948785046</v>
      </c>
      <c r="BI1964">
        <v>149541.39948785046</v>
      </c>
      <c r="BJ1964">
        <v>10467.897964149533</v>
      </c>
      <c r="BK1964">
        <v>160009.297452</v>
      </c>
      <c r="BL1964" t="s">
        <v>242</v>
      </c>
      <c r="BM1964">
        <v>0</v>
      </c>
      <c r="BN1964">
        <v>0</v>
      </c>
      <c r="BO1964">
        <v>0</v>
      </c>
      <c r="BP1964">
        <v>0</v>
      </c>
      <c r="BQ1964">
        <v>0</v>
      </c>
      <c r="BR1964" t="s">
        <v>72</v>
      </c>
    </row>
    <row r="1965" spans="1:70" x14ac:dyDescent="0.3">
      <c r="A1965" t="s">
        <v>798</v>
      </c>
      <c r="B1965">
        <v>42200982</v>
      </c>
      <c r="C1965">
        <v>2757006807</v>
      </c>
      <c r="D1965" t="s">
        <v>957</v>
      </c>
      <c r="E1965" t="s">
        <v>439</v>
      </c>
      <c r="F1965" t="s">
        <v>430</v>
      </c>
      <c r="G1965" t="s">
        <v>233</v>
      </c>
      <c r="H1965" t="s">
        <v>234</v>
      </c>
      <c r="J1965" t="s">
        <v>416</v>
      </c>
      <c r="K1965" s="15">
        <v>0.2611</v>
      </c>
      <c r="M1965">
        <v>45316</v>
      </c>
      <c r="N1965" t="s">
        <v>1016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149541.39948785046</v>
      </c>
      <c r="Y1965">
        <v>149541.39948785046</v>
      </c>
      <c r="Z1965">
        <v>10467.897964149533</v>
      </c>
      <c r="AA1965">
        <v>160009.297452</v>
      </c>
      <c r="AB1965" t="s">
        <v>242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 t="s">
        <v>72</v>
      </c>
      <c r="AK1965" t="s">
        <v>798</v>
      </c>
      <c r="AL1965">
        <v>4132300168</v>
      </c>
      <c r="AM1965">
        <v>9030051138</v>
      </c>
      <c r="AN1965" t="s">
        <v>696</v>
      </c>
      <c r="AO1965" t="s">
        <v>441</v>
      </c>
      <c r="AP1965" t="s">
        <v>430</v>
      </c>
      <c r="AQ1965" t="s">
        <v>421</v>
      </c>
      <c r="AR1965" t="s">
        <v>231</v>
      </c>
      <c r="AT1965" t="s">
        <v>52</v>
      </c>
      <c r="AU1965">
        <v>30000</v>
      </c>
      <c r="AW1965">
        <v>45316</v>
      </c>
      <c r="AX1965" t="s">
        <v>1032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2.606097042629699</v>
      </c>
      <c r="BH1965">
        <v>0</v>
      </c>
      <c r="BI1965">
        <v>2.606097042629699</v>
      </c>
      <c r="BJ1965">
        <v>0.18242679298407893</v>
      </c>
      <c r="BK1965">
        <v>2.7885238356137778</v>
      </c>
      <c r="BL1965" t="s">
        <v>242</v>
      </c>
      <c r="BM1965">
        <v>1</v>
      </c>
      <c r="BN1965">
        <v>30000</v>
      </c>
      <c r="BO1965">
        <v>0</v>
      </c>
      <c r="BP1965">
        <v>0</v>
      </c>
      <c r="BQ1965">
        <v>1774.8721788229923</v>
      </c>
      <c r="BR1965" t="s">
        <v>72</v>
      </c>
    </row>
    <row r="1966" spans="1:70" x14ac:dyDescent="0.3">
      <c r="A1966" t="s">
        <v>798</v>
      </c>
      <c r="B1966">
        <v>52200044</v>
      </c>
      <c r="C1966">
        <v>24843920</v>
      </c>
      <c r="D1966" t="s">
        <v>383</v>
      </c>
      <c r="E1966" t="s">
        <v>435</v>
      </c>
      <c r="F1966" t="s">
        <v>431</v>
      </c>
      <c r="G1966" t="s">
        <v>235</v>
      </c>
      <c r="H1966" t="s">
        <v>236</v>
      </c>
      <c r="J1966" t="s">
        <v>52</v>
      </c>
      <c r="K1966" s="15">
        <v>5000</v>
      </c>
      <c r="M1966">
        <v>45316</v>
      </c>
      <c r="N1966" t="s">
        <v>1013</v>
      </c>
      <c r="O1966">
        <v>4342.0182557750186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128611.19789179906</v>
      </c>
      <c r="W1966">
        <v>0</v>
      </c>
      <c r="X1966">
        <v>0</v>
      </c>
      <c r="Y1966">
        <v>132953.21614757407</v>
      </c>
      <c r="Z1966">
        <v>9002.783852425935</v>
      </c>
      <c r="AA1966">
        <v>141956</v>
      </c>
      <c r="AB1966" t="s">
        <v>242</v>
      </c>
      <c r="AC1966">
        <v>5</v>
      </c>
      <c r="AD1966">
        <v>22000</v>
      </c>
      <c r="AE1966">
        <v>0</v>
      </c>
      <c r="AF1966">
        <v>0</v>
      </c>
      <c r="AG1966">
        <v>1398.8072954522954</v>
      </c>
      <c r="AH1966" t="s">
        <v>58</v>
      </c>
      <c r="AK1966" t="s">
        <v>798</v>
      </c>
      <c r="AL1966">
        <v>52200044</v>
      </c>
      <c r="AM1966">
        <v>24843920</v>
      </c>
      <c r="AN1966" t="s">
        <v>383</v>
      </c>
      <c r="AO1966" t="s">
        <v>435</v>
      </c>
      <c r="AP1966" t="s">
        <v>431</v>
      </c>
      <c r="AQ1966" t="s">
        <v>235</v>
      </c>
      <c r="AR1966" t="s">
        <v>236</v>
      </c>
      <c r="AT1966" t="s">
        <v>52</v>
      </c>
      <c r="AU1966">
        <v>5000</v>
      </c>
      <c r="AW1966">
        <v>45316</v>
      </c>
      <c r="AX1966" t="s">
        <v>1013</v>
      </c>
      <c r="AY1966">
        <v>4342.0182557750186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128611.19789179906</v>
      </c>
      <c r="BG1966">
        <v>0</v>
      </c>
      <c r="BH1966">
        <v>0</v>
      </c>
      <c r="BI1966">
        <v>132953.21614757407</v>
      </c>
      <c r="BJ1966">
        <v>9002.783852425935</v>
      </c>
      <c r="BK1966">
        <v>141956</v>
      </c>
      <c r="BL1966" t="s">
        <v>242</v>
      </c>
      <c r="BM1966">
        <v>5</v>
      </c>
      <c r="BN1966">
        <v>22000</v>
      </c>
      <c r="BO1966">
        <v>0</v>
      </c>
      <c r="BP1966">
        <v>0</v>
      </c>
      <c r="BQ1966">
        <v>1398.8072954522954</v>
      </c>
      <c r="BR1966" t="s">
        <v>58</v>
      </c>
    </row>
    <row r="1967" spans="1:70" x14ac:dyDescent="0.3">
      <c r="A1967" t="s">
        <v>798</v>
      </c>
      <c r="B1967">
        <v>52200619</v>
      </c>
      <c r="C1967">
        <v>6102060118</v>
      </c>
      <c r="D1967" t="s">
        <v>138</v>
      </c>
      <c r="E1967" t="s">
        <v>437</v>
      </c>
      <c r="F1967" t="s">
        <v>431</v>
      </c>
      <c r="G1967" t="s">
        <v>82</v>
      </c>
      <c r="H1967" t="s">
        <v>83</v>
      </c>
      <c r="J1967" t="s">
        <v>52</v>
      </c>
      <c r="K1967" s="15">
        <v>700</v>
      </c>
      <c r="M1967">
        <v>45316</v>
      </c>
      <c r="N1967" t="s">
        <v>1013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5547.8317757009372</v>
      </c>
      <c r="W1967">
        <v>0</v>
      </c>
      <c r="X1967">
        <v>0</v>
      </c>
      <c r="Y1967">
        <v>5547.8317757009372</v>
      </c>
      <c r="Z1967">
        <v>388.34822429906563</v>
      </c>
      <c r="AA1967">
        <v>5936.180000000003</v>
      </c>
      <c r="AB1967" t="s">
        <v>242</v>
      </c>
      <c r="AC1967">
        <v>18</v>
      </c>
      <c r="AD1967">
        <v>12000</v>
      </c>
      <c r="AE1967">
        <v>0</v>
      </c>
      <c r="AF1967">
        <v>0</v>
      </c>
      <c r="AG1967">
        <v>785.04672897196269</v>
      </c>
      <c r="AH1967" t="s">
        <v>58</v>
      </c>
      <c r="AK1967" t="s">
        <v>798</v>
      </c>
      <c r="AL1967">
        <v>4142300653</v>
      </c>
      <c r="AM1967">
        <v>10280769</v>
      </c>
      <c r="AN1967" t="s">
        <v>204</v>
      </c>
      <c r="AO1967" t="s">
        <v>445</v>
      </c>
      <c r="AP1967" t="s">
        <v>430</v>
      </c>
      <c r="AQ1967" t="s">
        <v>230</v>
      </c>
      <c r="AR1967" t="s">
        <v>234</v>
      </c>
      <c r="AT1967" t="s">
        <v>52</v>
      </c>
      <c r="AU1967">
        <v>15000</v>
      </c>
      <c r="AW1967">
        <v>45316</v>
      </c>
      <c r="AX1967" t="s">
        <v>1013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825731.76635514025</v>
      </c>
      <c r="BI1967">
        <v>825731.76635514025</v>
      </c>
      <c r="BJ1967">
        <v>57801.22364485982</v>
      </c>
      <c r="BK1967">
        <v>883532.99000000011</v>
      </c>
      <c r="BL1967" t="s">
        <v>242</v>
      </c>
      <c r="BM1967">
        <v>5</v>
      </c>
      <c r="BN1967">
        <v>75000</v>
      </c>
      <c r="BO1967">
        <v>0</v>
      </c>
      <c r="BP1967">
        <v>0</v>
      </c>
      <c r="BQ1967">
        <v>4906.542056074768</v>
      </c>
      <c r="BR1967" t="s">
        <v>58</v>
      </c>
    </row>
    <row r="1968" spans="1:70" x14ac:dyDescent="0.3">
      <c r="A1968" t="s">
        <v>798</v>
      </c>
      <c r="B1968">
        <v>52200764</v>
      </c>
      <c r="C1968">
        <v>29315611</v>
      </c>
      <c r="D1968" t="s">
        <v>142</v>
      </c>
      <c r="E1968" t="s">
        <v>438</v>
      </c>
      <c r="F1968" t="s">
        <v>431</v>
      </c>
      <c r="G1968" t="s">
        <v>82</v>
      </c>
      <c r="H1968" t="s">
        <v>83</v>
      </c>
      <c r="J1968" t="s">
        <v>52</v>
      </c>
      <c r="K1968" s="15">
        <v>1000</v>
      </c>
      <c r="M1968">
        <v>45316</v>
      </c>
      <c r="N1968" t="s">
        <v>1013</v>
      </c>
      <c r="O1968">
        <v>0</v>
      </c>
      <c r="P1968">
        <v>0</v>
      </c>
      <c r="Q1968">
        <v>0</v>
      </c>
      <c r="R1968">
        <v>833.2999286409854</v>
      </c>
      <c r="S1968">
        <v>13694.272029307496</v>
      </c>
      <c r="T1968">
        <v>0</v>
      </c>
      <c r="U1968">
        <v>0</v>
      </c>
      <c r="V1968">
        <v>50364.328598130844</v>
      </c>
      <c r="W1968">
        <v>0</v>
      </c>
      <c r="X1968">
        <v>0</v>
      </c>
      <c r="Y1968">
        <v>64891.900556079323</v>
      </c>
      <c r="Z1968">
        <v>4484.1020439206841</v>
      </c>
      <c r="AA1968">
        <v>69376.002600000007</v>
      </c>
      <c r="AB1968" t="s">
        <v>242</v>
      </c>
      <c r="AC1968">
        <v>5</v>
      </c>
      <c r="AD1968">
        <v>8268</v>
      </c>
      <c r="AE1968">
        <v>0</v>
      </c>
      <c r="AF1968">
        <v>0</v>
      </c>
      <c r="AG1968">
        <v>533.91681776155997</v>
      </c>
      <c r="AH1968" t="s">
        <v>58</v>
      </c>
      <c r="AK1968" t="s">
        <v>798</v>
      </c>
      <c r="AL1968">
        <v>4142300779</v>
      </c>
      <c r="AM1968">
        <v>10355108</v>
      </c>
      <c r="AN1968" t="s">
        <v>208</v>
      </c>
      <c r="AO1968" t="s">
        <v>445</v>
      </c>
      <c r="AP1968" t="s">
        <v>430</v>
      </c>
      <c r="AQ1968" t="s">
        <v>230</v>
      </c>
      <c r="AR1968" t="s">
        <v>234</v>
      </c>
      <c r="AT1968" t="s">
        <v>52</v>
      </c>
      <c r="AU1968">
        <v>20000</v>
      </c>
      <c r="AW1968">
        <v>45316</v>
      </c>
      <c r="AX1968" t="s">
        <v>1013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194397.13084112146</v>
      </c>
      <c r="BI1968">
        <v>194397.13084112146</v>
      </c>
      <c r="BJ1968">
        <v>13607.799158878503</v>
      </c>
      <c r="BK1968">
        <v>208004.92999999996</v>
      </c>
      <c r="BL1968" t="s">
        <v>242</v>
      </c>
      <c r="BM1968">
        <v>2</v>
      </c>
      <c r="BN1968">
        <v>40000</v>
      </c>
      <c r="BO1968">
        <v>0</v>
      </c>
      <c r="BP1968">
        <v>0</v>
      </c>
      <c r="BQ1968">
        <v>2616.8224299065405</v>
      </c>
      <c r="BR1968" t="s">
        <v>58</v>
      </c>
    </row>
    <row r="1969" spans="1:70" x14ac:dyDescent="0.3">
      <c r="A1969" t="s">
        <v>798</v>
      </c>
      <c r="B1969">
        <v>52200938</v>
      </c>
      <c r="C1969">
        <v>26269572</v>
      </c>
      <c r="D1969" t="s">
        <v>144</v>
      </c>
      <c r="E1969" t="s">
        <v>438</v>
      </c>
      <c r="F1969" t="s">
        <v>431</v>
      </c>
      <c r="G1969" t="s">
        <v>82</v>
      </c>
      <c r="H1969" t="s">
        <v>83</v>
      </c>
      <c r="J1969" t="s">
        <v>52</v>
      </c>
      <c r="K1969" s="15">
        <v>3000</v>
      </c>
      <c r="M1969">
        <v>45316</v>
      </c>
      <c r="N1969" t="s">
        <v>1013</v>
      </c>
      <c r="O1969">
        <v>0</v>
      </c>
      <c r="P1969">
        <v>0</v>
      </c>
      <c r="Q1969">
        <v>0</v>
      </c>
      <c r="R1969">
        <v>785.88507960012191</v>
      </c>
      <c r="S1969">
        <v>5590.1617843644335</v>
      </c>
      <c r="T1969">
        <v>0</v>
      </c>
      <c r="U1969">
        <v>0</v>
      </c>
      <c r="V1969">
        <v>47963.216707056527</v>
      </c>
      <c r="W1969">
        <v>0</v>
      </c>
      <c r="X1969">
        <v>0</v>
      </c>
      <c r="Y1969">
        <v>54339.263571021082</v>
      </c>
      <c r="Z1969">
        <v>3748.7364943994676</v>
      </c>
      <c r="AA1969">
        <v>58088.000065420551</v>
      </c>
      <c r="AB1969" t="s">
        <v>242</v>
      </c>
      <c r="AC1969">
        <v>10</v>
      </c>
      <c r="AD1969">
        <v>24000</v>
      </c>
      <c r="AE1969">
        <v>0</v>
      </c>
      <c r="AF1969">
        <v>0</v>
      </c>
      <c r="AG1969">
        <v>1547.0579024037465</v>
      </c>
      <c r="AH1969" t="s">
        <v>58</v>
      </c>
      <c r="AK1969" t="s">
        <v>798</v>
      </c>
      <c r="AL1969">
        <v>4142301423</v>
      </c>
      <c r="AM1969">
        <v>10476549</v>
      </c>
      <c r="AN1969" t="s">
        <v>217</v>
      </c>
      <c r="AO1969" t="s">
        <v>446</v>
      </c>
      <c r="AP1969" t="s">
        <v>430</v>
      </c>
      <c r="AQ1969" t="s">
        <v>230</v>
      </c>
      <c r="AR1969" t="s">
        <v>234</v>
      </c>
      <c r="AT1969" t="s">
        <v>52</v>
      </c>
      <c r="AU1969">
        <v>4000</v>
      </c>
      <c r="AW1969">
        <v>45316</v>
      </c>
      <c r="AX1969" t="s">
        <v>1013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240283.70247087441</v>
      </c>
      <c r="BI1969">
        <v>240283.70247087441</v>
      </c>
      <c r="BJ1969">
        <v>16819.859172961209</v>
      </c>
      <c r="BK1969">
        <v>257103.56164383562</v>
      </c>
      <c r="BL1969" t="s">
        <v>242</v>
      </c>
      <c r="BM1969">
        <v>2</v>
      </c>
      <c r="BN1969">
        <v>8000</v>
      </c>
      <c r="BO1969">
        <v>0</v>
      </c>
      <c r="BP1969">
        <v>0</v>
      </c>
      <c r="BQ1969">
        <v>523.36448598130846</v>
      </c>
      <c r="BR1969" t="s">
        <v>58</v>
      </c>
    </row>
    <row r="1970" spans="1:70" x14ac:dyDescent="0.3">
      <c r="A1970" t="s">
        <v>798</v>
      </c>
      <c r="B1970">
        <v>4132300168</v>
      </c>
      <c r="C1970">
        <v>9030051138</v>
      </c>
      <c r="D1970" t="s">
        <v>696</v>
      </c>
      <c r="E1970" t="s">
        <v>441</v>
      </c>
      <c r="F1970" t="s">
        <v>430</v>
      </c>
      <c r="G1970" t="s">
        <v>230</v>
      </c>
      <c r="H1970" t="s">
        <v>231</v>
      </c>
      <c r="J1970" t="s">
        <v>52</v>
      </c>
      <c r="K1970" s="15">
        <v>30000</v>
      </c>
      <c r="M1970">
        <v>45316</v>
      </c>
      <c r="N1970" t="s">
        <v>1032</v>
      </c>
      <c r="O1970">
        <v>0</v>
      </c>
      <c r="P1970">
        <v>0</v>
      </c>
      <c r="Q1970">
        <v>0</v>
      </c>
      <c r="R1970">
        <v>0</v>
      </c>
      <c r="S1970">
        <v>779.85088829504343</v>
      </c>
      <c r="T1970">
        <v>0</v>
      </c>
      <c r="U1970">
        <v>0</v>
      </c>
      <c r="V1970">
        <v>0</v>
      </c>
      <c r="W1970">
        <v>9400.8762948977273</v>
      </c>
      <c r="X1970">
        <v>0</v>
      </c>
      <c r="Y1970">
        <v>10180.72718319277</v>
      </c>
      <c r="Z1970">
        <v>658.06134064284095</v>
      </c>
      <c r="AA1970">
        <v>10838.78852383561</v>
      </c>
      <c r="AB1970" t="s">
        <v>242</v>
      </c>
      <c r="AC1970">
        <v>2</v>
      </c>
      <c r="AD1970">
        <v>60000</v>
      </c>
      <c r="AE1970">
        <v>0</v>
      </c>
      <c r="AF1970">
        <v>0</v>
      </c>
      <c r="AG1970">
        <v>3555.2876118433524</v>
      </c>
      <c r="AH1970" t="s">
        <v>58</v>
      </c>
      <c r="AK1970" t="s">
        <v>798</v>
      </c>
      <c r="AL1970">
        <v>2200001</v>
      </c>
      <c r="AM1970">
        <v>22961523</v>
      </c>
      <c r="AN1970" t="s">
        <v>407</v>
      </c>
      <c r="AO1970" t="s">
        <v>435</v>
      </c>
      <c r="AP1970" t="s">
        <v>675</v>
      </c>
      <c r="AQ1970" t="s">
        <v>235</v>
      </c>
      <c r="AR1970" t="s">
        <v>235</v>
      </c>
      <c r="AT1970" t="s">
        <v>52</v>
      </c>
      <c r="AU1970">
        <v>3000</v>
      </c>
      <c r="AW1970">
        <v>45316</v>
      </c>
      <c r="AX1970" t="s">
        <v>1013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33246.990000000005</v>
      </c>
      <c r="BG1970">
        <v>0</v>
      </c>
      <c r="BH1970">
        <v>0</v>
      </c>
      <c r="BI1970">
        <v>33246.990000000005</v>
      </c>
      <c r="BJ1970">
        <v>0</v>
      </c>
      <c r="BK1970">
        <v>33246.990000000005</v>
      </c>
      <c r="BL1970" t="s">
        <v>242</v>
      </c>
      <c r="BM1970">
        <v>12</v>
      </c>
      <c r="BN1970">
        <v>36000</v>
      </c>
      <c r="BO1970">
        <v>0</v>
      </c>
      <c r="BP1970">
        <v>0</v>
      </c>
      <c r="BQ1970">
        <v>0</v>
      </c>
      <c r="BR1970" t="s">
        <v>58</v>
      </c>
    </row>
    <row r="1971" spans="1:70" x14ac:dyDescent="0.3">
      <c r="A1971" t="s">
        <v>798</v>
      </c>
      <c r="B1971">
        <v>4142300653</v>
      </c>
      <c r="C1971">
        <v>10280769</v>
      </c>
      <c r="D1971" t="s">
        <v>204</v>
      </c>
      <c r="E1971" t="s">
        <v>445</v>
      </c>
      <c r="F1971" t="s">
        <v>430</v>
      </c>
      <c r="G1971" t="s">
        <v>230</v>
      </c>
      <c r="H1971" t="s">
        <v>234</v>
      </c>
      <c r="J1971" t="s">
        <v>52</v>
      </c>
      <c r="K1971" s="15">
        <v>15000</v>
      </c>
      <c r="M1971">
        <v>45316</v>
      </c>
      <c r="N1971" t="s">
        <v>1013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825731.76635514025</v>
      </c>
      <c r="Y1971">
        <v>825731.76635514025</v>
      </c>
      <c r="Z1971">
        <v>57801.22364485982</v>
      </c>
      <c r="AA1971">
        <v>883532.99000000011</v>
      </c>
      <c r="AB1971" t="s">
        <v>242</v>
      </c>
      <c r="AC1971">
        <v>5</v>
      </c>
      <c r="AD1971">
        <v>75000</v>
      </c>
      <c r="AE1971">
        <v>0</v>
      </c>
      <c r="AF1971">
        <v>0</v>
      </c>
      <c r="AG1971">
        <v>4906.542056074768</v>
      </c>
      <c r="AH1971" t="s">
        <v>58</v>
      </c>
      <c r="AK1971" t="s">
        <v>798</v>
      </c>
      <c r="AL1971">
        <v>52200619</v>
      </c>
      <c r="AM1971">
        <v>6102060118</v>
      </c>
      <c r="AN1971" t="s">
        <v>138</v>
      </c>
      <c r="AO1971" t="s">
        <v>437</v>
      </c>
      <c r="AP1971" t="s">
        <v>431</v>
      </c>
      <c r="AQ1971" t="s">
        <v>82</v>
      </c>
      <c r="AR1971" t="s">
        <v>83</v>
      </c>
      <c r="AT1971" t="s">
        <v>52</v>
      </c>
      <c r="AU1971">
        <v>700</v>
      </c>
      <c r="AW1971">
        <v>45316</v>
      </c>
      <c r="AX1971" t="s">
        <v>1013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5547.8317757009372</v>
      </c>
      <c r="BG1971">
        <v>0</v>
      </c>
      <c r="BH1971">
        <v>0</v>
      </c>
      <c r="BI1971">
        <v>5547.8317757009372</v>
      </c>
      <c r="BJ1971">
        <v>388.34822429906563</v>
      </c>
      <c r="BK1971">
        <v>5936.180000000003</v>
      </c>
      <c r="BL1971" t="s">
        <v>242</v>
      </c>
      <c r="BM1971">
        <v>18</v>
      </c>
      <c r="BN1971">
        <v>12000</v>
      </c>
      <c r="BO1971">
        <v>0</v>
      </c>
      <c r="BP1971">
        <v>0</v>
      </c>
      <c r="BQ1971">
        <v>785.04672897196269</v>
      </c>
      <c r="BR1971" t="s">
        <v>58</v>
      </c>
    </row>
    <row r="1972" spans="1:70" x14ac:dyDescent="0.3">
      <c r="A1972" t="s">
        <v>798</v>
      </c>
      <c r="B1972">
        <v>4142300779</v>
      </c>
      <c r="C1972">
        <v>10355108</v>
      </c>
      <c r="D1972" t="s">
        <v>208</v>
      </c>
      <c r="E1972" t="s">
        <v>445</v>
      </c>
      <c r="F1972" t="s">
        <v>430</v>
      </c>
      <c r="G1972" t="s">
        <v>230</v>
      </c>
      <c r="H1972" t="s">
        <v>234</v>
      </c>
      <c r="J1972" t="s">
        <v>52</v>
      </c>
      <c r="K1972" s="15">
        <v>20000</v>
      </c>
      <c r="M1972">
        <v>45316</v>
      </c>
      <c r="N1972" t="s">
        <v>1013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194397.13084112146</v>
      </c>
      <c r="Y1972">
        <v>194397.13084112146</v>
      </c>
      <c r="Z1972">
        <v>13607.799158878503</v>
      </c>
      <c r="AA1972">
        <v>208004.92999999996</v>
      </c>
      <c r="AB1972" t="s">
        <v>242</v>
      </c>
      <c r="AC1972">
        <v>2</v>
      </c>
      <c r="AD1972">
        <v>40000</v>
      </c>
      <c r="AE1972">
        <v>0</v>
      </c>
      <c r="AF1972">
        <v>0</v>
      </c>
      <c r="AG1972">
        <v>2616.8224299065405</v>
      </c>
      <c r="AH1972" t="s">
        <v>58</v>
      </c>
      <c r="AK1972" t="s">
        <v>798</v>
      </c>
      <c r="AL1972">
        <v>52200764</v>
      </c>
      <c r="AM1972">
        <v>29315611</v>
      </c>
      <c r="AN1972" t="s">
        <v>142</v>
      </c>
      <c r="AO1972" t="s">
        <v>438</v>
      </c>
      <c r="AP1972" t="s">
        <v>431</v>
      </c>
      <c r="AQ1972" t="s">
        <v>82</v>
      </c>
      <c r="AR1972" t="s">
        <v>83</v>
      </c>
      <c r="AT1972" t="s">
        <v>52</v>
      </c>
      <c r="AU1972">
        <v>1000</v>
      </c>
      <c r="AW1972">
        <v>45316</v>
      </c>
      <c r="AX1972" t="s">
        <v>1013</v>
      </c>
      <c r="AY1972">
        <v>0</v>
      </c>
      <c r="AZ1972">
        <v>0</v>
      </c>
      <c r="BA1972">
        <v>0</v>
      </c>
      <c r="BB1972">
        <v>833.2999286409854</v>
      </c>
      <c r="BC1972">
        <v>13694.272029307496</v>
      </c>
      <c r="BD1972">
        <v>0</v>
      </c>
      <c r="BE1972">
        <v>0</v>
      </c>
      <c r="BF1972">
        <v>50364.328598130844</v>
      </c>
      <c r="BG1972">
        <v>0</v>
      </c>
      <c r="BH1972">
        <v>0</v>
      </c>
      <c r="BI1972">
        <v>64891.900556079323</v>
      </c>
      <c r="BJ1972">
        <v>4484.1020439206841</v>
      </c>
      <c r="BK1972">
        <v>69376.002600000007</v>
      </c>
      <c r="BL1972" t="s">
        <v>242</v>
      </c>
      <c r="BM1972">
        <v>5</v>
      </c>
      <c r="BN1972">
        <v>8268</v>
      </c>
      <c r="BO1972">
        <v>0</v>
      </c>
      <c r="BP1972">
        <v>0</v>
      </c>
      <c r="BQ1972">
        <v>533.91681776155997</v>
      </c>
      <c r="BR1972" t="s">
        <v>58</v>
      </c>
    </row>
    <row r="1973" spans="1:70" x14ac:dyDescent="0.3">
      <c r="A1973" t="s">
        <v>798</v>
      </c>
      <c r="B1973">
        <v>4142301423</v>
      </c>
      <c r="C1973">
        <v>10476549</v>
      </c>
      <c r="D1973" t="s">
        <v>217</v>
      </c>
      <c r="E1973" t="s">
        <v>446</v>
      </c>
      <c r="F1973" t="s">
        <v>430</v>
      </c>
      <c r="G1973" t="s">
        <v>230</v>
      </c>
      <c r="H1973" t="s">
        <v>234</v>
      </c>
      <c r="J1973" t="s">
        <v>52</v>
      </c>
      <c r="K1973" s="15">
        <v>4000</v>
      </c>
      <c r="M1973">
        <v>45316</v>
      </c>
      <c r="N1973" t="s">
        <v>1013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240283.70247087441</v>
      </c>
      <c r="Y1973">
        <v>240283.70247087441</v>
      </c>
      <c r="Z1973">
        <v>16819.859172961209</v>
      </c>
      <c r="AA1973">
        <v>257103.56164383562</v>
      </c>
      <c r="AB1973" t="s">
        <v>242</v>
      </c>
      <c r="AC1973">
        <v>2</v>
      </c>
      <c r="AD1973">
        <v>8000</v>
      </c>
      <c r="AE1973">
        <v>0</v>
      </c>
      <c r="AF1973">
        <v>0</v>
      </c>
      <c r="AG1973">
        <v>523.36448598130846</v>
      </c>
      <c r="AH1973" t="s">
        <v>58</v>
      </c>
      <c r="AK1973" t="s">
        <v>798</v>
      </c>
      <c r="AL1973">
        <v>52200938</v>
      </c>
      <c r="AM1973">
        <v>26269572</v>
      </c>
      <c r="AN1973" t="s">
        <v>144</v>
      </c>
      <c r="AO1973" t="s">
        <v>438</v>
      </c>
      <c r="AP1973" t="s">
        <v>431</v>
      </c>
      <c r="AQ1973" t="s">
        <v>82</v>
      </c>
      <c r="AR1973" t="s">
        <v>83</v>
      </c>
      <c r="AT1973" t="s">
        <v>52</v>
      </c>
      <c r="AU1973">
        <v>3000</v>
      </c>
      <c r="AW1973">
        <v>45316</v>
      </c>
      <c r="AX1973" t="s">
        <v>1013</v>
      </c>
      <c r="AY1973">
        <v>0</v>
      </c>
      <c r="AZ1973">
        <v>0</v>
      </c>
      <c r="BA1973">
        <v>0</v>
      </c>
      <c r="BB1973">
        <v>785.88507960012191</v>
      </c>
      <c r="BC1973">
        <v>5590.1617843644335</v>
      </c>
      <c r="BD1973">
        <v>0</v>
      </c>
      <c r="BE1973">
        <v>0</v>
      </c>
      <c r="BF1973">
        <v>47963.216707056527</v>
      </c>
      <c r="BG1973">
        <v>0</v>
      </c>
      <c r="BH1973">
        <v>0</v>
      </c>
      <c r="BI1973">
        <v>54339.263571021082</v>
      </c>
      <c r="BJ1973">
        <v>3748.7364943994676</v>
      </c>
      <c r="BK1973">
        <v>58088.000065420551</v>
      </c>
      <c r="BL1973" t="s">
        <v>242</v>
      </c>
      <c r="BM1973">
        <v>10</v>
      </c>
      <c r="BN1973">
        <v>24000</v>
      </c>
      <c r="BO1973">
        <v>0</v>
      </c>
      <c r="BP1973">
        <v>0</v>
      </c>
      <c r="BQ1973">
        <v>1547.0579024037465</v>
      </c>
      <c r="BR1973" t="s">
        <v>58</v>
      </c>
    </row>
    <row r="1974" spans="1:70" x14ac:dyDescent="0.3">
      <c r="A1974" t="s">
        <v>798</v>
      </c>
      <c r="B1974">
        <v>12200158</v>
      </c>
      <c r="C1974">
        <v>27163703</v>
      </c>
      <c r="D1974" t="s">
        <v>115</v>
      </c>
      <c r="E1974" t="s">
        <v>438</v>
      </c>
      <c r="F1974" t="s">
        <v>427</v>
      </c>
      <c r="G1974" t="s">
        <v>82</v>
      </c>
      <c r="H1974" t="s">
        <v>82</v>
      </c>
      <c r="J1974" t="s">
        <v>52</v>
      </c>
      <c r="K1974" s="15">
        <v>3000</v>
      </c>
      <c r="M1974">
        <v>45317</v>
      </c>
      <c r="N1974" t="s">
        <v>1013</v>
      </c>
      <c r="O1974">
        <v>0</v>
      </c>
      <c r="P1974">
        <v>0</v>
      </c>
      <c r="Q1974">
        <v>0</v>
      </c>
      <c r="R1974">
        <v>0</v>
      </c>
      <c r="S1974">
        <v>9164.4901276847468</v>
      </c>
      <c r="T1974">
        <v>0</v>
      </c>
      <c r="U1974">
        <v>0</v>
      </c>
      <c r="V1974">
        <v>68571.057534246575</v>
      </c>
      <c r="W1974">
        <v>0</v>
      </c>
      <c r="X1974">
        <v>0</v>
      </c>
      <c r="Y1974">
        <v>77735.547661931327</v>
      </c>
      <c r="Z1974">
        <v>0</v>
      </c>
      <c r="AA1974">
        <v>77735.547661931327</v>
      </c>
      <c r="AB1974" t="s">
        <v>242</v>
      </c>
      <c r="AC1974">
        <v>3</v>
      </c>
      <c r="AD1974">
        <v>6500</v>
      </c>
      <c r="AE1974">
        <v>0</v>
      </c>
      <c r="AF1974">
        <v>0</v>
      </c>
      <c r="AG1974">
        <v>0</v>
      </c>
      <c r="AH1974" t="s">
        <v>58</v>
      </c>
      <c r="AK1974" t="s">
        <v>798</v>
      </c>
      <c r="AL1974">
        <v>42200661</v>
      </c>
      <c r="AM1974">
        <v>2760035800</v>
      </c>
      <c r="AN1974" t="s">
        <v>958</v>
      </c>
      <c r="AO1974" t="s">
        <v>439</v>
      </c>
      <c r="AP1974" t="s">
        <v>430</v>
      </c>
      <c r="AQ1974" t="s">
        <v>232</v>
      </c>
      <c r="AR1974" t="s">
        <v>71</v>
      </c>
      <c r="AT1974" t="s">
        <v>52</v>
      </c>
      <c r="AU1974">
        <v>2000</v>
      </c>
      <c r="AW1974">
        <v>45317</v>
      </c>
      <c r="AX1974" t="s">
        <v>1013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155467.57009345794</v>
      </c>
      <c r="BI1974">
        <v>155467.57009345794</v>
      </c>
      <c r="BJ1974">
        <v>10882.729906542056</v>
      </c>
      <c r="BK1974">
        <v>166350.29999999999</v>
      </c>
      <c r="BL1974" t="s">
        <v>242</v>
      </c>
      <c r="BM1974">
        <v>2</v>
      </c>
      <c r="BN1974">
        <v>5000</v>
      </c>
      <c r="BO1974">
        <v>0</v>
      </c>
      <c r="BP1974">
        <v>0</v>
      </c>
      <c r="BQ1974">
        <v>327.10280373831802</v>
      </c>
      <c r="BR1974" t="s">
        <v>58</v>
      </c>
    </row>
    <row r="1975" spans="1:70" x14ac:dyDescent="0.3">
      <c r="A1975" t="s">
        <v>798</v>
      </c>
      <c r="B1975">
        <v>42200661</v>
      </c>
      <c r="C1975">
        <v>2760035800</v>
      </c>
      <c r="D1975" t="s">
        <v>958</v>
      </c>
      <c r="E1975" t="s">
        <v>439</v>
      </c>
      <c r="F1975" t="s">
        <v>430</v>
      </c>
      <c r="G1975" t="s">
        <v>232</v>
      </c>
      <c r="H1975" t="s">
        <v>71</v>
      </c>
      <c r="J1975" t="s">
        <v>52</v>
      </c>
      <c r="K1975" s="15">
        <v>2000</v>
      </c>
      <c r="M1975">
        <v>45317</v>
      </c>
      <c r="N1975" t="s">
        <v>1013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155467.57009345794</v>
      </c>
      <c r="Y1975">
        <v>155467.57009345794</v>
      </c>
      <c r="Z1975">
        <v>10882.729906542056</v>
      </c>
      <c r="AA1975">
        <v>166350.29999999999</v>
      </c>
      <c r="AB1975" t="s">
        <v>242</v>
      </c>
      <c r="AC1975">
        <v>2</v>
      </c>
      <c r="AD1975">
        <v>5000</v>
      </c>
      <c r="AE1975">
        <v>0</v>
      </c>
      <c r="AF1975">
        <v>0</v>
      </c>
      <c r="AG1975">
        <v>327.10280373831802</v>
      </c>
      <c r="AH1975" t="s">
        <v>58</v>
      </c>
      <c r="AK1975" t="s">
        <v>798</v>
      </c>
      <c r="AL1975">
        <v>4132301740</v>
      </c>
      <c r="AM1975" t="s">
        <v>686</v>
      </c>
      <c r="AN1975" t="s">
        <v>959</v>
      </c>
      <c r="AO1975" t="s">
        <v>442</v>
      </c>
      <c r="AP1975" t="s">
        <v>430</v>
      </c>
      <c r="AQ1975" t="s">
        <v>230</v>
      </c>
      <c r="AR1975" t="s">
        <v>231</v>
      </c>
      <c r="AT1975" t="s">
        <v>52</v>
      </c>
      <c r="AU1975">
        <v>3000</v>
      </c>
      <c r="AW1975">
        <v>45317</v>
      </c>
      <c r="AX1975" t="s">
        <v>1013</v>
      </c>
      <c r="AY1975">
        <v>0</v>
      </c>
      <c r="AZ1975">
        <v>12190.636708298036</v>
      </c>
      <c r="BA1975">
        <v>0</v>
      </c>
      <c r="BB1975">
        <v>0</v>
      </c>
      <c r="BC1975">
        <v>25539.360000000001</v>
      </c>
      <c r="BD1975">
        <v>34868.56382402053</v>
      </c>
      <c r="BE1975">
        <v>13084.11214953271</v>
      </c>
      <c r="BF1975">
        <v>0</v>
      </c>
      <c r="BG1975">
        <v>280373.83177570091</v>
      </c>
      <c r="BH1975">
        <v>0</v>
      </c>
      <c r="BI1975">
        <v>366056.50445755222</v>
      </c>
      <c r="BJ1975">
        <v>22982.855542447789</v>
      </c>
      <c r="BK1975">
        <v>389039.35999999999</v>
      </c>
      <c r="BL1975" t="s">
        <v>242</v>
      </c>
      <c r="BM1975">
        <v>1</v>
      </c>
      <c r="BN1975">
        <v>3000</v>
      </c>
      <c r="BO1975">
        <v>0</v>
      </c>
      <c r="BP1975">
        <v>0</v>
      </c>
      <c r="BQ1975">
        <v>176.02296222510495</v>
      </c>
      <c r="BR1975" t="s">
        <v>72</v>
      </c>
    </row>
    <row r="1976" spans="1:70" x14ac:dyDescent="0.3">
      <c r="A1976" t="s">
        <v>798</v>
      </c>
      <c r="B1976">
        <v>52200893</v>
      </c>
      <c r="C1976">
        <v>25072067</v>
      </c>
      <c r="D1976" t="s">
        <v>143</v>
      </c>
      <c r="E1976" t="s">
        <v>438</v>
      </c>
      <c r="F1976" t="s">
        <v>431</v>
      </c>
      <c r="G1976" t="s">
        <v>82</v>
      </c>
      <c r="H1976" t="s">
        <v>83</v>
      </c>
      <c r="J1976" t="s">
        <v>52</v>
      </c>
      <c r="K1976" s="15">
        <v>2000</v>
      </c>
      <c r="M1976">
        <v>45317</v>
      </c>
      <c r="N1976" t="s">
        <v>1013</v>
      </c>
      <c r="O1976">
        <v>0</v>
      </c>
      <c r="P1976">
        <v>0</v>
      </c>
      <c r="Q1976">
        <v>0</v>
      </c>
      <c r="R1976">
        <v>980.27765818753755</v>
      </c>
      <c r="S1976">
        <v>12267.652598072433</v>
      </c>
      <c r="T1976">
        <v>0</v>
      </c>
      <c r="U1976">
        <v>0</v>
      </c>
      <c r="V1976">
        <v>41101.247765050408</v>
      </c>
      <c r="W1976">
        <v>0</v>
      </c>
      <c r="X1976">
        <v>0</v>
      </c>
      <c r="Y1976">
        <v>54349.178021310378</v>
      </c>
      <c r="Z1976">
        <v>3735.8230254185992</v>
      </c>
      <c r="AA1976">
        <v>58085.001046728976</v>
      </c>
      <c r="AB1976" t="s">
        <v>242</v>
      </c>
      <c r="AC1976">
        <v>3</v>
      </c>
      <c r="AD1976">
        <v>6000</v>
      </c>
      <c r="AE1976">
        <v>0</v>
      </c>
      <c r="AF1976">
        <v>0</v>
      </c>
      <c r="AG1976">
        <v>385.41068791881116</v>
      </c>
      <c r="AH1976" t="s">
        <v>58</v>
      </c>
      <c r="AK1976" t="s">
        <v>798</v>
      </c>
      <c r="AL1976">
        <v>4132301757</v>
      </c>
      <c r="AM1976" t="s">
        <v>687</v>
      </c>
      <c r="AN1976" t="s">
        <v>960</v>
      </c>
      <c r="AO1976" t="s">
        <v>442</v>
      </c>
      <c r="AP1976" t="s">
        <v>430</v>
      </c>
      <c r="AQ1976" t="s">
        <v>230</v>
      </c>
      <c r="AR1976" t="s">
        <v>231</v>
      </c>
      <c r="AT1976" t="s">
        <v>52</v>
      </c>
      <c r="AU1976">
        <v>5000</v>
      </c>
      <c r="AW1976">
        <v>45317</v>
      </c>
      <c r="AX1976" t="s">
        <v>1013</v>
      </c>
      <c r="AY1976">
        <v>0</v>
      </c>
      <c r="AZ1976">
        <v>24750.749103607621</v>
      </c>
      <c r="BA1976">
        <v>0</v>
      </c>
      <c r="BB1976">
        <v>0</v>
      </c>
      <c r="BC1976">
        <v>367687.74</v>
      </c>
      <c r="BD1976">
        <v>44790.888688217172</v>
      </c>
      <c r="BE1976">
        <v>69532.710280373838</v>
      </c>
      <c r="BF1976">
        <v>0</v>
      </c>
      <c r="BG1976">
        <v>598130.84112149535</v>
      </c>
      <c r="BH1976">
        <v>0</v>
      </c>
      <c r="BI1976">
        <v>1104892.9291936939</v>
      </c>
      <c r="BJ1976">
        <v>49871.81080630605</v>
      </c>
      <c r="BK1976">
        <v>1154764.74</v>
      </c>
      <c r="BL1976" t="s">
        <v>242</v>
      </c>
      <c r="BM1976">
        <v>1</v>
      </c>
      <c r="BN1976">
        <v>5000</v>
      </c>
      <c r="BO1976">
        <v>0</v>
      </c>
      <c r="BP1976">
        <v>0</v>
      </c>
      <c r="BQ1976">
        <v>210.89947406778856</v>
      </c>
      <c r="BR1976" t="s">
        <v>72</v>
      </c>
    </row>
    <row r="1977" spans="1:70" x14ac:dyDescent="0.3">
      <c r="A1977" t="s">
        <v>798</v>
      </c>
      <c r="B1977">
        <v>52201541</v>
      </c>
      <c r="C1977">
        <v>28683740</v>
      </c>
      <c r="D1977" t="s">
        <v>160</v>
      </c>
      <c r="E1977" t="s">
        <v>438</v>
      </c>
      <c r="F1977" t="s">
        <v>431</v>
      </c>
      <c r="G1977" t="s">
        <v>82</v>
      </c>
      <c r="H1977" t="s">
        <v>83</v>
      </c>
      <c r="J1977" t="s">
        <v>52</v>
      </c>
      <c r="K1977" s="15">
        <v>2000</v>
      </c>
      <c r="M1977">
        <v>45317</v>
      </c>
      <c r="N1977" t="s">
        <v>1013</v>
      </c>
      <c r="O1977">
        <v>0</v>
      </c>
      <c r="P1977">
        <v>0</v>
      </c>
      <c r="Q1977">
        <v>0</v>
      </c>
      <c r="R1977">
        <v>981.84189703892343</v>
      </c>
      <c r="S1977">
        <v>6432.8726253780405</v>
      </c>
      <c r="T1977">
        <v>0</v>
      </c>
      <c r="U1977">
        <v>0</v>
      </c>
      <c r="V1977">
        <v>84588.770761090957</v>
      </c>
      <c r="W1977">
        <v>0</v>
      </c>
      <c r="X1977">
        <v>0</v>
      </c>
      <c r="Y1977">
        <v>92003.485283507922</v>
      </c>
      <c r="Z1977">
        <v>6371.5150370528299</v>
      </c>
      <c r="AA1977">
        <v>98375.00032056075</v>
      </c>
      <c r="AB1977" t="s">
        <v>242</v>
      </c>
      <c r="AC1977">
        <v>5</v>
      </c>
      <c r="AD1977">
        <v>10000</v>
      </c>
      <c r="AE1977">
        <v>0</v>
      </c>
      <c r="AF1977">
        <v>0</v>
      </c>
      <c r="AG1977">
        <v>647.19526429226607</v>
      </c>
      <c r="AH1977" t="s">
        <v>58</v>
      </c>
      <c r="AK1977" t="s">
        <v>798</v>
      </c>
      <c r="AL1977">
        <v>4142300047</v>
      </c>
      <c r="AM1977">
        <v>126184</v>
      </c>
      <c r="AN1977" t="s">
        <v>961</v>
      </c>
      <c r="AO1977" t="s">
        <v>444</v>
      </c>
      <c r="AP1977" t="s">
        <v>430</v>
      </c>
      <c r="AQ1977" t="s">
        <v>233</v>
      </c>
      <c r="AR1977" t="s">
        <v>231</v>
      </c>
      <c r="AT1977" t="s">
        <v>52</v>
      </c>
      <c r="AU1977">
        <v>3970</v>
      </c>
      <c r="AW1977">
        <v>45317</v>
      </c>
      <c r="AX1977" t="s">
        <v>1033</v>
      </c>
      <c r="AY1977">
        <v>0</v>
      </c>
      <c r="AZ1977">
        <v>0</v>
      </c>
      <c r="BA1977">
        <v>120330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120330</v>
      </c>
      <c r="BJ1977">
        <v>0</v>
      </c>
      <c r="BK1977">
        <v>120330</v>
      </c>
      <c r="BL1977" t="s">
        <v>242</v>
      </c>
      <c r="BM1977">
        <v>1</v>
      </c>
      <c r="BN1977">
        <v>3970</v>
      </c>
      <c r="BO1977">
        <v>0</v>
      </c>
      <c r="BP1977">
        <v>0</v>
      </c>
      <c r="BQ1977">
        <v>0</v>
      </c>
      <c r="BR1977" t="s">
        <v>72</v>
      </c>
    </row>
    <row r="1978" spans="1:70" x14ac:dyDescent="0.3">
      <c r="A1978" t="s">
        <v>798</v>
      </c>
      <c r="B1978">
        <v>4132301740</v>
      </c>
      <c r="C1978" t="s">
        <v>686</v>
      </c>
      <c r="D1978" t="s">
        <v>959</v>
      </c>
      <c r="E1978" t="s">
        <v>442</v>
      </c>
      <c r="F1978" t="s">
        <v>430</v>
      </c>
      <c r="G1978" t="s">
        <v>230</v>
      </c>
      <c r="H1978" t="s">
        <v>231</v>
      </c>
      <c r="J1978" t="s">
        <v>52</v>
      </c>
      <c r="K1978" s="15">
        <v>3000</v>
      </c>
      <c r="M1978">
        <v>45317</v>
      </c>
      <c r="N1978" t="s">
        <v>1013</v>
      </c>
      <c r="O1978">
        <v>0</v>
      </c>
      <c r="P1978">
        <v>12190.636708298036</v>
      </c>
      <c r="Q1978">
        <v>0</v>
      </c>
      <c r="R1978">
        <v>0</v>
      </c>
      <c r="S1978">
        <v>25539.360000000001</v>
      </c>
      <c r="T1978">
        <v>34868.56382402053</v>
      </c>
      <c r="U1978">
        <v>13084.11214953271</v>
      </c>
      <c r="V1978">
        <v>0</v>
      </c>
      <c r="W1978">
        <v>280373.83177570091</v>
      </c>
      <c r="X1978">
        <v>0</v>
      </c>
      <c r="Y1978">
        <v>366056.50445755222</v>
      </c>
      <c r="Z1978">
        <v>22982.855542447789</v>
      </c>
      <c r="AA1978">
        <v>389039.35999999999</v>
      </c>
      <c r="AB1978" t="s">
        <v>242</v>
      </c>
      <c r="AC1978">
        <v>1</v>
      </c>
      <c r="AD1978">
        <v>3000</v>
      </c>
      <c r="AE1978">
        <v>0</v>
      </c>
      <c r="AF1978">
        <v>0</v>
      </c>
      <c r="AG1978">
        <v>176.02296222510495</v>
      </c>
      <c r="AH1978" t="s">
        <v>72</v>
      </c>
      <c r="AK1978" t="s">
        <v>798</v>
      </c>
      <c r="AL1978">
        <v>4142300192</v>
      </c>
      <c r="AM1978">
        <v>10067571</v>
      </c>
      <c r="AN1978" t="s">
        <v>192</v>
      </c>
      <c r="AO1978" t="s">
        <v>445</v>
      </c>
      <c r="AP1978" t="s">
        <v>430</v>
      </c>
      <c r="AQ1978" t="s">
        <v>233</v>
      </c>
      <c r="AR1978" t="s">
        <v>234</v>
      </c>
      <c r="AT1978" t="s">
        <v>52</v>
      </c>
      <c r="AU1978">
        <v>5000</v>
      </c>
      <c r="AW1978">
        <v>45317</v>
      </c>
      <c r="AX1978" t="s">
        <v>1013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265908.34579439252</v>
      </c>
      <c r="BI1978">
        <v>265908.34579439252</v>
      </c>
      <c r="BJ1978">
        <v>18613.584205607476</v>
      </c>
      <c r="BK1978">
        <v>284521.93</v>
      </c>
      <c r="BL1978" t="s">
        <v>242</v>
      </c>
      <c r="BM1978">
        <v>6</v>
      </c>
      <c r="BN1978">
        <v>30000</v>
      </c>
      <c r="BO1978">
        <v>0</v>
      </c>
      <c r="BP1978">
        <v>0</v>
      </c>
      <c r="BQ1978">
        <v>1962.6168224299054</v>
      </c>
      <c r="BR1978" t="s">
        <v>58</v>
      </c>
    </row>
    <row r="1979" spans="1:70" x14ac:dyDescent="0.3">
      <c r="A1979" t="s">
        <v>798</v>
      </c>
      <c r="B1979">
        <v>4132301757</v>
      </c>
      <c r="C1979" t="s">
        <v>687</v>
      </c>
      <c r="D1979" t="s">
        <v>960</v>
      </c>
      <c r="E1979" t="s">
        <v>442</v>
      </c>
      <c r="F1979" t="s">
        <v>430</v>
      </c>
      <c r="G1979" t="s">
        <v>230</v>
      </c>
      <c r="H1979" t="s">
        <v>231</v>
      </c>
      <c r="J1979" t="s">
        <v>52</v>
      </c>
      <c r="K1979" s="15">
        <v>5000</v>
      </c>
      <c r="M1979">
        <v>45317</v>
      </c>
      <c r="N1979" t="s">
        <v>1013</v>
      </c>
      <c r="O1979">
        <v>0</v>
      </c>
      <c r="P1979">
        <v>24750.749103607621</v>
      </c>
      <c r="Q1979">
        <v>0</v>
      </c>
      <c r="R1979">
        <v>0</v>
      </c>
      <c r="S1979">
        <v>367687.74</v>
      </c>
      <c r="T1979">
        <v>44790.888688217172</v>
      </c>
      <c r="U1979">
        <v>69532.710280373838</v>
      </c>
      <c r="V1979">
        <v>0</v>
      </c>
      <c r="W1979">
        <v>598130.84112149535</v>
      </c>
      <c r="X1979">
        <v>0</v>
      </c>
      <c r="Y1979">
        <v>1104892.9291936939</v>
      </c>
      <c r="Z1979">
        <v>49871.81080630605</v>
      </c>
      <c r="AA1979">
        <v>1154764.74</v>
      </c>
      <c r="AB1979" t="s">
        <v>242</v>
      </c>
      <c r="AC1979">
        <v>1</v>
      </c>
      <c r="AD1979">
        <v>5000</v>
      </c>
      <c r="AE1979">
        <v>0</v>
      </c>
      <c r="AF1979">
        <v>0</v>
      </c>
      <c r="AG1979">
        <v>210.89947406778856</v>
      </c>
      <c r="AH1979" t="s">
        <v>72</v>
      </c>
      <c r="AK1979" t="s">
        <v>798</v>
      </c>
      <c r="AL1979">
        <v>4142301533</v>
      </c>
      <c r="AM1979">
        <v>10583950</v>
      </c>
      <c r="AN1979" t="s">
        <v>759</v>
      </c>
      <c r="AO1979" t="s">
        <v>446</v>
      </c>
      <c r="AP1979" t="s">
        <v>430</v>
      </c>
      <c r="AQ1979" t="s">
        <v>230</v>
      </c>
      <c r="AR1979" t="s">
        <v>234</v>
      </c>
      <c r="AT1979" t="s">
        <v>52</v>
      </c>
      <c r="AU1979">
        <v>5000</v>
      </c>
      <c r="AW1979">
        <v>45317</v>
      </c>
      <c r="AX1979" t="s">
        <v>1029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329917.68224299065</v>
      </c>
      <c r="BI1979">
        <v>329917.68224299065</v>
      </c>
      <c r="BJ1979">
        <v>23094.237757009349</v>
      </c>
      <c r="BK1979">
        <v>353011.92</v>
      </c>
      <c r="BL1979" t="s">
        <v>242</v>
      </c>
      <c r="BM1979">
        <v>1</v>
      </c>
      <c r="BN1979">
        <v>5000</v>
      </c>
      <c r="BO1979">
        <v>0</v>
      </c>
      <c r="BP1979">
        <v>0</v>
      </c>
      <c r="BQ1979">
        <v>327.10280373831756</v>
      </c>
      <c r="BR1979" t="s">
        <v>72</v>
      </c>
    </row>
    <row r="1980" spans="1:70" x14ac:dyDescent="0.3">
      <c r="A1980" t="s">
        <v>798</v>
      </c>
      <c r="B1980">
        <v>4142300047</v>
      </c>
      <c r="C1980">
        <v>126184</v>
      </c>
      <c r="D1980" t="s">
        <v>961</v>
      </c>
      <c r="E1980" t="s">
        <v>444</v>
      </c>
      <c r="F1980" t="s">
        <v>430</v>
      </c>
      <c r="G1980" t="s">
        <v>233</v>
      </c>
      <c r="H1980" t="s">
        <v>231</v>
      </c>
      <c r="J1980" t="s">
        <v>52</v>
      </c>
      <c r="K1980" s="15">
        <v>3970</v>
      </c>
      <c r="M1980">
        <v>45317</v>
      </c>
      <c r="N1980" t="s">
        <v>1033</v>
      </c>
      <c r="O1980">
        <v>0</v>
      </c>
      <c r="P1980">
        <v>0</v>
      </c>
      <c r="Q1980">
        <v>120330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120330</v>
      </c>
      <c r="Z1980">
        <v>0</v>
      </c>
      <c r="AA1980">
        <v>120330</v>
      </c>
      <c r="AB1980" t="s">
        <v>242</v>
      </c>
      <c r="AC1980">
        <v>1</v>
      </c>
      <c r="AD1980">
        <v>3970</v>
      </c>
      <c r="AE1980">
        <v>0</v>
      </c>
      <c r="AF1980">
        <v>0</v>
      </c>
      <c r="AG1980">
        <v>0</v>
      </c>
      <c r="AH1980" t="s">
        <v>72</v>
      </c>
      <c r="AK1980" t="s">
        <v>798</v>
      </c>
      <c r="AL1980">
        <v>12200158</v>
      </c>
      <c r="AM1980">
        <v>27163703</v>
      </c>
      <c r="AN1980" t="s">
        <v>115</v>
      </c>
      <c r="AO1980" t="s">
        <v>438</v>
      </c>
      <c r="AP1980" t="s">
        <v>427</v>
      </c>
      <c r="AQ1980" t="s">
        <v>82</v>
      </c>
      <c r="AR1980" t="s">
        <v>82</v>
      </c>
      <c r="AT1980" t="s">
        <v>52</v>
      </c>
      <c r="AU1980">
        <v>3000</v>
      </c>
      <c r="AW1980">
        <v>45317</v>
      </c>
      <c r="AX1980" t="s">
        <v>1013</v>
      </c>
      <c r="AY1980">
        <v>0</v>
      </c>
      <c r="AZ1980">
        <v>0</v>
      </c>
      <c r="BA1980">
        <v>0</v>
      </c>
      <c r="BB1980">
        <v>0</v>
      </c>
      <c r="BC1980">
        <v>9164.4901276847468</v>
      </c>
      <c r="BD1980">
        <v>0</v>
      </c>
      <c r="BE1980">
        <v>0</v>
      </c>
      <c r="BF1980">
        <v>68571.057534246575</v>
      </c>
      <c r="BG1980">
        <v>0</v>
      </c>
      <c r="BH1980">
        <v>0</v>
      </c>
      <c r="BI1980">
        <v>77735.547661931327</v>
      </c>
      <c r="BJ1980">
        <v>0</v>
      </c>
      <c r="BK1980">
        <v>77735.547661931327</v>
      </c>
      <c r="BL1980" t="s">
        <v>242</v>
      </c>
      <c r="BM1980">
        <v>3</v>
      </c>
      <c r="BN1980">
        <v>6500</v>
      </c>
      <c r="BO1980">
        <v>0</v>
      </c>
      <c r="BP1980">
        <v>0</v>
      </c>
      <c r="BQ1980">
        <v>0</v>
      </c>
      <c r="BR1980" t="s">
        <v>58</v>
      </c>
    </row>
    <row r="1981" spans="1:70" x14ac:dyDescent="0.3">
      <c r="A1981" t="s">
        <v>798</v>
      </c>
      <c r="B1981">
        <v>4142300192</v>
      </c>
      <c r="C1981">
        <v>10067571</v>
      </c>
      <c r="D1981" t="s">
        <v>192</v>
      </c>
      <c r="E1981" t="s">
        <v>445</v>
      </c>
      <c r="F1981" t="s">
        <v>430</v>
      </c>
      <c r="G1981" t="s">
        <v>233</v>
      </c>
      <c r="H1981" t="s">
        <v>234</v>
      </c>
      <c r="J1981" t="s">
        <v>52</v>
      </c>
      <c r="K1981" s="15">
        <v>5000</v>
      </c>
      <c r="M1981">
        <v>45317</v>
      </c>
      <c r="N1981" t="s">
        <v>1013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265908.34579439252</v>
      </c>
      <c r="Y1981">
        <v>265908.34579439252</v>
      </c>
      <c r="Z1981">
        <v>18613.584205607476</v>
      </c>
      <c r="AA1981">
        <v>284521.93</v>
      </c>
      <c r="AB1981" t="s">
        <v>242</v>
      </c>
      <c r="AC1981">
        <v>6</v>
      </c>
      <c r="AD1981">
        <v>30000</v>
      </c>
      <c r="AE1981">
        <v>0</v>
      </c>
      <c r="AF1981">
        <v>0</v>
      </c>
      <c r="AG1981">
        <v>1962.6168224299054</v>
      </c>
      <c r="AH1981" t="s">
        <v>58</v>
      </c>
      <c r="AK1981" t="s">
        <v>798</v>
      </c>
      <c r="AL1981">
        <v>52200893</v>
      </c>
      <c r="AM1981">
        <v>25072067</v>
      </c>
      <c r="AN1981" t="s">
        <v>143</v>
      </c>
      <c r="AO1981" t="s">
        <v>438</v>
      </c>
      <c r="AP1981" t="s">
        <v>431</v>
      </c>
      <c r="AQ1981" t="s">
        <v>82</v>
      </c>
      <c r="AR1981" t="s">
        <v>83</v>
      </c>
      <c r="AT1981" t="s">
        <v>52</v>
      </c>
      <c r="AU1981">
        <v>2000</v>
      </c>
      <c r="AW1981">
        <v>45317</v>
      </c>
      <c r="AX1981" t="s">
        <v>1013</v>
      </c>
      <c r="AY1981">
        <v>0</v>
      </c>
      <c r="AZ1981">
        <v>0</v>
      </c>
      <c r="BA1981">
        <v>0</v>
      </c>
      <c r="BB1981">
        <v>980.27765818753755</v>
      </c>
      <c r="BC1981">
        <v>12267.652598072433</v>
      </c>
      <c r="BD1981">
        <v>0</v>
      </c>
      <c r="BE1981">
        <v>0</v>
      </c>
      <c r="BF1981">
        <v>41101.247765050408</v>
      </c>
      <c r="BG1981">
        <v>0</v>
      </c>
      <c r="BH1981">
        <v>0</v>
      </c>
      <c r="BI1981">
        <v>54349.178021310378</v>
      </c>
      <c r="BJ1981">
        <v>3735.8230254185992</v>
      </c>
      <c r="BK1981">
        <v>58085.001046728976</v>
      </c>
      <c r="BL1981" t="s">
        <v>242</v>
      </c>
      <c r="BM1981">
        <v>3</v>
      </c>
      <c r="BN1981">
        <v>6000</v>
      </c>
      <c r="BO1981">
        <v>0</v>
      </c>
      <c r="BP1981">
        <v>0</v>
      </c>
      <c r="BQ1981">
        <v>385.41068791881116</v>
      </c>
      <c r="BR1981" t="s">
        <v>58</v>
      </c>
    </row>
    <row r="1982" spans="1:70" x14ac:dyDescent="0.3">
      <c r="A1982" t="s">
        <v>798</v>
      </c>
      <c r="B1982">
        <v>4142301533</v>
      </c>
      <c r="C1982">
        <v>10583950</v>
      </c>
      <c r="D1982" t="s">
        <v>759</v>
      </c>
      <c r="E1982" t="s">
        <v>446</v>
      </c>
      <c r="F1982" t="s">
        <v>430</v>
      </c>
      <c r="G1982" t="s">
        <v>230</v>
      </c>
      <c r="H1982" t="s">
        <v>234</v>
      </c>
      <c r="J1982" t="s">
        <v>52</v>
      </c>
      <c r="K1982" s="15">
        <v>5000</v>
      </c>
      <c r="M1982">
        <v>45317</v>
      </c>
      <c r="N1982" t="s">
        <v>1029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329917.68224299065</v>
      </c>
      <c r="Y1982">
        <v>329917.68224299065</v>
      </c>
      <c r="Z1982">
        <v>23094.237757009349</v>
      </c>
      <c r="AA1982">
        <v>353011.92</v>
      </c>
      <c r="AB1982" t="s">
        <v>242</v>
      </c>
      <c r="AC1982">
        <v>1</v>
      </c>
      <c r="AD1982">
        <v>5000</v>
      </c>
      <c r="AE1982">
        <v>0</v>
      </c>
      <c r="AF1982">
        <v>0</v>
      </c>
      <c r="AG1982">
        <v>327.10280373831756</v>
      </c>
      <c r="AH1982" t="s">
        <v>72</v>
      </c>
      <c r="AK1982" t="s">
        <v>798</v>
      </c>
      <c r="AL1982">
        <v>52201541</v>
      </c>
      <c r="AM1982">
        <v>28683740</v>
      </c>
      <c r="AN1982" t="s">
        <v>160</v>
      </c>
      <c r="AO1982" t="s">
        <v>438</v>
      </c>
      <c r="AP1982" t="s">
        <v>431</v>
      </c>
      <c r="AQ1982" t="s">
        <v>82</v>
      </c>
      <c r="AR1982" t="s">
        <v>83</v>
      </c>
      <c r="AT1982" t="s">
        <v>52</v>
      </c>
      <c r="AU1982">
        <v>2000</v>
      </c>
      <c r="AW1982">
        <v>45317</v>
      </c>
      <c r="AX1982" t="s">
        <v>1013</v>
      </c>
      <c r="AY1982">
        <v>0</v>
      </c>
      <c r="AZ1982">
        <v>0</v>
      </c>
      <c r="BA1982">
        <v>0</v>
      </c>
      <c r="BB1982">
        <v>981.84189703892343</v>
      </c>
      <c r="BC1982">
        <v>6432.8726253780405</v>
      </c>
      <c r="BD1982">
        <v>0</v>
      </c>
      <c r="BE1982">
        <v>0</v>
      </c>
      <c r="BF1982">
        <v>84588.770761090957</v>
      </c>
      <c r="BG1982">
        <v>0</v>
      </c>
      <c r="BH1982">
        <v>0</v>
      </c>
      <c r="BI1982">
        <v>92003.485283507922</v>
      </c>
      <c r="BJ1982">
        <v>6371.5150370528299</v>
      </c>
      <c r="BK1982">
        <v>98375.00032056075</v>
      </c>
      <c r="BL1982" t="s">
        <v>242</v>
      </c>
      <c r="BM1982">
        <v>5</v>
      </c>
      <c r="BN1982">
        <v>10000</v>
      </c>
      <c r="BO1982">
        <v>0</v>
      </c>
      <c r="BP1982">
        <v>0</v>
      </c>
      <c r="BQ1982">
        <v>647.19526429226607</v>
      </c>
      <c r="BR1982" t="s">
        <v>58</v>
      </c>
    </row>
    <row r="1983" spans="1:70" x14ac:dyDescent="0.3">
      <c r="A1983" t="s">
        <v>798</v>
      </c>
      <c r="B1983">
        <v>42200247</v>
      </c>
      <c r="C1983">
        <v>2750004205</v>
      </c>
      <c r="D1983" t="s">
        <v>948</v>
      </c>
      <c r="E1983" t="s">
        <v>439</v>
      </c>
      <c r="F1983" t="s">
        <v>430</v>
      </c>
      <c r="G1983" t="s">
        <v>232</v>
      </c>
      <c r="H1983" t="s">
        <v>71</v>
      </c>
      <c r="J1983" t="s">
        <v>52</v>
      </c>
      <c r="K1983" s="15">
        <v>50000</v>
      </c>
      <c r="M1983">
        <v>45318</v>
      </c>
      <c r="N1983" t="s">
        <v>1018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51377.460256411039</v>
      </c>
      <c r="Y1983">
        <v>51377.460256411039</v>
      </c>
      <c r="Z1983">
        <v>3596.4222179487729</v>
      </c>
      <c r="AA1983">
        <v>54973.882474359809</v>
      </c>
      <c r="AB1983" t="s">
        <v>242</v>
      </c>
      <c r="AC1983">
        <v>1</v>
      </c>
      <c r="AD1983">
        <v>50000</v>
      </c>
      <c r="AE1983">
        <v>0</v>
      </c>
      <c r="AF1983">
        <v>0</v>
      </c>
      <c r="AG1983">
        <v>3271.0280373831774</v>
      </c>
      <c r="AH1983" t="s">
        <v>58</v>
      </c>
      <c r="AK1983" t="s">
        <v>798</v>
      </c>
      <c r="AL1983">
        <v>42200247</v>
      </c>
      <c r="AM1983">
        <v>2750004205</v>
      </c>
      <c r="AN1983" t="s">
        <v>948</v>
      </c>
      <c r="AO1983" t="s">
        <v>439</v>
      </c>
      <c r="AP1983" t="s">
        <v>430</v>
      </c>
      <c r="AQ1983" t="s">
        <v>1078</v>
      </c>
      <c r="AR1983" t="s">
        <v>71</v>
      </c>
      <c r="AT1983" t="s">
        <v>52</v>
      </c>
      <c r="AU1983">
        <v>50000</v>
      </c>
      <c r="AW1983">
        <v>45318</v>
      </c>
      <c r="AX1983" t="s">
        <v>1018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51377.460256411039</v>
      </c>
      <c r="BI1983">
        <v>51377.460256411039</v>
      </c>
      <c r="BJ1983">
        <v>3596.4222179487729</v>
      </c>
      <c r="BK1983">
        <v>54973.882474359809</v>
      </c>
      <c r="BL1983" t="s">
        <v>242</v>
      </c>
      <c r="BM1983">
        <v>1</v>
      </c>
      <c r="BN1983">
        <v>50000</v>
      </c>
      <c r="BO1983">
        <v>0</v>
      </c>
      <c r="BP1983">
        <v>0</v>
      </c>
      <c r="BQ1983">
        <v>3271.0280373831774</v>
      </c>
      <c r="BR1983" t="s">
        <v>58</v>
      </c>
    </row>
    <row r="1984" spans="1:70" x14ac:dyDescent="0.3">
      <c r="A1984" t="s">
        <v>798</v>
      </c>
      <c r="B1984">
        <v>52201063</v>
      </c>
      <c r="C1984">
        <v>23710909</v>
      </c>
      <c r="D1984" t="s">
        <v>147</v>
      </c>
      <c r="E1984" t="s">
        <v>438</v>
      </c>
      <c r="F1984" t="s">
        <v>431</v>
      </c>
      <c r="G1984" t="s">
        <v>82</v>
      </c>
      <c r="H1984" t="s">
        <v>83</v>
      </c>
      <c r="J1984" t="s">
        <v>52</v>
      </c>
      <c r="K1984" s="15">
        <v>1000</v>
      </c>
      <c r="M1984">
        <v>45318</v>
      </c>
      <c r="N1984" t="s">
        <v>1013</v>
      </c>
      <c r="O1984">
        <v>0</v>
      </c>
      <c r="P1984">
        <v>0</v>
      </c>
      <c r="Q1984">
        <v>0</v>
      </c>
      <c r="R1984">
        <v>802.06403726662506</v>
      </c>
      <c r="S1984">
        <v>21661.23924489757</v>
      </c>
      <c r="T1984">
        <v>0</v>
      </c>
      <c r="U1984">
        <v>0</v>
      </c>
      <c r="V1984">
        <v>49966.73843998649</v>
      </c>
      <c r="W1984">
        <v>0</v>
      </c>
      <c r="X1984">
        <v>0</v>
      </c>
      <c r="Y1984">
        <v>72430.04172215068</v>
      </c>
      <c r="Z1984">
        <v>5013.9584379418848</v>
      </c>
      <c r="AA1984">
        <v>77444.000160092561</v>
      </c>
      <c r="AB1984" t="s">
        <v>242</v>
      </c>
      <c r="AC1984">
        <v>8</v>
      </c>
      <c r="AD1984">
        <v>8000</v>
      </c>
      <c r="AE1984">
        <v>0</v>
      </c>
      <c r="AF1984">
        <v>0</v>
      </c>
      <c r="AG1984">
        <v>517.54624542865781</v>
      </c>
      <c r="AH1984" t="s">
        <v>58</v>
      </c>
      <c r="AK1984" t="s">
        <v>798</v>
      </c>
      <c r="AL1984">
        <v>4132301517</v>
      </c>
      <c r="AM1984" t="s">
        <v>98</v>
      </c>
      <c r="AN1984" t="s">
        <v>962</v>
      </c>
      <c r="AO1984" t="s">
        <v>442</v>
      </c>
      <c r="AP1984" t="s">
        <v>430</v>
      </c>
      <c r="AQ1984" t="s">
        <v>230</v>
      </c>
      <c r="AR1984" t="s">
        <v>231</v>
      </c>
      <c r="AT1984" t="s">
        <v>52</v>
      </c>
      <c r="AU1984">
        <v>7000</v>
      </c>
      <c r="AW1984">
        <v>45318</v>
      </c>
      <c r="AX1984" t="s">
        <v>1013</v>
      </c>
      <c r="AY1984">
        <v>0</v>
      </c>
      <c r="AZ1984">
        <v>3543.3767054941004</v>
      </c>
      <c r="BA1984">
        <v>0</v>
      </c>
      <c r="BB1984">
        <v>0</v>
      </c>
      <c r="BC1984">
        <v>138975.37</v>
      </c>
      <c r="BD1984">
        <v>0</v>
      </c>
      <c r="BE1984">
        <v>0</v>
      </c>
      <c r="BF1984">
        <v>0</v>
      </c>
      <c r="BG1984">
        <v>212562.26476122046</v>
      </c>
      <c r="BH1984">
        <v>0</v>
      </c>
      <c r="BI1984">
        <v>355081.01146671455</v>
      </c>
      <c r="BJ1984">
        <v>14879.358533285433</v>
      </c>
      <c r="BK1984">
        <v>369960.37</v>
      </c>
      <c r="BL1984" t="s">
        <v>242</v>
      </c>
      <c r="BM1984">
        <v>3</v>
      </c>
      <c r="BN1984">
        <v>21000</v>
      </c>
      <c r="BO1984">
        <v>0</v>
      </c>
      <c r="BP1984">
        <v>0</v>
      </c>
      <c r="BQ1984">
        <v>821.57604615381979</v>
      </c>
      <c r="BR1984" t="s">
        <v>58</v>
      </c>
    </row>
    <row r="1985" spans="1:70" x14ac:dyDescent="0.3">
      <c r="A1985" t="s">
        <v>798</v>
      </c>
      <c r="B1985">
        <v>4132300176</v>
      </c>
      <c r="C1985">
        <v>9060005726</v>
      </c>
      <c r="D1985" t="s">
        <v>172</v>
      </c>
      <c r="E1985" t="s">
        <v>441</v>
      </c>
      <c r="F1985" t="s">
        <v>430</v>
      </c>
      <c r="G1985" t="s">
        <v>230</v>
      </c>
      <c r="H1985" t="s">
        <v>231</v>
      </c>
      <c r="J1985" t="s">
        <v>52</v>
      </c>
      <c r="K1985" s="15">
        <v>1000</v>
      </c>
      <c r="M1985">
        <v>45318</v>
      </c>
      <c r="N1985" t="s">
        <v>1013</v>
      </c>
      <c r="O1985">
        <v>0</v>
      </c>
      <c r="P1985">
        <v>3831.5655898417867</v>
      </c>
      <c r="Q1985">
        <v>0</v>
      </c>
      <c r="R1985">
        <v>0</v>
      </c>
      <c r="S1985">
        <v>4144.1917808219177</v>
      </c>
      <c r="T1985">
        <v>19596.66767304506</v>
      </c>
      <c r="U1985">
        <v>0</v>
      </c>
      <c r="V1985">
        <v>0</v>
      </c>
      <c r="W1985">
        <v>61682.242990654209</v>
      </c>
      <c r="X1985">
        <v>0</v>
      </c>
      <c r="Y1985">
        <v>89254.668034362971</v>
      </c>
      <c r="Z1985">
        <v>5689.5237464589491</v>
      </c>
      <c r="AA1985">
        <v>94944.191780821915</v>
      </c>
      <c r="AB1985" t="s">
        <v>242</v>
      </c>
      <c r="AC1985">
        <v>3</v>
      </c>
      <c r="AD1985">
        <v>3000</v>
      </c>
      <c r="AE1985">
        <v>0</v>
      </c>
      <c r="AF1985">
        <v>0</v>
      </c>
      <c r="AG1985">
        <v>178.700552606472</v>
      </c>
      <c r="AH1985" t="s">
        <v>58</v>
      </c>
      <c r="AK1985" t="s">
        <v>798</v>
      </c>
      <c r="AL1985">
        <v>52201063</v>
      </c>
      <c r="AM1985">
        <v>23710909</v>
      </c>
      <c r="AN1985" t="s">
        <v>147</v>
      </c>
      <c r="AO1985" t="s">
        <v>438</v>
      </c>
      <c r="AP1985" t="s">
        <v>431</v>
      </c>
      <c r="AQ1985" t="s">
        <v>82</v>
      </c>
      <c r="AR1985" t="s">
        <v>83</v>
      </c>
      <c r="AT1985" t="s">
        <v>52</v>
      </c>
      <c r="AU1985">
        <v>1000</v>
      </c>
      <c r="AW1985">
        <v>45318</v>
      </c>
      <c r="AX1985" t="s">
        <v>1013</v>
      </c>
      <c r="AY1985">
        <v>0</v>
      </c>
      <c r="AZ1985">
        <v>0</v>
      </c>
      <c r="BA1985">
        <v>0</v>
      </c>
      <c r="BB1985">
        <v>802.06403726662506</v>
      </c>
      <c r="BC1985">
        <v>21661.23924489757</v>
      </c>
      <c r="BD1985">
        <v>0</v>
      </c>
      <c r="BE1985">
        <v>0</v>
      </c>
      <c r="BF1985">
        <v>49966.73843998649</v>
      </c>
      <c r="BG1985">
        <v>0</v>
      </c>
      <c r="BH1985">
        <v>0</v>
      </c>
      <c r="BI1985">
        <v>72430.04172215068</v>
      </c>
      <c r="BJ1985">
        <v>5013.9584379418848</v>
      </c>
      <c r="BK1985">
        <v>77444.000160092561</v>
      </c>
      <c r="BL1985" t="s">
        <v>242</v>
      </c>
      <c r="BM1985">
        <v>8</v>
      </c>
      <c r="BN1985">
        <v>8000</v>
      </c>
      <c r="BO1985">
        <v>0</v>
      </c>
      <c r="BP1985">
        <v>0</v>
      </c>
      <c r="BQ1985">
        <v>517.54624542865781</v>
      </c>
      <c r="BR1985" t="s">
        <v>58</v>
      </c>
    </row>
    <row r="1986" spans="1:70" x14ac:dyDescent="0.3">
      <c r="A1986" t="s">
        <v>798</v>
      </c>
      <c r="B1986">
        <v>4132301112</v>
      </c>
      <c r="C1986">
        <v>3010184753</v>
      </c>
      <c r="D1986" t="s">
        <v>179</v>
      </c>
      <c r="E1986" t="s">
        <v>441</v>
      </c>
      <c r="F1986" t="s">
        <v>430</v>
      </c>
      <c r="G1986" t="s">
        <v>233</v>
      </c>
      <c r="H1986" t="s">
        <v>231</v>
      </c>
      <c r="J1986" t="s">
        <v>52</v>
      </c>
      <c r="K1986" s="15">
        <v>500</v>
      </c>
      <c r="M1986">
        <v>45318</v>
      </c>
      <c r="N1986" t="s">
        <v>1013</v>
      </c>
      <c r="O1986">
        <v>0</v>
      </c>
      <c r="P1986">
        <v>3473.3174110364607</v>
      </c>
      <c r="Q1986">
        <v>0</v>
      </c>
      <c r="R1986">
        <v>0</v>
      </c>
      <c r="S1986">
        <v>21290.753424657534</v>
      </c>
      <c r="T1986">
        <v>54324.002419592085</v>
      </c>
      <c r="U1986">
        <v>0</v>
      </c>
      <c r="V1986">
        <v>0</v>
      </c>
      <c r="W1986">
        <v>0</v>
      </c>
      <c r="X1986">
        <v>0</v>
      </c>
      <c r="Y1986">
        <v>79088.073255286086</v>
      </c>
      <c r="Z1986">
        <v>3802.6801693714465</v>
      </c>
      <c r="AA1986">
        <v>82890.753424657538</v>
      </c>
      <c r="AB1986" t="s">
        <v>242</v>
      </c>
      <c r="AC1986">
        <v>4</v>
      </c>
      <c r="AD1986">
        <v>2000</v>
      </c>
      <c r="AE1986">
        <v>0</v>
      </c>
      <c r="AF1986">
        <v>0</v>
      </c>
      <c r="AG1986">
        <v>89.843195114534808</v>
      </c>
      <c r="AH1986" t="s">
        <v>58</v>
      </c>
      <c r="AK1986" t="s">
        <v>798</v>
      </c>
      <c r="AL1986">
        <v>4132300176</v>
      </c>
      <c r="AM1986">
        <v>9060005726</v>
      </c>
      <c r="AN1986" t="s">
        <v>172</v>
      </c>
      <c r="AO1986" t="s">
        <v>441</v>
      </c>
      <c r="AP1986" t="s">
        <v>430</v>
      </c>
      <c r="AQ1986" t="s">
        <v>230</v>
      </c>
      <c r="AR1986" t="s">
        <v>231</v>
      </c>
      <c r="AT1986" t="s">
        <v>52</v>
      </c>
      <c r="AU1986">
        <v>1000</v>
      </c>
      <c r="AW1986">
        <v>45318</v>
      </c>
      <c r="AX1986" t="s">
        <v>1013</v>
      </c>
      <c r="AY1986">
        <v>0</v>
      </c>
      <c r="AZ1986">
        <v>3831.5655898417867</v>
      </c>
      <c r="BA1986">
        <v>0</v>
      </c>
      <c r="BB1986">
        <v>0</v>
      </c>
      <c r="BC1986">
        <v>4144.1917808219177</v>
      </c>
      <c r="BD1986">
        <v>19596.66767304506</v>
      </c>
      <c r="BE1986">
        <v>0</v>
      </c>
      <c r="BF1986">
        <v>0</v>
      </c>
      <c r="BG1986">
        <v>61682.242990654209</v>
      </c>
      <c r="BH1986">
        <v>0</v>
      </c>
      <c r="BI1986">
        <v>89254.668034362971</v>
      </c>
      <c r="BJ1986">
        <v>5689.5237464589491</v>
      </c>
      <c r="BK1986">
        <v>94944.191780821915</v>
      </c>
      <c r="BL1986" t="s">
        <v>242</v>
      </c>
      <c r="BM1986">
        <v>3</v>
      </c>
      <c r="BN1986">
        <v>3000</v>
      </c>
      <c r="BO1986">
        <v>0</v>
      </c>
      <c r="BP1986">
        <v>0</v>
      </c>
      <c r="BQ1986">
        <v>178.700552606472</v>
      </c>
      <c r="BR1986" t="s">
        <v>58</v>
      </c>
    </row>
    <row r="1987" spans="1:70" x14ac:dyDescent="0.3">
      <c r="A1987" t="s">
        <v>798</v>
      </c>
      <c r="B1987">
        <v>4132301517</v>
      </c>
      <c r="C1987" t="s">
        <v>98</v>
      </c>
      <c r="D1987" t="s">
        <v>962</v>
      </c>
      <c r="E1987" t="s">
        <v>442</v>
      </c>
      <c r="F1987" t="s">
        <v>430</v>
      </c>
      <c r="G1987" t="s">
        <v>230</v>
      </c>
      <c r="H1987" t="s">
        <v>231</v>
      </c>
      <c r="J1987" t="s">
        <v>52</v>
      </c>
      <c r="K1987" s="15">
        <v>7000</v>
      </c>
      <c r="M1987">
        <v>45318</v>
      </c>
      <c r="N1987" t="s">
        <v>1013</v>
      </c>
      <c r="O1987">
        <v>0</v>
      </c>
      <c r="P1987">
        <v>3543.3767054941004</v>
      </c>
      <c r="Q1987">
        <v>0</v>
      </c>
      <c r="R1987">
        <v>0</v>
      </c>
      <c r="S1987">
        <v>138975.37</v>
      </c>
      <c r="T1987">
        <v>0</v>
      </c>
      <c r="U1987">
        <v>0</v>
      </c>
      <c r="V1987">
        <v>0</v>
      </c>
      <c r="W1987">
        <v>212562.26476122046</v>
      </c>
      <c r="X1987">
        <v>0</v>
      </c>
      <c r="Y1987">
        <v>355081.01146671455</v>
      </c>
      <c r="Z1987">
        <v>14879.358533285433</v>
      </c>
      <c r="AA1987">
        <v>369960.37</v>
      </c>
      <c r="AB1987" t="s">
        <v>242</v>
      </c>
      <c r="AC1987">
        <v>3</v>
      </c>
      <c r="AD1987">
        <v>21000</v>
      </c>
      <c r="AE1987">
        <v>0</v>
      </c>
      <c r="AF1987">
        <v>0</v>
      </c>
      <c r="AG1987">
        <v>821.57604615381979</v>
      </c>
      <c r="AH1987" t="s">
        <v>58</v>
      </c>
      <c r="AK1987" t="s">
        <v>798</v>
      </c>
      <c r="AL1987">
        <v>4132301112</v>
      </c>
      <c r="AM1987">
        <v>3010184753</v>
      </c>
      <c r="AN1987" t="s">
        <v>179</v>
      </c>
      <c r="AO1987" t="s">
        <v>441</v>
      </c>
      <c r="AP1987" t="s">
        <v>430</v>
      </c>
      <c r="AQ1987" t="s">
        <v>233</v>
      </c>
      <c r="AR1987" t="s">
        <v>231</v>
      </c>
      <c r="AT1987" t="s">
        <v>52</v>
      </c>
      <c r="AU1987">
        <v>500</v>
      </c>
      <c r="AW1987">
        <v>45318</v>
      </c>
      <c r="AX1987" t="s">
        <v>1013</v>
      </c>
      <c r="AY1987">
        <v>0</v>
      </c>
      <c r="AZ1987">
        <v>3473.3174110364607</v>
      </c>
      <c r="BA1987">
        <v>0</v>
      </c>
      <c r="BB1987">
        <v>0</v>
      </c>
      <c r="BC1987">
        <v>21290.753424657534</v>
      </c>
      <c r="BD1987">
        <v>54324.002419592085</v>
      </c>
      <c r="BE1987">
        <v>0</v>
      </c>
      <c r="BF1987">
        <v>0</v>
      </c>
      <c r="BG1987">
        <v>0</v>
      </c>
      <c r="BH1987">
        <v>0</v>
      </c>
      <c r="BI1987">
        <v>79088.073255286086</v>
      </c>
      <c r="BJ1987">
        <v>3802.6801693714465</v>
      </c>
      <c r="BK1987">
        <v>82890.753424657538</v>
      </c>
      <c r="BL1987" t="s">
        <v>242</v>
      </c>
      <c r="BM1987">
        <v>4</v>
      </c>
      <c r="BN1987">
        <v>2000</v>
      </c>
      <c r="BO1987">
        <v>0</v>
      </c>
      <c r="BP1987">
        <v>0</v>
      </c>
      <c r="BQ1987">
        <v>89.843195114534808</v>
      </c>
      <c r="BR1987" t="s">
        <v>58</v>
      </c>
    </row>
    <row r="1988" spans="1:70" x14ac:dyDescent="0.3">
      <c r="A1988" t="s">
        <v>798</v>
      </c>
      <c r="B1988">
        <v>52201479</v>
      </c>
      <c r="C1988">
        <v>26373941</v>
      </c>
      <c r="D1988" t="s">
        <v>159</v>
      </c>
      <c r="E1988" t="s">
        <v>438</v>
      </c>
      <c r="F1988" t="s">
        <v>431</v>
      </c>
      <c r="G1988" t="s">
        <v>82</v>
      </c>
      <c r="H1988" t="s">
        <v>83</v>
      </c>
      <c r="J1988" t="s">
        <v>52</v>
      </c>
      <c r="K1988" s="15">
        <v>4700</v>
      </c>
      <c r="M1988">
        <v>45319</v>
      </c>
      <c r="N1988" t="s">
        <v>1034</v>
      </c>
      <c r="O1988">
        <v>0</v>
      </c>
      <c r="P1988">
        <v>0</v>
      </c>
      <c r="Q1988">
        <v>0</v>
      </c>
      <c r="R1988">
        <v>273.72034397997459</v>
      </c>
      <c r="S1988">
        <v>0</v>
      </c>
      <c r="T1988">
        <v>0</v>
      </c>
      <c r="U1988">
        <v>0</v>
      </c>
      <c r="V1988">
        <v>22672.224057071733</v>
      </c>
      <c r="W1988">
        <v>0</v>
      </c>
      <c r="X1988">
        <v>0</v>
      </c>
      <c r="Y1988">
        <v>22945.944401051707</v>
      </c>
      <c r="Z1988">
        <v>1587.0556839950216</v>
      </c>
      <c r="AA1988">
        <v>24533.00008504673</v>
      </c>
      <c r="AB1988" t="s">
        <v>242</v>
      </c>
      <c r="AC1988">
        <v>11</v>
      </c>
      <c r="AD1988">
        <v>49100</v>
      </c>
      <c r="AE1988">
        <v>0</v>
      </c>
      <c r="AF1988">
        <v>0</v>
      </c>
      <c r="AG1988">
        <v>3171.7667514753261</v>
      </c>
      <c r="AH1988" t="s">
        <v>58</v>
      </c>
      <c r="AK1988" t="s">
        <v>798</v>
      </c>
      <c r="AL1988">
        <v>4312300012</v>
      </c>
      <c r="AM1988" t="s">
        <v>61</v>
      </c>
      <c r="AN1988" t="s">
        <v>963</v>
      </c>
      <c r="AO1988" t="s">
        <v>448</v>
      </c>
      <c r="AP1988" t="s">
        <v>433</v>
      </c>
      <c r="AQ1988" t="s">
        <v>82</v>
      </c>
      <c r="AR1988" t="s">
        <v>71</v>
      </c>
      <c r="AT1988" t="s">
        <v>52</v>
      </c>
      <c r="AU1988">
        <v>15000</v>
      </c>
      <c r="AW1988">
        <v>45319</v>
      </c>
      <c r="AX1988" t="s">
        <v>1029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1884958.2056074766</v>
      </c>
      <c r="BI1988">
        <v>1884958.2056074766</v>
      </c>
      <c r="BJ1988">
        <v>131947.07439252338</v>
      </c>
      <c r="BK1988">
        <v>2016905.28</v>
      </c>
      <c r="BL1988" t="s">
        <v>242</v>
      </c>
      <c r="BM1988">
        <v>7</v>
      </c>
      <c r="BN1988">
        <v>95165</v>
      </c>
      <c r="BO1988">
        <v>0</v>
      </c>
      <c r="BP1988">
        <v>0</v>
      </c>
      <c r="BQ1988">
        <v>6225.7476635514031</v>
      </c>
      <c r="BR1988" t="s">
        <v>58</v>
      </c>
    </row>
    <row r="1989" spans="1:70" x14ac:dyDescent="0.3">
      <c r="A1989" t="s">
        <v>798</v>
      </c>
      <c r="B1989">
        <v>4312300012</v>
      </c>
      <c r="C1989" t="s">
        <v>61</v>
      </c>
      <c r="D1989" t="s">
        <v>963</v>
      </c>
      <c r="E1989" t="s">
        <v>448</v>
      </c>
      <c r="F1989" t="s">
        <v>433</v>
      </c>
      <c r="G1989" t="s">
        <v>82</v>
      </c>
      <c r="H1989" t="s">
        <v>71</v>
      </c>
      <c r="J1989" t="s">
        <v>52</v>
      </c>
      <c r="K1989" s="15">
        <v>15000</v>
      </c>
      <c r="M1989">
        <v>45319</v>
      </c>
      <c r="N1989" t="s">
        <v>1029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1884958.2056074766</v>
      </c>
      <c r="Y1989">
        <v>1884958.2056074766</v>
      </c>
      <c r="Z1989">
        <v>131947.07439252338</v>
      </c>
      <c r="AA1989">
        <v>2016905.28</v>
      </c>
      <c r="AB1989" t="s">
        <v>242</v>
      </c>
      <c r="AC1989">
        <v>7</v>
      </c>
      <c r="AD1989">
        <v>95165</v>
      </c>
      <c r="AE1989">
        <v>0</v>
      </c>
      <c r="AF1989">
        <v>0</v>
      </c>
      <c r="AG1989">
        <v>6225.7476635514031</v>
      </c>
      <c r="AH1989" t="s">
        <v>58</v>
      </c>
      <c r="AK1989" t="s">
        <v>798</v>
      </c>
      <c r="AL1989">
        <v>52201479</v>
      </c>
      <c r="AM1989">
        <v>26373941</v>
      </c>
      <c r="AN1989" t="s">
        <v>159</v>
      </c>
      <c r="AO1989" t="s">
        <v>438</v>
      </c>
      <c r="AP1989" t="s">
        <v>431</v>
      </c>
      <c r="AQ1989" t="s">
        <v>82</v>
      </c>
      <c r="AR1989" t="s">
        <v>83</v>
      </c>
      <c r="AT1989" t="s">
        <v>52</v>
      </c>
      <c r="AU1989">
        <v>4700</v>
      </c>
      <c r="AW1989">
        <v>45319</v>
      </c>
      <c r="AX1989" t="s">
        <v>1034</v>
      </c>
      <c r="AY1989">
        <v>0</v>
      </c>
      <c r="AZ1989">
        <v>0</v>
      </c>
      <c r="BA1989">
        <v>0</v>
      </c>
      <c r="BB1989">
        <v>273.72034397997459</v>
      </c>
      <c r="BC1989">
        <v>0</v>
      </c>
      <c r="BD1989">
        <v>0</v>
      </c>
      <c r="BE1989">
        <v>0</v>
      </c>
      <c r="BF1989">
        <v>22672.224057071733</v>
      </c>
      <c r="BG1989">
        <v>0</v>
      </c>
      <c r="BH1989">
        <v>0</v>
      </c>
      <c r="BI1989">
        <v>22945.944401051707</v>
      </c>
      <c r="BJ1989">
        <v>1587.0556839950216</v>
      </c>
      <c r="BK1989">
        <v>24533.00008504673</v>
      </c>
      <c r="BL1989" t="s">
        <v>242</v>
      </c>
      <c r="BM1989">
        <v>11</v>
      </c>
      <c r="BN1989">
        <v>49100</v>
      </c>
      <c r="BO1989">
        <v>0</v>
      </c>
      <c r="BP1989">
        <v>0</v>
      </c>
      <c r="BQ1989">
        <v>3171.7667514753261</v>
      </c>
      <c r="BR1989" t="s">
        <v>58</v>
      </c>
    </row>
    <row r="1990" spans="1:70" x14ac:dyDescent="0.3">
      <c r="A1990" t="s">
        <v>798</v>
      </c>
      <c r="B1990">
        <v>12200168</v>
      </c>
      <c r="C1990">
        <v>22304640</v>
      </c>
      <c r="D1990" t="s">
        <v>116</v>
      </c>
      <c r="E1990" t="s">
        <v>438</v>
      </c>
      <c r="F1990" t="s">
        <v>427</v>
      </c>
      <c r="G1990" t="s">
        <v>82</v>
      </c>
      <c r="H1990" t="s">
        <v>82</v>
      </c>
      <c r="J1990" t="s">
        <v>52</v>
      </c>
      <c r="K1990" s="15">
        <v>2000</v>
      </c>
      <c r="M1990">
        <v>45320</v>
      </c>
      <c r="N1990" t="s">
        <v>1013</v>
      </c>
      <c r="O1990">
        <v>0</v>
      </c>
      <c r="P1990">
        <v>0</v>
      </c>
      <c r="Q1990">
        <v>0</v>
      </c>
      <c r="R1990">
        <v>0</v>
      </c>
      <c r="S1990">
        <v>22171.057465295118</v>
      </c>
      <c r="T1990">
        <v>0</v>
      </c>
      <c r="U1990">
        <v>0</v>
      </c>
      <c r="V1990">
        <v>265200.49260584638</v>
      </c>
      <c r="W1990">
        <v>0</v>
      </c>
      <c r="X1990">
        <v>0</v>
      </c>
      <c r="Y1990">
        <v>287371.55007114151</v>
      </c>
      <c r="Z1990">
        <v>0</v>
      </c>
      <c r="AA1990">
        <v>287371.55007114151</v>
      </c>
      <c r="AB1990" t="s">
        <v>242</v>
      </c>
      <c r="AC1990">
        <v>9</v>
      </c>
      <c r="AD1990">
        <v>57830</v>
      </c>
      <c r="AE1990">
        <v>0</v>
      </c>
      <c r="AF1990">
        <v>0</v>
      </c>
      <c r="AG1990">
        <v>0</v>
      </c>
      <c r="AH1990" t="s">
        <v>58</v>
      </c>
      <c r="AK1990" t="s">
        <v>798</v>
      </c>
      <c r="AL1990">
        <v>4142300049</v>
      </c>
      <c r="AM1990">
        <v>131561</v>
      </c>
      <c r="AN1990" t="s">
        <v>946</v>
      </c>
      <c r="AO1990" t="s">
        <v>444</v>
      </c>
      <c r="AP1990" t="s">
        <v>430</v>
      </c>
      <c r="AQ1990" t="s">
        <v>419</v>
      </c>
      <c r="AR1990" t="s">
        <v>231</v>
      </c>
      <c r="AT1990" t="s">
        <v>52</v>
      </c>
      <c r="AU1990">
        <v>100000</v>
      </c>
      <c r="AW1990">
        <v>45320</v>
      </c>
      <c r="AX1990" t="s">
        <v>1018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 t="s">
        <v>242</v>
      </c>
      <c r="BM1990">
        <v>1</v>
      </c>
      <c r="BN1990">
        <v>100000</v>
      </c>
      <c r="BO1990">
        <v>0</v>
      </c>
      <c r="BP1990">
        <v>0</v>
      </c>
      <c r="BQ1990">
        <v>0</v>
      </c>
      <c r="BR1990" t="s">
        <v>58</v>
      </c>
    </row>
    <row r="1991" spans="1:70" x14ac:dyDescent="0.3">
      <c r="A1991" t="s">
        <v>798</v>
      </c>
      <c r="B1991">
        <v>12200176</v>
      </c>
      <c r="C1991">
        <v>28068851</v>
      </c>
      <c r="D1991" t="s">
        <v>119</v>
      </c>
      <c r="E1991" t="s">
        <v>438</v>
      </c>
      <c r="F1991" t="s">
        <v>427</v>
      </c>
      <c r="G1991" t="s">
        <v>82</v>
      </c>
      <c r="H1991" t="s">
        <v>82</v>
      </c>
      <c r="J1991" t="s">
        <v>52</v>
      </c>
      <c r="K1991" s="15">
        <v>3000</v>
      </c>
      <c r="M1991">
        <v>45320</v>
      </c>
      <c r="N1991" t="s">
        <v>1013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138725.36979491089</v>
      </c>
      <c r="W1991">
        <v>0</v>
      </c>
      <c r="X1991">
        <v>0</v>
      </c>
      <c r="Y1991">
        <v>138725.36979491089</v>
      </c>
      <c r="Z1991">
        <v>0</v>
      </c>
      <c r="AA1991">
        <v>138725.36979491089</v>
      </c>
      <c r="AB1991" t="s">
        <v>242</v>
      </c>
      <c r="AC1991">
        <v>7</v>
      </c>
      <c r="AD1991">
        <v>27000</v>
      </c>
      <c r="AE1991">
        <v>0</v>
      </c>
      <c r="AF1991">
        <v>0</v>
      </c>
      <c r="AG1991">
        <v>0</v>
      </c>
      <c r="AH1991" t="s">
        <v>58</v>
      </c>
      <c r="AK1991" t="s">
        <v>798</v>
      </c>
      <c r="AL1991">
        <v>12200168</v>
      </c>
      <c r="AM1991">
        <v>22304640</v>
      </c>
      <c r="AN1991" t="s">
        <v>116</v>
      </c>
      <c r="AO1991" t="s">
        <v>438</v>
      </c>
      <c r="AP1991" t="s">
        <v>427</v>
      </c>
      <c r="AQ1991" t="s">
        <v>82</v>
      </c>
      <c r="AR1991" t="s">
        <v>82</v>
      </c>
      <c r="AT1991" t="s">
        <v>52</v>
      </c>
      <c r="AU1991">
        <v>2000</v>
      </c>
      <c r="AW1991">
        <v>45320</v>
      </c>
      <c r="AX1991" t="s">
        <v>1013</v>
      </c>
      <c r="AY1991">
        <v>0</v>
      </c>
      <c r="AZ1991">
        <v>0</v>
      </c>
      <c r="BA1991">
        <v>0</v>
      </c>
      <c r="BB1991">
        <v>0</v>
      </c>
      <c r="BC1991">
        <v>22171.057465295118</v>
      </c>
      <c r="BD1991">
        <v>0</v>
      </c>
      <c r="BE1991">
        <v>0</v>
      </c>
      <c r="BF1991">
        <v>265200.49260584638</v>
      </c>
      <c r="BG1991">
        <v>0</v>
      </c>
      <c r="BH1991">
        <v>0</v>
      </c>
      <c r="BI1991">
        <v>287371.55007114151</v>
      </c>
      <c r="BJ1991">
        <v>0</v>
      </c>
      <c r="BK1991">
        <v>287371.55007114151</v>
      </c>
      <c r="BL1991" t="s">
        <v>242</v>
      </c>
      <c r="BM1991">
        <v>9</v>
      </c>
      <c r="BN1991">
        <v>57830</v>
      </c>
      <c r="BO1991">
        <v>0</v>
      </c>
      <c r="BP1991">
        <v>0</v>
      </c>
      <c r="BQ1991">
        <v>0</v>
      </c>
      <c r="BR1991" t="s">
        <v>58</v>
      </c>
    </row>
    <row r="1992" spans="1:70" x14ac:dyDescent="0.3">
      <c r="A1992" t="s">
        <v>798</v>
      </c>
      <c r="B1992">
        <v>42200418</v>
      </c>
      <c r="C1992">
        <v>2759024985</v>
      </c>
      <c r="D1992" t="s">
        <v>964</v>
      </c>
      <c r="E1992" t="s">
        <v>439</v>
      </c>
      <c r="F1992" t="s">
        <v>430</v>
      </c>
      <c r="G1992" t="s">
        <v>232</v>
      </c>
      <c r="H1992" t="s">
        <v>71</v>
      </c>
      <c r="J1992" t="s">
        <v>52</v>
      </c>
      <c r="K1992" s="15">
        <v>2000</v>
      </c>
      <c r="M1992">
        <v>45320</v>
      </c>
      <c r="N1992" t="s">
        <v>1013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166866.75700934578</v>
      </c>
      <c r="Y1992">
        <v>166866.75700934578</v>
      </c>
      <c r="Z1992">
        <v>11680.672990654206</v>
      </c>
      <c r="AA1992">
        <v>178547.43</v>
      </c>
      <c r="AB1992" t="s">
        <v>242</v>
      </c>
      <c r="AC1992">
        <v>4</v>
      </c>
      <c r="AD1992">
        <v>6500</v>
      </c>
      <c r="AE1992">
        <v>0</v>
      </c>
      <c r="AF1992">
        <v>0</v>
      </c>
      <c r="AG1992">
        <v>425.23364485981313</v>
      </c>
      <c r="AH1992" t="s">
        <v>58</v>
      </c>
      <c r="AK1992" t="s">
        <v>798</v>
      </c>
      <c r="AL1992">
        <v>12200176</v>
      </c>
      <c r="AM1992">
        <v>28068851</v>
      </c>
      <c r="AN1992" t="s">
        <v>119</v>
      </c>
      <c r="AO1992" t="s">
        <v>438</v>
      </c>
      <c r="AP1992" t="s">
        <v>427</v>
      </c>
      <c r="AQ1992" t="s">
        <v>82</v>
      </c>
      <c r="AR1992" t="s">
        <v>82</v>
      </c>
      <c r="AT1992" t="s">
        <v>52</v>
      </c>
      <c r="AU1992">
        <v>3000</v>
      </c>
      <c r="AW1992">
        <v>45320</v>
      </c>
      <c r="AX1992" t="s">
        <v>1013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138725.36979491089</v>
      </c>
      <c r="BG1992">
        <v>0</v>
      </c>
      <c r="BH1992">
        <v>0</v>
      </c>
      <c r="BI1992">
        <v>138725.36979491089</v>
      </c>
      <c r="BJ1992">
        <v>0</v>
      </c>
      <c r="BK1992">
        <v>138725.36979491089</v>
      </c>
      <c r="BL1992" t="s">
        <v>242</v>
      </c>
      <c r="BM1992">
        <v>7</v>
      </c>
      <c r="BN1992">
        <v>27000</v>
      </c>
      <c r="BO1992">
        <v>0</v>
      </c>
      <c r="BP1992">
        <v>0</v>
      </c>
      <c r="BQ1992">
        <v>0</v>
      </c>
      <c r="BR1992" t="s">
        <v>58</v>
      </c>
    </row>
    <row r="1993" spans="1:70" x14ac:dyDescent="0.3">
      <c r="A1993" t="s">
        <v>798</v>
      </c>
      <c r="B1993">
        <v>42201416</v>
      </c>
      <c r="C1993">
        <v>2759018438</v>
      </c>
      <c r="D1993" t="s">
        <v>965</v>
      </c>
      <c r="E1993" t="s">
        <v>439</v>
      </c>
      <c r="F1993" t="s">
        <v>430</v>
      </c>
      <c r="G1993" t="s">
        <v>230</v>
      </c>
      <c r="H1993" t="s">
        <v>234</v>
      </c>
      <c r="J1993" t="s">
        <v>52</v>
      </c>
      <c r="K1993" s="15">
        <v>3000</v>
      </c>
      <c r="M1993">
        <v>45320</v>
      </c>
      <c r="N1993" t="s">
        <v>1013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597406.55140186916</v>
      </c>
      <c r="Y1993">
        <v>597406.55140186916</v>
      </c>
      <c r="Z1993">
        <v>41818.458598130848</v>
      </c>
      <c r="AA1993">
        <v>639225.01</v>
      </c>
      <c r="AB1993" t="s">
        <v>242</v>
      </c>
      <c r="AC1993">
        <v>1</v>
      </c>
      <c r="AD1993">
        <v>3000</v>
      </c>
      <c r="AE1993">
        <v>0</v>
      </c>
      <c r="AF1993">
        <v>0</v>
      </c>
      <c r="AG1993">
        <v>196.2616822429909</v>
      </c>
      <c r="AH1993" t="s">
        <v>72</v>
      </c>
      <c r="AK1993" t="s">
        <v>798</v>
      </c>
      <c r="AL1993">
        <v>42200418</v>
      </c>
      <c r="AM1993">
        <v>2759024985</v>
      </c>
      <c r="AN1993" t="s">
        <v>964</v>
      </c>
      <c r="AO1993" t="s">
        <v>439</v>
      </c>
      <c r="AP1993" t="s">
        <v>430</v>
      </c>
      <c r="AQ1993" t="s">
        <v>232</v>
      </c>
      <c r="AR1993" t="s">
        <v>71</v>
      </c>
      <c r="AT1993" t="s">
        <v>52</v>
      </c>
      <c r="AU1993">
        <v>2000</v>
      </c>
      <c r="AW1993">
        <v>45320</v>
      </c>
      <c r="AX1993" t="s">
        <v>1013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166866.75700934578</v>
      </c>
      <c r="BI1993">
        <v>166866.75700934578</v>
      </c>
      <c r="BJ1993">
        <v>11680.672990654206</v>
      </c>
      <c r="BK1993">
        <v>178547.43</v>
      </c>
      <c r="BL1993" t="s">
        <v>242</v>
      </c>
      <c r="BM1993">
        <v>4</v>
      </c>
      <c r="BN1993">
        <v>6500</v>
      </c>
      <c r="BO1993">
        <v>0</v>
      </c>
      <c r="BP1993">
        <v>0</v>
      </c>
      <c r="BQ1993">
        <v>425.23364485981313</v>
      </c>
      <c r="BR1993" t="s">
        <v>58</v>
      </c>
    </row>
    <row r="1994" spans="1:70" x14ac:dyDescent="0.3">
      <c r="A1994" t="s">
        <v>798</v>
      </c>
      <c r="B1994">
        <v>52200647</v>
      </c>
      <c r="C1994">
        <v>29594859</v>
      </c>
      <c r="D1994" t="s">
        <v>139</v>
      </c>
      <c r="E1994" t="s">
        <v>438</v>
      </c>
      <c r="F1994" t="s">
        <v>431</v>
      </c>
      <c r="G1994" t="s">
        <v>82</v>
      </c>
      <c r="H1994" t="s">
        <v>83</v>
      </c>
      <c r="J1994" t="s">
        <v>52</v>
      </c>
      <c r="K1994" s="15">
        <v>5000</v>
      </c>
      <c r="M1994">
        <v>45320</v>
      </c>
      <c r="N1994" t="s">
        <v>1013</v>
      </c>
      <c r="O1994">
        <v>0</v>
      </c>
      <c r="P1994">
        <v>0</v>
      </c>
      <c r="Q1994">
        <v>0</v>
      </c>
      <c r="R1994">
        <v>772.9450173290486</v>
      </c>
      <c r="S1994">
        <v>20190.912039879389</v>
      </c>
      <c r="T1994">
        <v>0</v>
      </c>
      <c r="U1994">
        <v>0</v>
      </c>
      <c r="V1994">
        <v>58470.824672897194</v>
      </c>
      <c r="W1994">
        <v>0</v>
      </c>
      <c r="X1994">
        <v>0</v>
      </c>
      <c r="Y1994">
        <v>79434.681730105629</v>
      </c>
      <c r="Z1994">
        <v>5506.3215698943623</v>
      </c>
      <c r="AA1994">
        <v>84941.003299999997</v>
      </c>
      <c r="AB1994" t="s">
        <v>242</v>
      </c>
      <c r="AC1994">
        <v>8</v>
      </c>
      <c r="AD1994">
        <v>27000</v>
      </c>
      <c r="AE1994">
        <v>0</v>
      </c>
      <c r="AF1994">
        <v>0</v>
      </c>
      <c r="AG1994">
        <v>1748.9496740308732</v>
      </c>
      <c r="AH1994" t="s">
        <v>58</v>
      </c>
      <c r="AK1994" t="s">
        <v>798</v>
      </c>
      <c r="AL1994">
        <v>42201416</v>
      </c>
      <c r="AM1994">
        <v>2759018438</v>
      </c>
      <c r="AN1994" t="s">
        <v>965</v>
      </c>
      <c r="AO1994" t="s">
        <v>439</v>
      </c>
      <c r="AP1994" t="s">
        <v>430</v>
      </c>
      <c r="AQ1994" t="s">
        <v>230</v>
      </c>
      <c r="AR1994" t="s">
        <v>234</v>
      </c>
      <c r="AT1994" t="s">
        <v>52</v>
      </c>
      <c r="AU1994">
        <v>3000</v>
      </c>
      <c r="AW1994">
        <v>45320</v>
      </c>
      <c r="AX1994" t="s">
        <v>1013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597406.55140186916</v>
      </c>
      <c r="BI1994">
        <v>597406.55140186916</v>
      </c>
      <c r="BJ1994">
        <v>41818.458598130848</v>
      </c>
      <c r="BK1994">
        <v>639225.01</v>
      </c>
      <c r="BL1994" t="s">
        <v>242</v>
      </c>
      <c r="BM1994">
        <v>1</v>
      </c>
      <c r="BN1994">
        <v>3000</v>
      </c>
      <c r="BO1994">
        <v>0</v>
      </c>
      <c r="BP1994">
        <v>0</v>
      </c>
      <c r="BQ1994">
        <v>196.2616822429909</v>
      </c>
      <c r="BR1994" t="s">
        <v>72</v>
      </c>
    </row>
    <row r="1995" spans="1:70" x14ac:dyDescent="0.3">
      <c r="A1995" t="s">
        <v>798</v>
      </c>
      <c r="B1995">
        <v>52201087</v>
      </c>
      <c r="C1995">
        <v>26018254</v>
      </c>
      <c r="D1995" t="s">
        <v>149</v>
      </c>
      <c r="E1995" t="s">
        <v>438</v>
      </c>
      <c r="F1995" t="s">
        <v>431</v>
      </c>
      <c r="G1995" t="s">
        <v>82</v>
      </c>
      <c r="H1995" t="s">
        <v>83</v>
      </c>
      <c r="J1995" t="s">
        <v>52</v>
      </c>
      <c r="K1995" s="15">
        <v>2000</v>
      </c>
      <c r="M1995">
        <v>45320</v>
      </c>
      <c r="N1995" t="s">
        <v>1013</v>
      </c>
      <c r="O1995">
        <v>0</v>
      </c>
      <c r="P1995">
        <v>0</v>
      </c>
      <c r="Q1995">
        <v>0</v>
      </c>
      <c r="R1995">
        <v>815.33924668247744</v>
      </c>
      <c r="S1995">
        <v>0</v>
      </c>
      <c r="T1995">
        <v>0</v>
      </c>
      <c r="U1995">
        <v>0</v>
      </c>
      <c r="V1995">
        <v>35998.74819639248</v>
      </c>
      <c r="W1995">
        <v>0</v>
      </c>
      <c r="X1995">
        <v>0</v>
      </c>
      <c r="Y1995">
        <v>36814.087443074961</v>
      </c>
      <c r="Z1995">
        <v>2519.9123737474738</v>
      </c>
      <c r="AA1995">
        <v>39333.999816822434</v>
      </c>
      <c r="AB1995" t="s">
        <v>242</v>
      </c>
      <c r="AC1995">
        <v>5</v>
      </c>
      <c r="AD1995">
        <v>10000</v>
      </c>
      <c r="AE1995">
        <v>0</v>
      </c>
      <c r="AF1995">
        <v>0</v>
      </c>
      <c r="AG1995">
        <v>639.57359557735845</v>
      </c>
      <c r="AH1995" t="s">
        <v>58</v>
      </c>
      <c r="AK1995" t="s">
        <v>798</v>
      </c>
      <c r="AL1995">
        <v>4132301724</v>
      </c>
      <c r="AM1995" t="s">
        <v>684</v>
      </c>
      <c r="AN1995" t="s">
        <v>967</v>
      </c>
      <c r="AO1995" t="s">
        <v>442</v>
      </c>
      <c r="AP1995" t="s">
        <v>430</v>
      </c>
      <c r="AQ1995" t="s">
        <v>230</v>
      </c>
      <c r="AR1995" t="s">
        <v>231</v>
      </c>
      <c r="AT1995" t="s">
        <v>52</v>
      </c>
      <c r="AU1995">
        <v>2000</v>
      </c>
      <c r="AW1995">
        <v>45320</v>
      </c>
      <c r="AX1995" t="s">
        <v>1013</v>
      </c>
      <c r="AY1995">
        <v>0</v>
      </c>
      <c r="AZ1995">
        <v>22855.077642985856</v>
      </c>
      <c r="BA1995">
        <v>0</v>
      </c>
      <c r="BB1995">
        <v>0</v>
      </c>
      <c r="BC1995">
        <v>270738.90999999997</v>
      </c>
      <c r="BD1995">
        <v>0</v>
      </c>
      <c r="BE1995">
        <v>0</v>
      </c>
      <c r="BF1995">
        <v>0</v>
      </c>
      <c r="BG1995">
        <v>634236.37603459263</v>
      </c>
      <c r="BH1995">
        <v>0</v>
      </c>
      <c r="BI1995">
        <v>927830.36367757851</v>
      </c>
      <c r="BJ1995">
        <v>44396.546322421491</v>
      </c>
      <c r="BK1995">
        <v>972226.91</v>
      </c>
      <c r="BL1995" t="s">
        <v>242</v>
      </c>
      <c r="BM1995">
        <v>1</v>
      </c>
      <c r="BN1995">
        <v>2000</v>
      </c>
      <c r="BO1995">
        <v>0</v>
      </c>
      <c r="BP1995">
        <v>0</v>
      </c>
      <c r="BQ1995">
        <v>89.43498598972883</v>
      </c>
      <c r="BR1995" t="s">
        <v>72</v>
      </c>
    </row>
    <row r="1996" spans="1:70" x14ac:dyDescent="0.3">
      <c r="A1996" t="s">
        <v>798</v>
      </c>
      <c r="B1996">
        <v>52201351</v>
      </c>
      <c r="C1996">
        <v>22940816</v>
      </c>
      <c r="D1996" t="s">
        <v>155</v>
      </c>
      <c r="E1996" t="s">
        <v>438</v>
      </c>
      <c r="F1996" t="s">
        <v>431</v>
      </c>
      <c r="G1996" t="s">
        <v>82</v>
      </c>
      <c r="H1996" t="s">
        <v>83</v>
      </c>
      <c r="J1996" t="s">
        <v>52</v>
      </c>
      <c r="K1996" s="15">
        <v>800</v>
      </c>
      <c r="M1996">
        <v>45320</v>
      </c>
      <c r="N1996" t="s">
        <v>1013</v>
      </c>
      <c r="O1996">
        <v>0</v>
      </c>
      <c r="P1996">
        <v>0</v>
      </c>
      <c r="Q1996">
        <v>0</v>
      </c>
      <c r="R1996">
        <v>781.67563503521046</v>
      </c>
      <c r="S1996">
        <v>18772.431038960054</v>
      </c>
      <c r="T1996">
        <v>0</v>
      </c>
      <c r="U1996">
        <v>0</v>
      </c>
      <c r="V1996">
        <v>73829.741339665459</v>
      </c>
      <c r="W1996">
        <v>0</v>
      </c>
      <c r="X1996">
        <v>0</v>
      </c>
      <c r="Y1996">
        <v>93383.848013660725</v>
      </c>
      <c r="Z1996">
        <v>6482.152066503787</v>
      </c>
      <c r="AA1996">
        <v>99866.000080164507</v>
      </c>
      <c r="AB1996" t="s">
        <v>242</v>
      </c>
      <c r="AC1996">
        <v>17</v>
      </c>
      <c r="AD1996">
        <v>13000</v>
      </c>
      <c r="AE1996">
        <v>0</v>
      </c>
      <c r="AF1996">
        <v>0</v>
      </c>
      <c r="AG1996">
        <v>843.31522846024757</v>
      </c>
      <c r="AH1996" t="s">
        <v>58</v>
      </c>
      <c r="AK1996" t="s">
        <v>798</v>
      </c>
      <c r="AL1996">
        <v>4132301773</v>
      </c>
      <c r="AM1996" t="s">
        <v>690</v>
      </c>
      <c r="AN1996" t="s">
        <v>968</v>
      </c>
      <c r="AO1996" t="s">
        <v>442</v>
      </c>
      <c r="AP1996" t="s">
        <v>430</v>
      </c>
      <c r="AQ1996" t="s">
        <v>230</v>
      </c>
      <c r="AR1996" t="s">
        <v>231</v>
      </c>
      <c r="AT1996" t="s">
        <v>52</v>
      </c>
      <c r="AU1996">
        <v>3000</v>
      </c>
      <c r="AW1996">
        <v>45320</v>
      </c>
      <c r="AX1996" t="s">
        <v>1013</v>
      </c>
      <c r="AY1996">
        <v>0</v>
      </c>
      <c r="AZ1996">
        <v>18485.023539213635</v>
      </c>
      <c r="BA1996">
        <v>0</v>
      </c>
      <c r="BB1996">
        <v>0</v>
      </c>
      <c r="BC1996">
        <v>13870.24</v>
      </c>
      <c r="BD1996">
        <v>654.18360821155738</v>
      </c>
      <c r="BE1996">
        <v>49065.420560747662</v>
      </c>
      <c r="BF1996">
        <v>0</v>
      </c>
      <c r="BG1996">
        <v>403494.39252336451</v>
      </c>
      <c r="BH1996">
        <v>0</v>
      </c>
      <c r="BI1996">
        <v>485569.2602315374</v>
      </c>
      <c r="BJ1996">
        <v>31724.979768462661</v>
      </c>
      <c r="BK1996">
        <v>517294.24000000005</v>
      </c>
      <c r="BL1996" t="s">
        <v>242</v>
      </c>
      <c r="BM1996">
        <v>1</v>
      </c>
      <c r="BN1996">
        <v>3000</v>
      </c>
      <c r="BO1996">
        <v>0</v>
      </c>
      <c r="BP1996">
        <v>0</v>
      </c>
      <c r="BQ1996">
        <v>183.17911004201324</v>
      </c>
      <c r="BR1996" t="s">
        <v>72</v>
      </c>
    </row>
    <row r="1997" spans="1:70" x14ac:dyDescent="0.3">
      <c r="A1997" t="s">
        <v>798</v>
      </c>
      <c r="B1997">
        <v>82200023</v>
      </c>
      <c r="C1997">
        <v>901016007000</v>
      </c>
      <c r="D1997" t="s">
        <v>966</v>
      </c>
      <c r="E1997" t="s">
        <v>440</v>
      </c>
      <c r="F1997" t="s">
        <v>433</v>
      </c>
      <c r="G1997" t="s">
        <v>235</v>
      </c>
      <c r="H1997" t="s">
        <v>236</v>
      </c>
      <c r="J1997" t="s">
        <v>672</v>
      </c>
      <c r="M1997">
        <v>45320</v>
      </c>
      <c r="N1997" t="s">
        <v>1024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2316014.5607476635</v>
      </c>
      <c r="W1997">
        <v>0</v>
      </c>
      <c r="X1997">
        <v>0</v>
      </c>
      <c r="Y1997">
        <v>2316014.5607476635</v>
      </c>
      <c r="Z1997">
        <v>162121.01925233647</v>
      </c>
      <c r="AA1997">
        <v>2478135.58</v>
      </c>
      <c r="AB1997" t="s">
        <v>242</v>
      </c>
      <c r="AC1997">
        <v>3</v>
      </c>
      <c r="AD1997">
        <v>160000</v>
      </c>
      <c r="AE1997">
        <v>0</v>
      </c>
      <c r="AF1997">
        <v>0</v>
      </c>
      <c r="AG1997">
        <v>9229.8587185090983</v>
      </c>
      <c r="AH1997" t="s">
        <v>58</v>
      </c>
      <c r="AK1997" t="s">
        <v>798</v>
      </c>
      <c r="AL1997">
        <v>52200647</v>
      </c>
      <c r="AM1997">
        <v>29594859</v>
      </c>
      <c r="AN1997" t="s">
        <v>139</v>
      </c>
      <c r="AO1997" t="s">
        <v>438</v>
      </c>
      <c r="AP1997" t="s">
        <v>431</v>
      </c>
      <c r="AQ1997" t="s">
        <v>82</v>
      </c>
      <c r="AR1997" t="s">
        <v>83</v>
      </c>
      <c r="AT1997" t="s">
        <v>52</v>
      </c>
      <c r="AU1997">
        <v>5000</v>
      </c>
      <c r="AW1997">
        <v>45320</v>
      </c>
      <c r="AX1997" t="s">
        <v>1013</v>
      </c>
      <c r="AY1997">
        <v>0</v>
      </c>
      <c r="AZ1997">
        <v>0</v>
      </c>
      <c r="BA1997">
        <v>0</v>
      </c>
      <c r="BB1997">
        <v>772.9450173290486</v>
      </c>
      <c r="BC1997">
        <v>20190.912039879389</v>
      </c>
      <c r="BD1997">
        <v>0</v>
      </c>
      <c r="BE1997">
        <v>0</v>
      </c>
      <c r="BF1997">
        <v>58470.824672897194</v>
      </c>
      <c r="BG1997">
        <v>0</v>
      </c>
      <c r="BH1997">
        <v>0</v>
      </c>
      <c r="BI1997">
        <v>79434.681730105629</v>
      </c>
      <c r="BJ1997">
        <v>5506.3215698943623</v>
      </c>
      <c r="BK1997">
        <v>84941.003299999997</v>
      </c>
      <c r="BL1997" t="s">
        <v>242</v>
      </c>
      <c r="BM1997">
        <v>8</v>
      </c>
      <c r="BN1997">
        <v>27000</v>
      </c>
      <c r="BO1997">
        <v>0</v>
      </c>
      <c r="BP1997">
        <v>0</v>
      </c>
      <c r="BQ1997">
        <v>1748.9496740308732</v>
      </c>
      <c r="BR1997" t="s">
        <v>58</v>
      </c>
    </row>
    <row r="1998" spans="1:70" x14ac:dyDescent="0.3">
      <c r="A1998" t="s">
        <v>798</v>
      </c>
      <c r="B1998">
        <v>4132301147</v>
      </c>
      <c r="C1998">
        <v>3100025875</v>
      </c>
      <c r="D1998" t="s">
        <v>180</v>
      </c>
      <c r="E1998" t="s">
        <v>441</v>
      </c>
      <c r="F1998" t="s">
        <v>430</v>
      </c>
      <c r="G1998" t="s">
        <v>233</v>
      </c>
      <c r="H1998" t="s">
        <v>231</v>
      </c>
      <c r="J1998" t="s">
        <v>52</v>
      </c>
      <c r="K1998" s="15">
        <v>1000</v>
      </c>
      <c r="M1998">
        <v>45320</v>
      </c>
      <c r="N1998" t="s">
        <v>1013</v>
      </c>
      <c r="O1998">
        <v>0</v>
      </c>
      <c r="P1998">
        <v>197.75386031116193</v>
      </c>
      <c r="Q1998">
        <v>0</v>
      </c>
      <c r="R1998">
        <v>0</v>
      </c>
      <c r="S1998">
        <v>1065.7191780821918</v>
      </c>
      <c r="T1998">
        <v>1076.8655511110637</v>
      </c>
      <c r="U1998">
        <v>0</v>
      </c>
      <c r="V1998">
        <v>0</v>
      </c>
      <c r="W1998">
        <v>0</v>
      </c>
      <c r="X1998">
        <v>0</v>
      </c>
      <c r="Y1998">
        <v>2340.3385895044175</v>
      </c>
      <c r="Z1998">
        <v>75.380588577774475</v>
      </c>
      <c r="AA1998">
        <v>2415.7191780821922</v>
      </c>
      <c r="AB1998" t="s">
        <v>242</v>
      </c>
      <c r="AC1998">
        <v>7</v>
      </c>
      <c r="AD1998">
        <v>7000</v>
      </c>
      <c r="AE1998">
        <v>0</v>
      </c>
      <c r="AF1998">
        <v>0</v>
      </c>
      <c r="AG1998">
        <v>202.65679459979566</v>
      </c>
      <c r="AH1998" t="s">
        <v>58</v>
      </c>
      <c r="AK1998" t="s">
        <v>798</v>
      </c>
      <c r="AL1998">
        <v>52201087</v>
      </c>
      <c r="AM1998">
        <v>26018254</v>
      </c>
      <c r="AN1998" t="s">
        <v>149</v>
      </c>
      <c r="AO1998" t="s">
        <v>438</v>
      </c>
      <c r="AP1998" t="s">
        <v>431</v>
      </c>
      <c r="AQ1998" t="s">
        <v>82</v>
      </c>
      <c r="AR1998" t="s">
        <v>83</v>
      </c>
      <c r="AT1998" t="s">
        <v>52</v>
      </c>
      <c r="AU1998">
        <v>2000</v>
      </c>
      <c r="AW1998">
        <v>45320</v>
      </c>
      <c r="AX1998" t="s">
        <v>1013</v>
      </c>
      <c r="AY1998">
        <v>0</v>
      </c>
      <c r="AZ1998">
        <v>0</v>
      </c>
      <c r="BA1998">
        <v>0</v>
      </c>
      <c r="BB1998">
        <v>815.33924668247744</v>
      </c>
      <c r="BC1998">
        <v>0</v>
      </c>
      <c r="BD1998">
        <v>0</v>
      </c>
      <c r="BE1998">
        <v>0</v>
      </c>
      <c r="BF1998">
        <v>35998.74819639248</v>
      </c>
      <c r="BG1998">
        <v>0</v>
      </c>
      <c r="BH1998">
        <v>0</v>
      </c>
      <c r="BI1998">
        <v>36814.087443074961</v>
      </c>
      <c r="BJ1998">
        <v>2519.9123737474738</v>
      </c>
      <c r="BK1998">
        <v>39333.999816822434</v>
      </c>
      <c r="BL1998" t="s">
        <v>242</v>
      </c>
      <c r="BM1998">
        <v>5</v>
      </c>
      <c r="BN1998">
        <v>10000</v>
      </c>
      <c r="BO1998">
        <v>0</v>
      </c>
      <c r="BP1998">
        <v>0</v>
      </c>
      <c r="BQ1998">
        <v>639.57359557735845</v>
      </c>
      <c r="BR1998" t="s">
        <v>58</v>
      </c>
    </row>
    <row r="1999" spans="1:70" x14ac:dyDescent="0.3">
      <c r="A1999" t="s">
        <v>798</v>
      </c>
      <c r="B1999">
        <v>4132301724</v>
      </c>
      <c r="C1999" t="s">
        <v>684</v>
      </c>
      <c r="D1999" t="s">
        <v>967</v>
      </c>
      <c r="E1999" t="s">
        <v>442</v>
      </c>
      <c r="F1999" t="s">
        <v>430</v>
      </c>
      <c r="G1999" t="s">
        <v>230</v>
      </c>
      <c r="H1999" t="s">
        <v>231</v>
      </c>
      <c r="J1999" t="s">
        <v>52</v>
      </c>
      <c r="K1999" s="15">
        <v>2000</v>
      </c>
      <c r="M1999">
        <v>45320</v>
      </c>
      <c r="N1999" t="s">
        <v>1013</v>
      </c>
      <c r="O1999">
        <v>0</v>
      </c>
      <c r="P1999">
        <v>22855.077642985856</v>
      </c>
      <c r="Q1999">
        <v>0</v>
      </c>
      <c r="R1999">
        <v>0</v>
      </c>
      <c r="S1999">
        <v>270738.90999999997</v>
      </c>
      <c r="T1999">
        <v>0</v>
      </c>
      <c r="U1999">
        <v>0</v>
      </c>
      <c r="V1999">
        <v>0</v>
      </c>
      <c r="W1999">
        <v>634236.37603459263</v>
      </c>
      <c r="X1999">
        <v>0</v>
      </c>
      <c r="Y1999">
        <v>927830.36367757851</v>
      </c>
      <c r="Z1999">
        <v>44396.546322421491</v>
      </c>
      <c r="AA1999">
        <v>972226.91</v>
      </c>
      <c r="AB1999" t="s">
        <v>242</v>
      </c>
      <c r="AC1999">
        <v>1</v>
      </c>
      <c r="AD1999">
        <v>2000</v>
      </c>
      <c r="AE1999">
        <v>0</v>
      </c>
      <c r="AF1999">
        <v>0</v>
      </c>
      <c r="AG1999">
        <v>89.43498598972883</v>
      </c>
      <c r="AH1999" t="s">
        <v>72</v>
      </c>
      <c r="AK1999" t="s">
        <v>798</v>
      </c>
      <c r="AL1999">
        <v>52201351</v>
      </c>
      <c r="AM1999">
        <v>22940816</v>
      </c>
      <c r="AN1999" t="s">
        <v>155</v>
      </c>
      <c r="AO1999" t="s">
        <v>438</v>
      </c>
      <c r="AP1999" t="s">
        <v>431</v>
      </c>
      <c r="AQ1999" t="s">
        <v>82</v>
      </c>
      <c r="AR1999" t="s">
        <v>83</v>
      </c>
      <c r="AT1999" t="s">
        <v>52</v>
      </c>
      <c r="AU1999">
        <v>800</v>
      </c>
      <c r="AW1999">
        <v>45320</v>
      </c>
      <c r="AX1999" t="s">
        <v>1013</v>
      </c>
      <c r="AY1999">
        <v>0</v>
      </c>
      <c r="AZ1999">
        <v>0</v>
      </c>
      <c r="BA1999">
        <v>0</v>
      </c>
      <c r="BB1999">
        <v>781.67563503521046</v>
      </c>
      <c r="BC1999">
        <v>18772.431038960054</v>
      </c>
      <c r="BD1999">
        <v>0</v>
      </c>
      <c r="BE1999">
        <v>0</v>
      </c>
      <c r="BF1999">
        <v>73829.741339665459</v>
      </c>
      <c r="BG1999">
        <v>0</v>
      </c>
      <c r="BH1999">
        <v>0</v>
      </c>
      <c r="BI1999">
        <v>93383.848013660725</v>
      </c>
      <c r="BJ1999">
        <v>6482.152066503787</v>
      </c>
      <c r="BK1999">
        <v>99866.000080164507</v>
      </c>
      <c r="BL1999" t="s">
        <v>242</v>
      </c>
      <c r="BM1999">
        <v>17</v>
      </c>
      <c r="BN1999">
        <v>13000</v>
      </c>
      <c r="BO1999">
        <v>0</v>
      </c>
      <c r="BP1999">
        <v>0</v>
      </c>
      <c r="BQ1999">
        <v>843.31522846024757</v>
      </c>
      <c r="BR1999" t="s">
        <v>58</v>
      </c>
    </row>
    <row r="2000" spans="1:70" x14ac:dyDescent="0.3">
      <c r="A2000" t="s">
        <v>798</v>
      </c>
      <c r="B2000">
        <v>4132301773</v>
      </c>
      <c r="C2000" t="s">
        <v>690</v>
      </c>
      <c r="D2000" t="s">
        <v>968</v>
      </c>
      <c r="E2000" t="s">
        <v>442</v>
      </c>
      <c r="F2000" t="s">
        <v>430</v>
      </c>
      <c r="G2000" t="s">
        <v>230</v>
      </c>
      <c r="H2000" t="s">
        <v>231</v>
      </c>
      <c r="J2000" t="s">
        <v>52</v>
      </c>
      <c r="K2000" s="15">
        <v>3000</v>
      </c>
      <c r="M2000">
        <v>45320</v>
      </c>
      <c r="N2000" t="s">
        <v>1013</v>
      </c>
      <c r="O2000">
        <v>0</v>
      </c>
      <c r="P2000">
        <v>18485.023539213635</v>
      </c>
      <c r="Q2000">
        <v>0</v>
      </c>
      <c r="R2000">
        <v>0</v>
      </c>
      <c r="S2000">
        <v>13870.24</v>
      </c>
      <c r="T2000">
        <v>654.18360821155738</v>
      </c>
      <c r="U2000">
        <v>49065.420560747662</v>
      </c>
      <c r="V2000">
        <v>0</v>
      </c>
      <c r="W2000">
        <v>403494.39252336451</v>
      </c>
      <c r="X2000">
        <v>0</v>
      </c>
      <c r="Y2000">
        <v>485569.2602315374</v>
      </c>
      <c r="Z2000">
        <v>31724.979768462661</v>
      </c>
      <c r="AA2000">
        <v>517294.24000000005</v>
      </c>
      <c r="AB2000" t="s">
        <v>242</v>
      </c>
      <c r="AC2000">
        <v>1</v>
      </c>
      <c r="AD2000">
        <v>3000</v>
      </c>
      <c r="AE2000">
        <v>0</v>
      </c>
      <c r="AF2000">
        <v>0</v>
      </c>
      <c r="AG2000">
        <v>183.17911004201324</v>
      </c>
      <c r="AH2000" t="s">
        <v>72</v>
      </c>
      <c r="AK2000" t="s">
        <v>798</v>
      </c>
      <c r="AL2000">
        <v>4132301147</v>
      </c>
      <c r="AM2000">
        <v>3100025875</v>
      </c>
      <c r="AN2000" t="s">
        <v>180</v>
      </c>
      <c r="AO2000" t="s">
        <v>441</v>
      </c>
      <c r="AP2000" t="s">
        <v>430</v>
      </c>
      <c r="AQ2000" t="s">
        <v>233</v>
      </c>
      <c r="AR2000" t="s">
        <v>231</v>
      </c>
      <c r="AT2000" t="s">
        <v>52</v>
      </c>
      <c r="AU2000">
        <v>1000</v>
      </c>
      <c r="AW2000">
        <v>45320</v>
      </c>
      <c r="AX2000" t="s">
        <v>1013</v>
      </c>
      <c r="AY2000">
        <v>0</v>
      </c>
      <c r="AZ2000">
        <v>197.75386031116193</v>
      </c>
      <c r="BA2000">
        <v>0</v>
      </c>
      <c r="BB2000">
        <v>0</v>
      </c>
      <c r="BC2000">
        <v>1065.7191780821918</v>
      </c>
      <c r="BD2000">
        <v>1076.8655511110637</v>
      </c>
      <c r="BE2000">
        <v>0</v>
      </c>
      <c r="BF2000">
        <v>0</v>
      </c>
      <c r="BG2000">
        <v>0</v>
      </c>
      <c r="BH2000">
        <v>0</v>
      </c>
      <c r="BI2000">
        <v>2340.3385895044175</v>
      </c>
      <c r="BJ2000">
        <v>75.380588577774475</v>
      </c>
      <c r="BK2000">
        <v>2415.7191780821922</v>
      </c>
      <c r="BL2000" t="s">
        <v>242</v>
      </c>
      <c r="BM2000">
        <v>7</v>
      </c>
      <c r="BN2000">
        <v>7000</v>
      </c>
      <c r="BO2000">
        <v>0</v>
      </c>
      <c r="BP2000">
        <v>0</v>
      </c>
      <c r="BQ2000">
        <v>202.65679459979566</v>
      </c>
      <c r="BR2000" t="s">
        <v>58</v>
      </c>
    </row>
    <row r="2001" spans="1:70" x14ac:dyDescent="0.3">
      <c r="A2001" t="s">
        <v>798</v>
      </c>
      <c r="B2001">
        <v>4142300049</v>
      </c>
      <c r="C2001">
        <v>131561</v>
      </c>
      <c r="D2001" t="s">
        <v>946</v>
      </c>
      <c r="E2001" t="s">
        <v>444</v>
      </c>
      <c r="F2001" t="s">
        <v>430</v>
      </c>
      <c r="G2001" t="s">
        <v>233</v>
      </c>
      <c r="H2001" t="s">
        <v>231</v>
      </c>
      <c r="J2001" t="s">
        <v>52</v>
      </c>
      <c r="K2001" s="15">
        <v>100000</v>
      </c>
      <c r="M2001">
        <v>45320</v>
      </c>
      <c r="N2001" t="s">
        <v>1018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 t="s">
        <v>242</v>
      </c>
      <c r="AC2001">
        <v>1</v>
      </c>
      <c r="AD2001">
        <v>100000</v>
      </c>
      <c r="AE2001">
        <v>0</v>
      </c>
      <c r="AF2001">
        <v>0</v>
      </c>
      <c r="AG2001">
        <v>0</v>
      </c>
      <c r="AH2001" t="s">
        <v>58</v>
      </c>
      <c r="AK2001" t="s">
        <v>798</v>
      </c>
      <c r="AL2001">
        <v>82200023</v>
      </c>
      <c r="AM2001">
        <v>901016007000</v>
      </c>
      <c r="AN2001" t="s">
        <v>966</v>
      </c>
      <c r="AO2001" t="s">
        <v>440</v>
      </c>
      <c r="AP2001" t="s">
        <v>433</v>
      </c>
      <c r="AQ2001" t="s">
        <v>235</v>
      </c>
      <c r="AR2001" t="s">
        <v>236</v>
      </c>
      <c r="AT2001" t="s">
        <v>672</v>
      </c>
      <c r="AW2001">
        <v>45320</v>
      </c>
      <c r="AX2001" t="s">
        <v>1024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2316014.5607476635</v>
      </c>
      <c r="BG2001">
        <v>0</v>
      </c>
      <c r="BH2001">
        <v>0</v>
      </c>
      <c r="BI2001">
        <v>2316014.5607476635</v>
      </c>
      <c r="BJ2001">
        <v>162121.01925233647</v>
      </c>
      <c r="BK2001">
        <v>2478135.58</v>
      </c>
      <c r="BL2001" t="s">
        <v>242</v>
      </c>
      <c r="BM2001">
        <v>3</v>
      </c>
      <c r="BN2001">
        <v>160000</v>
      </c>
      <c r="BO2001">
        <v>0</v>
      </c>
      <c r="BP2001">
        <v>0</v>
      </c>
      <c r="BQ2001">
        <v>9229.8587185090983</v>
      </c>
      <c r="BR2001" t="s">
        <v>58</v>
      </c>
    </row>
    <row r="2002" spans="1:70" x14ac:dyDescent="0.3">
      <c r="A2002" t="s">
        <v>798</v>
      </c>
      <c r="B2002">
        <v>12200173</v>
      </c>
      <c r="C2002">
        <v>19267973</v>
      </c>
      <c r="D2002" t="s">
        <v>118</v>
      </c>
      <c r="E2002" t="s">
        <v>438</v>
      </c>
      <c r="F2002" t="s">
        <v>427</v>
      </c>
      <c r="G2002" t="s">
        <v>82</v>
      </c>
      <c r="H2002" t="s">
        <v>82</v>
      </c>
      <c r="J2002" t="s">
        <v>52</v>
      </c>
      <c r="K2002" s="15">
        <v>1000</v>
      </c>
      <c r="M2002">
        <v>45321</v>
      </c>
      <c r="N2002" t="s">
        <v>1013</v>
      </c>
      <c r="O2002">
        <v>0</v>
      </c>
      <c r="P2002">
        <v>0</v>
      </c>
      <c r="Q2002">
        <v>0</v>
      </c>
      <c r="R2002">
        <v>0</v>
      </c>
      <c r="S2002">
        <v>33764.983876681952</v>
      </c>
      <c r="T2002">
        <v>0</v>
      </c>
      <c r="U2002">
        <v>0</v>
      </c>
      <c r="V2002">
        <v>100001.5186470839</v>
      </c>
      <c r="W2002">
        <v>0</v>
      </c>
      <c r="X2002">
        <v>0</v>
      </c>
      <c r="Y2002">
        <v>133766.50252376584</v>
      </c>
      <c r="Z2002">
        <v>0</v>
      </c>
      <c r="AA2002">
        <v>133766.50252376584</v>
      </c>
      <c r="AB2002" t="s">
        <v>242</v>
      </c>
      <c r="AC2002">
        <v>4</v>
      </c>
      <c r="AD2002">
        <v>3500</v>
      </c>
      <c r="AE2002">
        <v>0</v>
      </c>
      <c r="AF2002">
        <v>0</v>
      </c>
      <c r="AG2002">
        <v>0</v>
      </c>
      <c r="AH2002" t="s">
        <v>58</v>
      </c>
      <c r="AK2002" t="s">
        <v>798</v>
      </c>
      <c r="AL2002">
        <v>42200982</v>
      </c>
      <c r="AM2002">
        <v>2757006807</v>
      </c>
      <c r="AN2002" t="s">
        <v>957</v>
      </c>
      <c r="AO2002" t="s">
        <v>439</v>
      </c>
      <c r="AP2002" t="s">
        <v>430</v>
      </c>
      <c r="AQ2002" t="s">
        <v>233</v>
      </c>
      <c r="AR2002" t="s">
        <v>234</v>
      </c>
      <c r="AT2002" t="s">
        <v>52</v>
      </c>
      <c r="AU2002">
        <v>80000</v>
      </c>
      <c r="AW2002">
        <v>45321</v>
      </c>
      <c r="AX2002" t="s">
        <v>1035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74775.044347663541</v>
      </c>
      <c r="BI2002">
        <v>74775.044347663541</v>
      </c>
      <c r="BJ2002">
        <v>5234.2531043364488</v>
      </c>
      <c r="BK2002">
        <v>80009.297451999984</v>
      </c>
      <c r="BL2002" t="s">
        <v>242</v>
      </c>
      <c r="BM2002">
        <v>1</v>
      </c>
      <c r="BN2002">
        <v>80000</v>
      </c>
      <c r="BO2002">
        <v>0</v>
      </c>
      <c r="BP2002">
        <v>0</v>
      </c>
      <c r="BQ2002">
        <v>5233.644859813081</v>
      </c>
      <c r="BR2002" t="s">
        <v>58</v>
      </c>
    </row>
    <row r="2003" spans="1:70" x14ac:dyDescent="0.3">
      <c r="A2003" t="s">
        <v>798</v>
      </c>
      <c r="B2003">
        <v>42200052</v>
      </c>
      <c r="C2003">
        <v>6001390216</v>
      </c>
      <c r="D2003" t="s">
        <v>121</v>
      </c>
      <c r="E2003" t="s">
        <v>437</v>
      </c>
      <c r="F2003" t="s">
        <v>430</v>
      </c>
      <c r="G2003" t="s">
        <v>230</v>
      </c>
      <c r="H2003" t="s">
        <v>231</v>
      </c>
      <c r="J2003" t="s">
        <v>52</v>
      </c>
      <c r="K2003" s="15">
        <v>2000</v>
      </c>
      <c r="M2003">
        <v>45321</v>
      </c>
      <c r="N2003" t="s">
        <v>1013</v>
      </c>
      <c r="O2003">
        <v>0</v>
      </c>
      <c r="P2003">
        <v>1838.3071421907773</v>
      </c>
      <c r="Q2003">
        <v>0</v>
      </c>
      <c r="R2003">
        <v>0</v>
      </c>
      <c r="S2003">
        <v>5574.6712328767117</v>
      </c>
      <c r="T2003">
        <v>3422.1428577656343</v>
      </c>
      <c r="U2003">
        <v>14018.691588785046</v>
      </c>
      <c r="V2003">
        <v>0</v>
      </c>
      <c r="W2003">
        <v>135514.01869158878</v>
      </c>
      <c r="X2003">
        <v>0</v>
      </c>
      <c r="Y2003">
        <v>160367.83151320694</v>
      </c>
      <c r="Z2003">
        <v>10706.839719669764</v>
      </c>
      <c r="AA2003">
        <v>171074.67123287672</v>
      </c>
      <c r="AB2003" t="s">
        <v>242</v>
      </c>
      <c r="AC2003">
        <v>9</v>
      </c>
      <c r="AD2003">
        <v>25000</v>
      </c>
      <c r="AE2003">
        <v>0</v>
      </c>
      <c r="AF2003">
        <v>0</v>
      </c>
      <c r="AG2003">
        <v>1559.5154205171541</v>
      </c>
      <c r="AH2003" t="s">
        <v>58</v>
      </c>
      <c r="AK2003" t="s">
        <v>798</v>
      </c>
      <c r="AL2003">
        <v>12200173</v>
      </c>
      <c r="AM2003">
        <v>19267973</v>
      </c>
      <c r="AN2003" t="s">
        <v>118</v>
      </c>
      <c r="AO2003" t="s">
        <v>438</v>
      </c>
      <c r="AP2003" t="s">
        <v>427</v>
      </c>
      <c r="AQ2003" t="s">
        <v>82</v>
      </c>
      <c r="AR2003" t="s">
        <v>82</v>
      </c>
      <c r="AT2003" t="s">
        <v>52</v>
      </c>
      <c r="AU2003">
        <v>1000</v>
      </c>
      <c r="AW2003">
        <v>45321</v>
      </c>
      <c r="AX2003" t="s">
        <v>1013</v>
      </c>
      <c r="AY2003">
        <v>0</v>
      </c>
      <c r="AZ2003">
        <v>0</v>
      </c>
      <c r="BA2003">
        <v>0</v>
      </c>
      <c r="BB2003">
        <v>0</v>
      </c>
      <c r="BC2003">
        <v>33764.983876681952</v>
      </c>
      <c r="BD2003">
        <v>0</v>
      </c>
      <c r="BE2003">
        <v>0</v>
      </c>
      <c r="BF2003">
        <v>100001.5186470839</v>
      </c>
      <c r="BG2003">
        <v>0</v>
      </c>
      <c r="BH2003">
        <v>0</v>
      </c>
      <c r="BI2003">
        <v>133766.50252376584</v>
      </c>
      <c r="BJ2003">
        <v>0</v>
      </c>
      <c r="BK2003">
        <v>133766.50252376584</v>
      </c>
      <c r="BL2003" t="s">
        <v>242</v>
      </c>
      <c r="BM2003">
        <v>4</v>
      </c>
      <c r="BN2003">
        <v>3500</v>
      </c>
      <c r="BO2003">
        <v>0</v>
      </c>
      <c r="BP2003">
        <v>0</v>
      </c>
      <c r="BQ2003">
        <v>0</v>
      </c>
      <c r="BR2003" t="s">
        <v>58</v>
      </c>
    </row>
    <row r="2004" spans="1:70" x14ac:dyDescent="0.3">
      <c r="A2004" t="s">
        <v>798</v>
      </c>
      <c r="B2004">
        <v>42200982</v>
      </c>
      <c r="C2004">
        <v>2757006807</v>
      </c>
      <c r="D2004" t="s">
        <v>957</v>
      </c>
      <c r="E2004" t="s">
        <v>439</v>
      </c>
      <c r="F2004" t="s">
        <v>430</v>
      </c>
      <c r="G2004" t="s">
        <v>233</v>
      </c>
      <c r="H2004" t="s">
        <v>234</v>
      </c>
      <c r="J2004" t="s">
        <v>52</v>
      </c>
      <c r="K2004" s="15">
        <v>80000</v>
      </c>
      <c r="M2004">
        <v>45321</v>
      </c>
      <c r="N2004" t="s">
        <v>1035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74775.044347663541</v>
      </c>
      <c r="Y2004">
        <v>74775.044347663541</v>
      </c>
      <c r="Z2004">
        <v>5234.2531043364488</v>
      </c>
      <c r="AA2004">
        <v>80009.297451999984</v>
      </c>
      <c r="AB2004" t="s">
        <v>242</v>
      </c>
      <c r="AC2004">
        <v>1</v>
      </c>
      <c r="AD2004">
        <v>80000</v>
      </c>
      <c r="AE2004">
        <v>0</v>
      </c>
      <c r="AF2004">
        <v>0</v>
      </c>
      <c r="AG2004">
        <v>5233.644859813081</v>
      </c>
      <c r="AH2004" t="s">
        <v>58</v>
      </c>
      <c r="AK2004" t="s">
        <v>798</v>
      </c>
      <c r="AL2004">
        <v>42200052</v>
      </c>
      <c r="AM2004">
        <v>6001390216</v>
      </c>
      <c r="AN2004" t="s">
        <v>121</v>
      </c>
      <c r="AO2004" t="s">
        <v>437</v>
      </c>
      <c r="AP2004" t="s">
        <v>430</v>
      </c>
      <c r="AQ2004" t="s">
        <v>230</v>
      </c>
      <c r="AR2004" t="s">
        <v>231</v>
      </c>
      <c r="AT2004" t="s">
        <v>52</v>
      </c>
      <c r="AU2004">
        <v>2000</v>
      </c>
      <c r="AW2004">
        <v>45321</v>
      </c>
      <c r="AX2004" t="s">
        <v>1013</v>
      </c>
      <c r="AY2004">
        <v>0</v>
      </c>
      <c r="AZ2004">
        <v>1838.3071421907773</v>
      </c>
      <c r="BA2004">
        <v>0</v>
      </c>
      <c r="BB2004">
        <v>0</v>
      </c>
      <c r="BC2004">
        <v>5574.6712328767117</v>
      </c>
      <c r="BD2004">
        <v>3422.1428577656343</v>
      </c>
      <c r="BE2004">
        <v>14018.691588785046</v>
      </c>
      <c r="BF2004">
        <v>0</v>
      </c>
      <c r="BG2004">
        <v>135514.01869158878</v>
      </c>
      <c r="BH2004">
        <v>0</v>
      </c>
      <c r="BI2004">
        <v>160367.83151320694</v>
      </c>
      <c r="BJ2004">
        <v>10706.839719669764</v>
      </c>
      <c r="BK2004">
        <v>171074.67123287672</v>
      </c>
      <c r="BL2004" t="s">
        <v>242</v>
      </c>
      <c r="BM2004">
        <v>9</v>
      </c>
      <c r="BN2004">
        <v>25000</v>
      </c>
      <c r="BO2004">
        <v>0</v>
      </c>
      <c r="BP2004">
        <v>0</v>
      </c>
      <c r="BQ2004">
        <v>1559.5154205171541</v>
      </c>
      <c r="BR2004" t="s">
        <v>58</v>
      </c>
    </row>
    <row r="2005" spans="1:70" x14ac:dyDescent="0.3">
      <c r="A2005" t="s">
        <v>798</v>
      </c>
      <c r="B2005">
        <v>52200085</v>
      </c>
      <c r="C2005">
        <v>26393637</v>
      </c>
      <c r="D2005" t="s">
        <v>656</v>
      </c>
      <c r="E2005" t="s">
        <v>436</v>
      </c>
      <c r="F2005" t="s">
        <v>431</v>
      </c>
      <c r="G2005" t="s">
        <v>235</v>
      </c>
      <c r="H2005" t="s">
        <v>236</v>
      </c>
      <c r="J2005" t="s">
        <v>672</v>
      </c>
      <c r="M2005">
        <v>45321</v>
      </c>
      <c r="N2005" t="s">
        <v>1024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159405.60747663552</v>
      </c>
      <c r="W2005">
        <v>0</v>
      </c>
      <c r="X2005">
        <v>0</v>
      </c>
      <c r="Y2005">
        <v>159405.60747663552</v>
      </c>
      <c r="Z2005">
        <v>11158.392523364488</v>
      </c>
      <c r="AA2005">
        <v>170564</v>
      </c>
      <c r="AB2005" t="s">
        <v>242</v>
      </c>
      <c r="AC2005">
        <v>1</v>
      </c>
      <c r="AD2005">
        <v>2000</v>
      </c>
      <c r="AE2005">
        <v>0</v>
      </c>
      <c r="AF2005">
        <v>0</v>
      </c>
      <c r="AG2005">
        <v>129.95845555752157</v>
      </c>
      <c r="AH2005" t="s">
        <v>58</v>
      </c>
      <c r="AK2005" t="s">
        <v>798</v>
      </c>
      <c r="AL2005">
        <v>52201274</v>
      </c>
      <c r="AM2005">
        <v>25806950</v>
      </c>
      <c r="AN2005" t="s">
        <v>152</v>
      </c>
      <c r="AO2005" t="s">
        <v>438</v>
      </c>
      <c r="AP2005" t="s">
        <v>431</v>
      </c>
      <c r="AQ2005" t="s">
        <v>82</v>
      </c>
      <c r="AR2005" t="s">
        <v>83</v>
      </c>
      <c r="AT2005" t="s">
        <v>52</v>
      </c>
      <c r="AU2005">
        <v>1000</v>
      </c>
      <c r="AW2005">
        <v>45321</v>
      </c>
      <c r="AX2005" t="s">
        <v>1013</v>
      </c>
      <c r="AY2005">
        <v>0</v>
      </c>
      <c r="AZ2005">
        <v>0</v>
      </c>
      <c r="BA2005">
        <v>0</v>
      </c>
      <c r="BB2005">
        <v>827.1779810647223</v>
      </c>
      <c r="BC2005">
        <v>14476.205804789699</v>
      </c>
      <c r="BD2005">
        <v>0</v>
      </c>
      <c r="BE2005">
        <v>0</v>
      </c>
      <c r="BF2005">
        <v>82200.263157792826</v>
      </c>
      <c r="BG2005">
        <v>0</v>
      </c>
      <c r="BH2005">
        <v>0</v>
      </c>
      <c r="BI2005">
        <v>97503.64694364724</v>
      </c>
      <c r="BJ2005">
        <v>6767.3528273807779</v>
      </c>
      <c r="BK2005">
        <v>104270.99977102801</v>
      </c>
      <c r="BL2005" t="s">
        <v>242</v>
      </c>
      <c r="BM2005">
        <v>5</v>
      </c>
      <c r="BN2005">
        <v>7500</v>
      </c>
      <c r="BO2005">
        <v>0</v>
      </c>
      <c r="BP2005">
        <v>0</v>
      </c>
      <c r="BQ2005">
        <v>486.47893334068283</v>
      </c>
      <c r="BR2005" t="s">
        <v>58</v>
      </c>
    </row>
    <row r="2006" spans="1:70" x14ac:dyDescent="0.3">
      <c r="A2006" t="s">
        <v>798</v>
      </c>
      <c r="B2006">
        <v>52200112</v>
      </c>
      <c r="C2006">
        <v>25062909</v>
      </c>
      <c r="D2006" t="s">
        <v>132</v>
      </c>
      <c r="E2006" t="s">
        <v>436</v>
      </c>
      <c r="F2006" t="s">
        <v>431</v>
      </c>
      <c r="G2006" t="s">
        <v>82</v>
      </c>
      <c r="H2006" t="s">
        <v>83</v>
      </c>
      <c r="J2006" t="s">
        <v>52</v>
      </c>
      <c r="K2006" s="15">
        <v>1000</v>
      </c>
      <c r="M2006">
        <v>45321</v>
      </c>
      <c r="N2006" t="s">
        <v>1013</v>
      </c>
      <c r="O2006">
        <v>0</v>
      </c>
      <c r="P2006">
        <v>0</v>
      </c>
      <c r="Q2006">
        <v>0</v>
      </c>
      <c r="R2006">
        <v>715.84852884100428</v>
      </c>
      <c r="S2006">
        <v>11506.494010953038</v>
      </c>
      <c r="T2006">
        <v>0</v>
      </c>
      <c r="U2006">
        <v>0</v>
      </c>
      <c r="V2006">
        <v>48171.217589309104</v>
      </c>
      <c r="W2006">
        <v>0</v>
      </c>
      <c r="X2006">
        <v>0</v>
      </c>
      <c r="Y2006">
        <v>60393.560129103149</v>
      </c>
      <c r="Z2006">
        <v>4177.4398120183505</v>
      </c>
      <c r="AA2006">
        <v>64570.999941121496</v>
      </c>
      <c r="AB2006" t="s">
        <v>242</v>
      </c>
      <c r="AC2006">
        <v>7</v>
      </c>
      <c r="AD2006">
        <v>6400</v>
      </c>
      <c r="AE2006">
        <v>0</v>
      </c>
      <c r="AF2006">
        <v>0</v>
      </c>
      <c r="AG2006">
        <v>413.70971684006571</v>
      </c>
      <c r="AH2006" t="s">
        <v>58</v>
      </c>
      <c r="AK2006" t="s">
        <v>798</v>
      </c>
      <c r="AL2006">
        <v>4132301419</v>
      </c>
      <c r="AM2006" t="s">
        <v>680</v>
      </c>
      <c r="AN2006" t="s">
        <v>969</v>
      </c>
      <c r="AO2006" t="s">
        <v>442</v>
      </c>
      <c r="AP2006" t="s">
        <v>430</v>
      </c>
      <c r="AQ2006" t="s">
        <v>230</v>
      </c>
      <c r="AR2006" t="s">
        <v>231</v>
      </c>
      <c r="AT2006" t="s">
        <v>52</v>
      </c>
      <c r="AU2006">
        <v>10000</v>
      </c>
      <c r="AW2006">
        <v>45321</v>
      </c>
      <c r="AX2006" t="s">
        <v>1013</v>
      </c>
      <c r="AY2006">
        <v>0</v>
      </c>
      <c r="AZ2006">
        <v>12442.630811346558</v>
      </c>
      <c r="BA2006">
        <v>0</v>
      </c>
      <c r="BB2006">
        <v>0</v>
      </c>
      <c r="BC2006">
        <v>5877.24</v>
      </c>
      <c r="BD2006">
        <v>2888.1955034144321</v>
      </c>
      <c r="BE2006">
        <v>28037.383177570093</v>
      </c>
      <c r="BF2006">
        <v>0</v>
      </c>
      <c r="BG2006">
        <v>261682.24299065419</v>
      </c>
      <c r="BH2006">
        <v>0</v>
      </c>
      <c r="BI2006">
        <v>310927.69248298527</v>
      </c>
      <c r="BJ2006">
        <v>20482.547517014711</v>
      </c>
      <c r="BK2006">
        <v>331410.24</v>
      </c>
      <c r="BL2006" t="s">
        <v>242</v>
      </c>
      <c r="BM2006">
        <v>1</v>
      </c>
      <c r="BN2006">
        <v>10000</v>
      </c>
      <c r="BO2006">
        <v>0</v>
      </c>
      <c r="BP2006">
        <v>0</v>
      </c>
      <c r="BQ2006">
        <v>615.58332410678486</v>
      </c>
      <c r="BR2006" t="s">
        <v>72</v>
      </c>
    </row>
    <row r="2007" spans="1:70" x14ac:dyDescent="0.3">
      <c r="A2007" t="s">
        <v>798</v>
      </c>
      <c r="B2007">
        <v>52200733</v>
      </c>
      <c r="C2007">
        <v>29713647</v>
      </c>
      <c r="D2007" t="s">
        <v>140</v>
      </c>
      <c r="E2007" t="s">
        <v>438</v>
      </c>
      <c r="F2007" t="s">
        <v>431</v>
      </c>
      <c r="G2007" t="s">
        <v>82</v>
      </c>
      <c r="H2007" t="s">
        <v>83</v>
      </c>
      <c r="J2007" t="s">
        <v>52</v>
      </c>
      <c r="K2007" s="15">
        <v>2500</v>
      </c>
      <c r="M2007">
        <v>45321</v>
      </c>
      <c r="N2007" t="s">
        <v>1013</v>
      </c>
      <c r="O2007">
        <v>0</v>
      </c>
      <c r="P2007">
        <v>0</v>
      </c>
      <c r="Q2007">
        <v>0</v>
      </c>
      <c r="R2007">
        <v>767.49950526322414</v>
      </c>
      <c r="S2007">
        <v>0</v>
      </c>
      <c r="T2007">
        <v>0</v>
      </c>
      <c r="U2007">
        <v>0</v>
      </c>
      <c r="V2007">
        <v>56790.187378258663</v>
      </c>
      <c r="W2007">
        <v>0</v>
      </c>
      <c r="X2007">
        <v>0</v>
      </c>
      <c r="Y2007">
        <v>57557.686883521885</v>
      </c>
      <c r="Z2007">
        <v>3975.3131164781066</v>
      </c>
      <c r="AA2007">
        <v>61532.999999999993</v>
      </c>
      <c r="AB2007" t="s">
        <v>242</v>
      </c>
      <c r="AC2007">
        <v>8</v>
      </c>
      <c r="AD2007">
        <v>27337</v>
      </c>
      <c r="AE2007">
        <v>0</v>
      </c>
      <c r="AF2007">
        <v>0</v>
      </c>
      <c r="AG2007">
        <v>1764.1635190359111</v>
      </c>
      <c r="AH2007" t="s">
        <v>58</v>
      </c>
      <c r="AK2007" t="s">
        <v>798</v>
      </c>
      <c r="AL2007">
        <v>4142300794</v>
      </c>
      <c r="AM2007">
        <v>10379208</v>
      </c>
      <c r="AN2007" t="s">
        <v>209</v>
      </c>
      <c r="AO2007" t="s">
        <v>445</v>
      </c>
      <c r="AP2007" t="s">
        <v>430</v>
      </c>
      <c r="AQ2007" t="s">
        <v>230</v>
      </c>
      <c r="AR2007" t="s">
        <v>234</v>
      </c>
      <c r="AT2007" t="s">
        <v>52</v>
      </c>
      <c r="AU2007">
        <v>12000</v>
      </c>
      <c r="AW2007">
        <v>45321</v>
      </c>
      <c r="AX2007" t="s">
        <v>1013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429065.6728971962</v>
      </c>
      <c r="BI2007">
        <v>429065.6728971962</v>
      </c>
      <c r="BJ2007">
        <v>30034.597102803738</v>
      </c>
      <c r="BK2007">
        <v>459100.26999999996</v>
      </c>
      <c r="BL2007" t="s">
        <v>242</v>
      </c>
      <c r="BM2007">
        <v>6</v>
      </c>
      <c r="BN2007">
        <v>89000</v>
      </c>
      <c r="BO2007">
        <v>0</v>
      </c>
      <c r="BP2007">
        <v>0</v>
      </c>
      <c r="BQ2007">
        <v>5822.4299065420573</v>
      </c>
      <c r="BR2007" t="s">
        <v>58</v>
      </c>
    </row>
    <row r="2008" spans="1:70" x14ac:dyDescent="0.3">
      <c r="A2008" t="s">
        <v>798</v>
      </c>
      <c r="B2008">
        <v>52201274</v>
      </c>
      <c r="C2008">
        <v>25806950</v>
      </c>
      <c r="D2008" t="s">
        <v>152</v>
      </c>
      <c r="E2008" t="s">
        <v>438</v>
      </c>
      <c r="F2008" t="s">
        <v>431</v>
      </c>
      <c r="G2008" t="s">
        <v>82</v>
      </c>
      <c r="H2008" t="s">
        <v>83</v>
      </c>
      <c r="J2008" t="s">
        <v>52</v>
      </c>
      <c r="K2008" s="15">
        <v>1000</v>
      </c>
      <c r="M2008">
        <v>45321</v>
      </c>
      <c r="N2008" t="s">
        <v>1013</v>
      </c>
      <c r="O2008">
        <v>0</v>
      </c>
      <c r="P2008">
        <v>0</v>
      </c>
      <c r="Q2008">
        <v>0</v>
      </c>
      <c r="R2008">
        <v>827.1779810647223</v>
      </c>
      <c r="S2008">
        <v>14476.205804789699</v>
      </c>
      <c r="T2008">
        <v>0</v>
      </c>
      <c r="U2008">
        <v>0</v>
      </c>
      <c r="V2008">
        <v>82200.263157792826</v>
      </c>
      <c r="W2008">
        <v>0</v>
      </c>
      <c r="X2008">
        <v>0</v>
      </c>
      <c r="Y2008">
        <v>97503.64694364724</v>
      </c>
      <c r="Z2008">
        <v>6767.3528273807779</v>
      </c>
      <c r="AA2008">
        <v>104270.99977102801</v>
      </c>
      <c r="AB2008" t="s">
        <v>242</v>
      </c>
      <c r="AC2008">
        <v>5</v>
      </c>
      <c r="AD2008">
        <v>7500</v>
      </c>
      <c r="AE2008">
        <v>0</v>
      </c>
      <c r="AF2008">
        <v>0</v>
      </c>
      <c r="AG2008">
        <v>486.47893334068283</v>
      </c>
      <c r="AH2008" t="s">
        <v>58</v>
      </c>
      <c r="AK2008" t="s">
        <v>798</v>
      </c>
      <c r="AL2008">
        <v>4142300833</v>
      </c>
      <c r="AM2008">
        <v>10386254</v>
      </c>
      <c r="AN2008" t="s">
        <v>743</v>
      </c>
      <c r="AO2008" t="s">
        <v>445</v>
      </c>
      <c r="AP2008" t="s">
        <v>430</v>
      </c>
      <c r="AQ2008" t="s">
        <v>230</v>
      </c>
      <c r="AR2008" t="s">
        <v>234</v>
      </c>
      <c r="AT2008" t="s">
        <v>52</v>
      </c>
      <c r="AU2008">
        <v>5000</v>
      </c>
      <c r="AW2008">
        <v>45321</v>
      </c>
      <c r="AX2008" t="s">
        <v>1029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417623.60747663555</v>
      </c>
      <c r="BI2008">
        <v>417623.60747663555</v>
      </c>
      <c r="BJ2008">
        <v>29233.65252336449</v>
      </c>
      <c r="BK2008">
        <v>446857.26</v>
      </c>
      <c r="BL2008" t="s">
        <v>242</v>
      </c>
      <c r="BM2008">
        <v>1</v>
      </c>
      <c r="BN2008">
        <v>5000</v>
      </c>
      <c r="BO2008">
        <v>0</v>
      </c>
      <c r="BP2008">
        <v>0</v>
      </c>
      <c r="BQ2008">
        <v>327.10280373831756</v>
      </c>
      <c r="BR2008" t="s">
        <v>72</v>
      </c>
    </row>
    <row r="2009" spans="1:70" x14ac:dyDescent="0.3">
      <c r="A2009" t="s">
        <v>798</v>
      </c>
      <c r="B2009">
        <v>52201340</v>
      </c>
      <c r="C2009">
        <v>28518241</v>
      </c>
      <c r="D2009" t="s">
        <v>154</v>
      </c>
      <c r="E2009" t="s">
        <v>438</v>
      </c>
      <c r="F2009" t="s">
        <v>431</v>
      </c>
      <c r="G2009" t="s">
        <v>82</v>
      </c>
      <c r="H2009" t="s">
        <v>83</v>
      </c>
      <c r="J2009" t="s">
        <v>52</v>
      </c>
      <c r="K2009" s="15">
        <v>1000</v>
      </c>
      <c r="M2009">
        <v>45321</v>
      </c>
      <c r="N2009" t="s">
        <v>1013</v>
      </c>
      <c r="O2009">
        <v>0</v>
      </c>
      <c r="P2009">
        <v>0</v>
      </c>
      <c r="Q2009">
        <v>0</v>
      </c>
      <c r="R2009">
        <v>870.89030393824271</v>
      </c>
      <c r="S2009">
        <v>13037.746102971867</v>
      </c>
      <c r="T2009">
        <v>0</v>
      </c>
      <c r="U2009">
        <v>0</v>
      </c>
      <c r="V2009">
        <v>46100.673645528383</v>
      </c>
      <c r="W2009">
        <v>0</v>
      </c>
      <c r="X2009">
        <v>0</v>
      </c>
      <c r="Y2009">
        <v>60009.310052438494</v>
      </c>
      <c r="Z2009">
        <v>4139.6893823950177</v>
      </c>
      <c r="AA2009">
        <v>64148.999434833509</v>
      </c>
      <c r="AB2009" t="s">
        <v>242</v>
      </c>
      <c r="AC2009">
        <v>8</v>
      </c>
      <c r="AD2009">
        <v>11500</v>
      </c>
      <c r="AE2009">
        <v>0</v>
      </c>
      <c r="AF2009">
        <v>0</v>
      </c>
      <c r="AG2009">
        <v>741.33861801465139</v>
      </c>
      <c r="AH2009" t="s">
        <v>58</v>
      </c>
      <c r="AK2009" t="s">
        <v>798</v>
      </c>
      <c r="AL2009">
        <v>4142301497</v>
      </c>
      <c r="AM2009">
        <v>10548179</v>
      </c>
      <c r="AN2009" t="s">
        <v>758</v>
      </c>
      <c r="AO2009" t="s">
        <v>446</v>
      </c>
      <c r="AP2009" t="s">
        <v>430</v>
      </c>
      <c r="AQ2009" t="s">
        <v>230</v>
      </c>
      <c r="AR2009" t="s">
        <v>234</v>
      </c>
      <c r="AT2009" t="s">
        <v>52</v>
      </c>
      <c r="AU2009">
        <v>2000</v>
      </c>
      <c r="AW2009">
        <v>45321</v>
      </c>
      <c r="AX2009" t="s">
        <v>1013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430117.78504672903</v>
      </c>
      <c r="BI2009">
        <v>430117.78504672903</v>
      </c>
      <c r="BJ2009">
        <v>30108.244953271034</v>
      </c>
      <c r="BK2009">
        <v>460226.03000000009</v>
      </c>
      <c r="BL2009" t="s">
        <v>242</v>
      </c>
      <c r="BM2009">
        <v>1</v>
      </c>
      <c r="BN2009">
        <v>2000</v>
      </c>
      <c r="BO2009">
        <v>0</v>
      </c>
      <c r="BP2009">
        <v>0</v>
      </c>
      <c r="BQ2009">
        <v>130.84112149532712</v>
      </c>
      <c r="BR2009" t="s">
        <v>72</v>
      </c>
    </row>
    <row r="2010" spans="1:70" x14ac:dyDescent="0.3">
      <c r="A2010" t="s">
        <v>798</v>
      </c>
      <c r="B2010">
        <v>52201969</v>
      </c>
      <c r="C2010">
        <v>29362147</v>
      </c>
      <c r="D2010" t="s">
        <v>735</v>
      </c>
      <c r="E2010" t="s">
        <v>438</v>
      </c>
      <c r="F2010" t="s">
        <v>431</v>
      </c>
      <c r="G2010" t="s">
        <v>82</v>
      </c>
      <c r="H2010" t="s">
        <v>83</v>
      </c>
      <c r="J2010" t="s">
        <v>52</v>
      </c>
      <c r="K2010" s="15">
        <v>3625</v>
      </c>
      <c r="M2010">
        <v>45321</v>
      </c>
      <c r="N2010" t="s">
        <v>1013</v>
      </c>
      <c r="O2010">
        <v>0</v>
      </c>
      <c r="P2010">
        <v>0</v>
      </c>
      <c r="Q2010">
        <v>0</v>
      </c>
      <c r="R2010">
        <v>989.44957904975388</v>
      </c>
      <c r="S2010">
        <v>18010.839832663776</v>
      </c>
      <c r="T2010">
        <v>0</v>
      </c>
      <c r="U2010">
        <v>0</v>
      </c>
      <c r="V2010">
        <v>53619.577196261693</v>
      </c>
      <c r="W2010">
        <v>0</v>
      </c>
      <c r="X2010">
        <v>0</v>
      </c>
      <c r="Y2010">
        <v>72619.866607975215</v>
      </c>
      <c r="Z2010">
        <v>5014.1291920247832</v>
      </c>
      <c r="AA2010">
        <v>77633.995800000004</v>
      </c>
      <c r="AB2010" t="s">
        <v>242</v>
      </c>
      <c r="AC2010">
        <v>1</v>
      </c>
      <c r="AD2010">
        <v>3625</v>
      </c>
      <c r="AE2010">
        <v>0</v>
      </c>
      <c r="AF2010">
        <v>0</v>
      </c>
      <c r="AG2010">
        <v>233.90791638643259</v>
      </c>
      <c r="AH2010" t="s">
        <v>72</v>
      </c>
      <c r="AK2010" t="s">
        <v>798</v>
      </c>
      <c r="AL2010">
        <v>4312300003</v>
      </c>
      <c r="AM2010" t="s">
        <v>63</v>
      </c>
      <c r="AN2010" t="s">
        <v>935</v>
      </c>
      <c r="AO2010" t="s">
        <v>448</v>
      </c>
      <c r="AP2010" t="s">
        <v>433</v>
      </c>
      <c r="AQ2010" t="s">
        <v>82</v>
      </c>
      <c r="AR2010" t="s">
        <v>71</v>
      </c>
      <c r="AT2010" t="s">
        <v>52</v>
      </c>
      <c r="AU2010">
        <v>20000</v>
      </c>
      <c r="AW2010">
        <v>45321</v>
      </c>
      <c r="AX2010" t="s">
        <v>1013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267405.76635514025</v>
      </c>
      <c r="BI2010">
        <v>267405.76635514025</v>
      </c>
      <c r="BJ2010">
        <v>18718.40364485982</v>
      </c>
      <c r="BK2010">
        <v>286124.17000000004</v>
      </c>
      <c r="BL2010" t="s">
        <v>242</v>
      </c>
      <c r="BM2010">
        <v>2</v>
      </c>
      <c r="BN2010">
        <v>40000</v>
      </c>
      <c r="BO2010">
        <v>0</v>
      </c>
      <c r="BP2010">
        <v>0</v>
      </c>
      <c r="BQ2010">
        <v>2616.8224299065405</v>
      </c>
      <c r="BR2010" t="s">
        <v>58</v>
      </c>
    </row>
    <row r="2011" spans="1:70" x14ac:dyDescent="0.3">
      <c r="A2011" t="s">
        <v>798</v>
      </c>
      <c r="B2011">
        <v>62200025</v>
      </c>
      <c r="C2011">
        <v>9001302</v>
      </c>
      <c r="D2011" t="s">
        <v>79</v>
      </c>
      <c r="E2011" t="s">
        <v>435</v>
      </c>
      <c r="F2011" t="s">
        <v>432</v>
      </c>
      <c r="G2011" t="s">
        <v>82</v>
      </c>
      <c r="H2011" t="s">
        <v>82</v>
      </c>
      <c r="J2011" t="s">
        <v>52</v>
      </c>
      <c r="K2011" s="15">
        <v>1000</v>
      </c>
      <c r="M2011">
        <v>45321</v>
      </c>
      <c r="N2011" t="s">
        <v>1013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13024.843263835617</v>
      </c>
      <c r="W2011">
        <v>0</v>
      </c>
      <c r="X2011">
        <v>0</v>
      </c>
      <c r="Y2011">
        <v>13024.843263835617</v>
      </c>
      <c r="Z2011">
        <v>0</v>
      </c>
      <c r="AA2011">
        <v>13024.843263835617</v>
      </c>
      <c r="AB2011" t="s">
        <v>242</v>
      </c>
      <c r="AC2011">
        <v>17</v>
      </c>
      <c r="AD2011">
        <v>17170</v>
      </c>
      <c r="AE2011">
        <v>0</v>
      </c>
      <c r="AF2011">
        <v>0</v>
      </c>
      <c r="AG2011">
        <v>0</v>
      </c>
      <c r="AH2011" t="s">
        <v>58</v>
      </c>
      <c r="AK2011" t="s">
        <v>798</v>
      </c>
      <c r="AL2011">
        <v>4312300009</v>
      </c>
      <c r="AM2011" t="s">
        <v>694</v>
      </c>
      <c r="AN2011" t="s">
        <v>970</v>
      </c>
      <c r="AO2011" t="s">
        <v>448</v>
      </c>
      <c r="AP2011" t="s">
        <v>433</v>
      </c>
      <c r="AQ2011" t="s">
        <v>82</v>
      </c>
      <c r="AR2011" t="s">
        <v>71</v>
      </c>
      <c r="AT2011" t="s">
        <v>52</v>
      </c>
      <c r="AU2011">
        <v>25000</v>
      </c>
      <c r="AW2011">
        <v>45321</v>
      </c>
      <c r="AX2011" t="s">
        <v>1029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552671.51401869161</v>
      </c>
      <c r="BI2011">
        <v>552671.51401869161</v>
      </c>
      <c r="BJ2011">
        <v>38687.005981308415</v>
      </c>
      <c r="BK2011">
        <v>591358.52</v>
      </c>
      <c r="BL2011" t="s">
        <v>242</v>
      </c>
      <c r="BM2011">
        <v>1</v>
      </c>
      <c r="BN2011">
        <v>25000</v>
      </c>
      <c r="BO2011">
        <v>0</v>
      </c>
      <c r="BP2011">
        <v>0</v>
      </c>
      <c r="BQ2011">
        <v>1635.5140186915887</v>
      </c>
      <c r="BR2011" t="s">
        <v>72</v>
      </c>
    </row>
    <row r="2012" spans="1:70" x14ac:dyDescent="0.3">
      <c r="A2012" t="s">
        <v>798</v>
      </c>
      <c r="B2012">
        <v>4132301419</v>
      </c>
      <c r="C2012" t="s">
        <v>680</v>
      </c>
      <c r="D2012" t="s">
        <v>969</v>
      </c>
      <c r="E2012" t="s">
        <v>442</v>
      </c>
      <c r="F2012" t="s">
        <v>430</v>
      </c>
      <c r="G2012" t="s">
        <v>230</v>
      </c>
      <c r="H2012" t="s">
        <v>231</v>
      </c>
      <c r="J2012" t="s">
        <v>52</v>
      </c>
      <c r="K2012" s="15">
        <v>10000</v>
      </c>
      <c r="M2012">
        <v>45321</v>
      </c>
      <c r="N2012" t="s">
        <v>1013</v>
      </c>
      <c r="O2012">
        <v>0</v>
      </c>
      <c r="P2012">
        <v>12442.630811346558</v>
      </c>
      <c r="Q2012">
        <v>0</v>
      </c>
      <c r="R2012">
        <v>0</v>
      </c>
      <c r="S2012">
        <v>5877.24</v>
      </c>
      <c r="T2012">
        <v>2888.1955034144321</v>
      </c>
      <c r="U2012">
        <v>28037.383177570093</v>
      </c>
      <c r="V2012">
        <v>0</v>
      </c>
      <c r="W2012">
        <v>261682.24299065419</v>
      </c>
      <c r="X2012">
        <v>0</v>
      </c>
      <c r="Y2012">
        <v>310927.69248298527</v>
      </c>
      <c r="Z2012">
        <v>20482.547517014711</v>
      </c>
      <c r="AA2012">
        <v>331410.24</v>
      </c>
      <c r="AB2012" t="s">
        <v>242</v>
      </c>
      <c r="AC2012">
        <v>1</v>
      </c>
      <c r="AD2012">
        <v>10000</v>
      </c>
      <c r="AE2012">
        <v>0</v>
      </c>
      <c r="AF2012">
        <v>0</v>
      </c>
      <c r="AG2012">
        <v>615.58332410678486</v>
      </c>
      <c r="AH2012" t="s">
        <v>72</v>
      </c>
      <c r="AK2012" t="s">
        <v>798</v>
      </c>
      <c r="AL2012">
        <v>4312300011</v>
      </c>
      <c r="AM2012" t="s">
        <v>70</v>
      </c>
      <c r="AN2012" t="s">
        <v>935</v>
      </c>
      <c r="AO2012" t="s">
        <v>448</v>
      </c>
      <c r="AP2012" t="s">
        <v>433</v>
      </c>
      <c r="AQ2012" t="s">
        <v>82</v>
      </c>
      <c r="AR2012" t="s">
        <v>71</v>
      </c>
      <c r="AT2012" t="s">
        <v>52</v>
      </c>
      <c r="AU2012">
        <v>20000</v>
      </c>
      <c r="AW2012">
        <v>45321</v>
      </c>
      <c r="AX2012" t="s">
        <v>1013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297675.70093457948</v>
      </c>
      <c r="BI2012">
        <v>297675.70093457948</v>
      </c>
      <c r="BJ2012">
        <v>20837.299065420564</v>
      </c>
      <c r="BK2012">
        <v>318513.00000000006</v>
      </c>
      <c r="BL2012" t="s">
        <v>242</v>
      </c>
      <c r="BM2012">
        <v>3</v>
      </c>
      <c r="BN2012">
        <v>73000</v>
      </c>
      <c r="BO2012">
        <v>0</v>
      </c>
      <c r="BP2012">
        <v>0</v>
      </c>
      <c r="BQ2012">
        <v>4775.7009345794395</v>
      </c>
      <c r="BR2012" t="s">
        <v>58</v>
      </c>
    </row>
    <row r="2013" spans="1:70" x14ac:dyDescent="0.3">
      <c r="A2013" t="s">
        <v>798</v>
      </c>
      <c r="B2013">
        <v>4142300794</v>
      </c>
      <c r="C2013">
        <v>10379208</v>
      </c>
      <c r="D2013" t="s">
        <v>209</v>
      </c>
      <c r="E2013" t="s">
        <v>445</v>
      </c>
      <c r="F2013" t="s">
        <v>430</v>
      </c>
      <c r="G2013" t="s">
        <v>230</v>
      </c>
      <c r="H2013" t="s">
        <v>234</v>
      </c>
      <c r="J2013" t="s">
        <v>52</v>
      </c>
      <c r="K2013" s="15">
        <v>12000</v>
      </c>
      <c r="M2013">
        <v>45321</v>
      </c>
      <c r="N2013" t="s">
        <v>1013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429065.6728971962</v>
      </c>
      <c r="Y2013">
        <v>429065.6728971962</v>
      </c>
      <c r="Z2013">
        <v>30034.597102803738</v>
      </c>
      <c r="AA2013">
        <v>459100.26999999996</v>
      </c>
      <c r="AB2013" t="s">
        <v>242</v>
      </c>
      <c r="AC2013">
        <v>6</v>
      </c>
      <c r="AD2013">
        <v>89000</v>
      </c>
      <c r="AE2013">
        <v>0</v>
      </c>
      <c r="AF2013">
        <v>0</v>
      </c>
      <c r="AG2013">
        <v>5822.4299065420573</v>
      </c>
      <c r="AH2013" t="s">
        <v>58</v>
      </c>
      <c r="AK2013" t="s">
        <v>798</v>
      </c>
      <c r="AL2013">
        <v>5212300001</v>
      </c>
      <c r="AM2013" t="s">
        <v>65</v>
      </c>
      <c r="AN2013" t="s">
        <v>971</v>
      </c>
      <c r="AO2013" t="s">
        <v>448</v>
      </c>
      <c r="AP2013" t="s">
        <v>434</v>
      </c>
      <c r="AQ2013" t="s">
        <v>82</v>
      </c>
      <c r="AR2013" t="s">
        <v>71</v>
      </c>
      <c r="AT2013" t="s">
        <v>52</v>
      </c>
      <c r="AU2013">
        <v>33170</v>
      </c>
      <c r="AW2013">
        <v>45321</v>
      </c>
      <c r="AX2013" t="s">
        <v>1029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485579.43925233645</v>
      </c>
      <c r="BI2013">
        <v>485579.43925233645</v>
      </c>
      <c r="BJ2013">
        <v>33990.560747663556</v>
      </c>
      <c r="BK2013">
        <v>519570</v>
      </c>
      <c r="BL2013" t="s">
        <v>242</v>
      </c>
      <c r="BM2013">
        <v>2</v>
      </c>
      <c r="BN2013">
        <v>65340</v>
      </c>
      <c r="BO2013">
        <v>0</v>
      </c>
      <c r="BP2013">
        <v>0</v>
      </c>
      <c r="BQ2013">
        <v>4274.5794392523385</v>
      </c>
      <c r="BR2013" t="s">
        <v>58</v>
      </c>
    </row>
    <row r="2014" spans="1:70" x14ac:dyDescent="0.3">
      <c r="A2014" t="s">
        <v>798</v>
      </c>
      <c r="B2014">
        <v>4142300833</v>
      </c>
      <c r="C2014">
        <v>10386254</v>
      </c>
      <c r="D2014" t="s">
        <v>743</v>
      </c>
      <c r="E2014" t="s">
        <v>445</v>
      </c>
      <c r="F2014" t="s">
        <v>430</v>
      </c>
      <c r="G2014" t="s">
        <v>230</v>
      </c>
      <c r="H2014" t="s">
        <v>234</v>
      </c>
      <c r="J2014" t="s">
        <v>52</v>
      </c>
      <c r="K2014" s="15">
        <v>5000</v>
      </c>
      <c r="M2014">
        <v>45321</v>
      </c>
      <c r="N2014" t="s">
        <v>1029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417623.60747663555</v>
      </c>
      <c r="Y2014">
        <v>417623.60747663555</v>
      </c>
      <c r="Z2014">
        <v>29233.65252336449</v>
      </c>
      <c r="AA2014">
        <v>446857.26</v>
      </c>
      <c r="AB2014" t="s">
        <v>242</v>
      </c>
      <c r="AC2014">
        <v>1</v>
      </c>
      <c r="AD2014">
        <v>5000</v>
      </c>
      <c r="AE2014">
        <v>0</v>
      </c>
      <c r="AF2014">
        <v>0</v>
      </c>
      <c r="AG2014">
        <v>327.10280373831756</v>
      </c>
      <c r="AH2014" t="s">
        <v>72</v>
      </c>
      <c r="AK2014" t="s">
        <v>798</v>
      </c>
      <c r="AL2014">
        <v>52200112</v>
      </c>
      <c r="AM2014">
        <v>25062909</v>
      </c>
      <c r="AN2014" t="s">
        <v>132</v>
      </c>
      <c r="AO2014" t="s">
        <v>436</v>
      </c>
      <c r="AP2014" t="s">
        <v>431</v>
      </c>
      <c r="AQ2014" t="s">
        <v>82</v>
      </c>
      <c r="AR2014" t="s">
        <v>83</v>
      </c>
      <c r="AT2014" t="s">
        <v>52</v>
      </c>
      <c r="AU2014">
        <v>1000</v>
      </c>
      <c r="AW2014">
        <v>45321</v>
      </c>
      <c r="AX2014" t="s">
        <v>1013</v>
      </c>
      <c r="AY2014">
        <v>0</v>
      </c>
      <c r="AZ2014">
        <v>0</v>
      </c>
      <c r="BA2014">
        <v>0</v>
      </c>
      <c r="BB2014">
        <v>715.84852884100428</v>
      </c>
      <c r="BC2014">
        <v>11506.494010953038</v>
      </c>
      <c r="BD2014">
        <v>0</v>
      </c>
      <c r="BE2014">
        <v>0</v>
      </c>
      <c r="BF2014">
        <v>48171.217589309104</v>
      </c>
      <c r="BG2014">
        <v>0</v>
      </c>
      <c r="BH2014">
        <v>0</v>
      </c>
      <c r="BI2014">
        <v>60393.560129103149</v>
      </c>
      <c r="BJ2014">
        <v>4177.4398120183505</v>
      </c>
      <c r="BK2014">
        <v>64570.999941121496</v>
      </c>
      <c r="BL2014" t="s">
        <v>242</v>
      </c>
      <c r="BM2014">
        <v>7</v>
      </c>
      <c r="BN2014">
        <v>6400</v>
      </c>
      <c r="BO2014">
        <v>0</v>
      </c>
      <c r="BP2014">
        <v>0</v>
      </c>
      <c r="BQ2014">
        <v>413.70971684006571</v>
      </c>
      <c r="BR2014" t="s">
        <v>58</v>
      </c>
    </row>
    <row r="2015" spans="1:70" x14ac:dyDescent="0.3">
      <c r="A2015" t="s">
        <v>798</v>
      </c>
      <c r="B2015">
        <v>4142301497</v>
      </c>
      <c r="C2015">
        <v>10548179</v>
      </c>
      <c r="D2015" t="s">
        <v>758</v>
      </c>
      <c r="E2015" t="s">
        <v>446</v>
      </c>
      <c r="F2015" t="s">
        <v>430</v>
      </c>
      <c r="G2015" t="s">
        <v>230</v>
      </c>
      <c r="H2015" t="s">
        <v>234</v>
      </c>
      <c r="J2015" t="s">
        <v>52</v>
      </c>
      <c r="K2015" s="15">
        <v>2000</v>
      </c>
      <c r="M2015">
        <v>45321</v>
      </c>
      <c r="N2015" t="s">
        <v>1013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430117.78504672903</v>
      </c>
      <c r="Y2015">
        <v>430117.78504672903</v>
      </c>
      <c r="Z2015">
        <v>30108.244953271034</v>
      </c>
      <c r="AA2015">
        <v>460226.03000000009</v>
      </c>
      <c r="AB2015" t="s">
        <v>242</v>
      </c>
      <c r="AC2015">
        <v>1</v>
      </c>
      <c r="AD2015">
        <v>2000</v>
      </c>
      <c r="AE2015">
        <v>0</v>
      </c>
      <c r="AF2015">
        <v>0</v>
      </c>
      <c r="AG2015">
        <v>130.84112149532712</v>
      </c>
      <c r="AH2015" t="s">
        <v>72</v>
      </c>
      <c r="AK2015" t="s">
        <v>798</v>
      </c>
      <c r="AL2015">
        <v>52200733</v>
      </c>
      <c r="AM2015">
        <v>29713647</v>
      </c>
      <c r="AN2015" t="s">
        <v>140</v>
      </c>
      <c r="AO2015" t="s">
        <v>438</v>
      </c>
      <c r="AP2015" t="s">
        <v>431</v>
      </c>
      <c r="AQ2015" t="s">
        <v>82</v>
      </c>
      <c r="AR2015" t="s">
        <v>83</v>
      </c>
      <c r="AT2015" t="s">
        <v>52</v>
      </c>
      <c r="AU2015">
        <v>2500</v>
      </c>
      <c r="AW2015">
        <v>45321</v>
      </c>
      <c r="AX2015" t="s">
        <v>1013</v>
      </c>
      <c r="AY2015">
        <v>0</v>
      </c>
      <c r="AZ2015">
        <v>0</v>
      </c>
      <c r="BA2015">
        <v>0</v>
      </c>
      <c r="BB2015">
        <v>767.49950526322414</v>
      </c>
      <c r="BC2015">
        <v>0</v>
      </c>
      <c r="BD2015">
        <v>0</v>
      </c>
      <c r="BE2015">
        <v>0</v>
      </c>
      <c r="BF2015">
        <v>56790.187378258663</v>
      </c>
      <c r="BG2015">
        <v>0</v>
      </c>
      <c r="BH2015">
        <v>0</v>
      </c>
      <c r="BI2015">
        <v>57557.686883521885</v>
      </c>
      <c r="BJ2015">
        <v>3975.3131164781066</v>
      </c>
      <c r="BK2015">
        <v>61532.999999999993</v>
      </c>
      <c r="BL2015" t="s">
        <v>242</v>
      </c>
      <c r="BM2015">
        <v>8</v>
      </c>
      <c r="BN2015">
        <v>27337</v>
      </c>
      <c r="BO2015">
        <v>0</v>
      </c>
      <c r="BP2015">
        <v>0</v>
      </c>
      <c r="BQ2015">
        <v>1764.1635190359111</v>
      </c>
      <c r="BR2015" t="s">
        <v>58</v>
      </c>
    </row>
    <row r="2016" spans="1:70" x14ac:dyDescent="0.3">
      <c r="A2016" t="s">
        <v>798</v>
      </c>
      <c r="B2016">
        <v>4312300003</v>
      </c>
      <c r="C2016" t="s">
        <v>63</v>
      </c>
      <c r="D2016" t="s">
        <v>935</v>
      </c>
      <c r="E2016" t="s">
        <v>448</v>
      </c>
      <c r="F2016" t="s">
        <v>433</v>
      </c>
      <c r="G2016" t="s">
        <v>82</v>
      </c>
      <c r="H2016" t="s">
        <v>71</v>
      </c>
      <c r="J2016" t="s">
        <v>52</v>
      </c>
      <c r="K2016" s="15">
        <v>20000</v>
      </c>
      <c r="M2016">
        <v>45321</v>
      </c>
      <c r="N2016" t="s">
        <v>1013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267405.76635514025</v>
      </c>
      <c r="Y2016">
        <v>267405.76635514025</v>
      </c>
      <c r="Z2016">
        <v>18718.40364485982</v>
      </c>
      <c r="AA2016">
        <v>286124.17000000004</v>
      </c>
      <c r="AB2016" t="s">
        <v>242</v>
      </c>
      <c r="AC2016">
        <v>2</v>
      </c>
      <c r="AD2016">
        <v>40000</v>
      </c>
      <c r="AE2016">
        <v>0</v>
      </c>
      <c r="AF2016">
        <v>0</v>
      </c>
      <c r="AG2016">
        <v>2616.8224299065405</v>
      </c>
      <c r="AH2016" t="s">
        <v>58</v>
      </c>
      <c r="AK2016" t="s">
        <v>798</v>
      </c>
      <c r="AL2016">
        <v>52201340</v>
      </c>
      <c r="AM2016">
        <v>28518241</v>
      </c>
      <c r="AN2016" t="s">
        <v>154</v>
      </c>
      <c r="AO2016" t="s">
        <v>438</v>
      </c>
      <c r="AP2016" t="s">
        <v>431</v>
      </c>
      <c r="AQ2016" t="s">
        <v>82</v>
      </c>
      <c r="AR2016" t="s">
        <v>83</v>
      </c>
      <c r="AT2016" t="s">
        <v>52</v>
      </c>
      <c r="AU2016">
        <v>1000</v>
      </c>
      <c r="AW2016">
        <v>45321</v>
      </c>
      <c r="AX2016" t="s">
        <v>1013</v>
      </c>
      <c r="AY2016">
        <v>0</v>
      </c>
      <c r="AZ2016">
        <v>0</v>
      </c>
      <c r="BA2016">
        <v>0</v>
      </c>
      <c r="BB2016">
        <v>870.89030393824271</v>
      </c>
      <c r="BC2016">
        <v>13037.746102971867</v>
      </c>
      <c r="BD2016">
        <v>0</v>
      </c>
      <c r="BE2016">
        <v>0</v>
      </c>
      <c r="BF2016">
        <v>46100.673645528383</v>
      </c>
      <c r="BG2016">
        <v>0</v>
      </c>
      <c r="BH2016">
        <v>0</v>
      </c>
      <c r="BI2016">
        <v>60009.310052438494</v>
      </c>
      <c r="BJ2016">
        <v>4139.6893823950177</v>
      </c>
      <c r="BK2016">
        <v>64148.999434833509</v>
      </c>
      <c r="BL2016" t="s">
        <v>242</v>
      </c>
      <c r="BM2016">
        <v>8</v>
      </c>
      <c r="BN2016">
        <v>11500</v>
      </c>
      <c r="BO2016">
        <v>0</v>
      </c>
      <c r="BP2016">
        <v>0</v>
      </c>
      <c r="BQ2016">
        <v>741.33861801465139</v>
      </c>
      <c r="BR2016" t="s">
        <v>58</v>
      </c>
    </row>
    <row r="2017" spans="1:70" x14ac:dyDescent="0.3">
      <c r="A2017" t="s">
        <v>798</v>
      </c>
      <c r="B2017">
        <v>4312300009</v>
      </c>
      <c r="C2017" t="s">
        <v>694</v>
      </c>
      <c r="D2017" t="s">
        <v>970</v>
      </c>
      <c r="E2017" t="s">
        <v>448</v>
      </c>
      <c r="F2017" t="s">
        <v>433</v>
      </c>
      <c r="G2017" t="s">
        <v>82</v>
      </c>
      <c r="H2017" t="s">
        <v>71</v>
      </c>
      <c r="J2017" t="s">
        <v>52</v>
      </c>
      <c r="K2017" s="15">
        <v>25000</v>
      </c>
      <c r="M2017">
        <v>45321</v>
      </c>
      <c r="N2017" t="s">
        <v>1029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552671.51401869161</v>
      </c>
      <c r="Y2017">
        <v>552671.51401869161</v>
      </c>
      <c r="Z2017">
        <v>38687.005981308415</v>
      </c>
      <c r="AA2017">
        <v>591358.52</v>
      </c>
      <c r="AB2017" t="s">
        <v>242</v>
      </c>
      <c r="AC2017">
        <v>1</v>
      </c>
      <c r="AD2017">
        <v>25000</v>
      </c>
      <c r="AE2017">
        <v>0</v>
      </c>
      <c r="AF2017">
        <v>0</v>
      </c>
      <c r="AG2017">
        <v>1635.5140186915887</v>
      </c>
      <c r="AH2017" t="s">
        <v>72</v>
      </c>
      <c r="AK2017" t="s">
        <v>798</v>
      </c>
      <c r="AL2017">
        <v>52201969</v>
      </c>
      <c r="AM2017">
        <v>29362147</v>
      </c>
      <c r="AN2017" t="s">
        <v>735</v>
      </c>
      <c r="AO2017" t="s">
        <v>438</v>
      </c>
      <c r="AP2017" t="s">
        <v>431</v>
      </c>
      <c r="AQ2017" t="s">
        <v>82</v>
      </c>
      <c r="AR2017" t="s">
        <v>83</v>
      </c>
      <c r="AT2017" t="s">
        <v>52</v>
      </c>
      <c r="AU2017">
        <v>3625</v>
      </c>
      <c r="AW2017">
        <v>45321</v>
      </c>
      <c r="AX2017" t="s">
        <v>1013</v>
      </c>
      <c r="AY2017">
        <v>0</v>
      </c>
      <c r="AZ2017">
        <v>0</v>
      </c>
      <c r="BA2017">
        <v>0</v>
      </c>
      <c r="BB2017">
        <v>989.44957904975388</v>
      </c>
      <c r="BC2017">
        <v>18010.839832663776</v>
      </c>
      <c r="BD2017">
        <v>0</v>
      </c>
      <c r="BE2017">
        <v>0</v>
      </c>
      <c r="BF2017">
        <v>53619.577196261693</v>
      </c>
      <c r="BG2017">
        <v>0</v>
      </c>
      <c r="BH2017">
        <v>0</v>
      </c>
      <c r="BI2017">
        <v>72619.866607975215</v>
      </c>
      <c r="BJ2017">
        <v>5014.1291920247832</v>
      </c>
      <c r="BK2017">
        <v>77633.995800000004</v>
      </c>
      <c r="BL2017" t="s">
        <v>242</v>
      </c>
      <c r="BM2017">
        <v>1</v>
      </c>
      <c r="BN2017">
        <v>3625</v>
      </c>
      <c r="BO2017">
        <v>0</v>
      </c>
      <c r="BP2017">
        <v>0</v>
      </c>
      <c r="BQ2017">
        <v>233.90791638643259</v>
      </c>
      <c r="BR2017" t="s">
        <v>72</v>
      </c>
    </row>
    <row r="2018" spans="1:70" x14ac:dyDescent="0.3">
      <c r="A2018" t="s">
        <v>798</v>
      </c>
      <c r="B2018">
        <v>4312300011</v>
      </c>
      <c r="C2018" t="s">
        <v>70</v>
      </c>
      <c r="D2018" t="s">
        <v>935</v>
      </c>
      <c r="E2018" t="s">
        <v>448</v>
      </c>
      <c r="F2018" t="s">
        <v>433</v>
      </c>
      <c r="G2018" t="s">
        <v>82</v>
      </c>
      <c r="H2018" t="s">
        <v>71</v>
      </c>
      <c r="J2018" t="s">
        <v>52</v>
      </c>
      <c r="K2018" s="15">
        <v>20000</v>
      </c>
      <c r="M2018">
        <v>45321</v>
      </c>
      <c r="N2018" t="s">
        <v>1013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297675.70093457948</v>
      </c>
      <c r="Y2018">
        <v>297675.70093457948</v>
      </c>
      <c r="Z2018">
        <v>20837.299065420564</v>
      </c>
      <c r="AA2018">
        <v>318513.00000000006</v>
      </c>
      <c r="AB2018" t="s">
        <v>242</v>
      </c>
      <c r="AC2018">
        <v>3</v>
      </c>
      <c r="AD2018">
        <v>73000</v>
      </c>
      <c r="AE2018">
        <v>0</v>
      </c>
      <c r="AF2018">
        <v>0</v>
      </c>
      <c r="AG2018">
        <v>4775.7009345794395</v>
      </c>
      <c r="AH2018" t="s">
        <v>58</v>
      </c>
      <c r="AK2018" t="s">
        <v>798</v>
      </c>
      <c r="AL2018">
        <v>62200025</v>
      </c>
      <c r="AM2018">
        <v>9001302</v>
      </c>
      <c r="AN2018" t="s">
        <v>79</v>
      </c>
      <c r="AO2018" t="s">
        <v>435</v>
      </c>
      <c r="AP2018" t="s">
        <v>432</v>
      </c>
      <c r="AQ2018" t="s">
        <v>82</v>
      </c>
      <c r="AR2018" t="s">
        <v>82</v>
      </c>
      <c r="AT2018" t="s">
        <v>52</v>
      </c>
      <c r="AU2018">
        <v>1000</v>
      </c>
      <c r="AW2018">
        <v>45321</v>
      </c>
      <c r="AX2018" t="s">
        <v>1013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13024.843263835617</v>
      </c>
      <c r="BG2018">
        <v>0</v>
      </c>
      <c r="BH2018">
        <v>0</v>
      </c>
      <c r="BI2018">
        <v>13024.843263835617</v>
      </c>
      <c r="BJ2018">
        <v>0</v>
      </c>
      <c r="BK2018">
        <v>13024.843263835617</v>
      </c>
      <c r="BL2018" t="s">
        <v>242</v>
      </c>
      <c r="BM2018">
        <v>17</v>
      </c>
      <c r="BN2018">
        <v>17170</v>
      </c>
      <c r="BO2018">
        <v>0</v>
      </c>
      <c r="BP2018">
        <v>0</v>
      </c>
      <c r="BQ2018">
        <v>0</v>
      </c>
      <c r="BR2018" t="s">
        <v>58</v>
      </c>
    </row>
    <row r="2019" spans="1:70" x14ac:dyDescent="0.3">
      <c r="A2019" t="s">
        <v>798</v>
      </c>
      <c r="B2019">
        <v>5212300001</v>
      </c>
      <c r="C2019" t="s">
        <v>65</v>
      </c>
      <c r="D2019" t="s">
        <v>971</v>
      </c>
      <c r="E2019" t="s">
        <v>448</v>
      </c>
      <c r="F2019" t="s">
        <v>434</v>
      </c>
      <c r="G2019" t="s">
        <v>82</v>
      </c>
      <c r="H2019" t="s">
        <v>71</v>
      </c>
      <c r="J2019" t="s">
        <v>52</v>
      </c>
      <c r="K2019" s="15">
        <v>33170</v>
      </c>
      <c r="M2019">
        <v>45321</v>
      </c>
      <c r="N2019" t="s">
        <v>1029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485579.43925233645</v>
      </c>
      <c r="Y2019">
        <v>485579.43925233645</v>
      </c>
      <c r="Z2019">
        <v>33990.560747663556</v>
      </c>
      <c r="AA2019">
        <v>519570</v>
      </c>
      <c r="AB2019" t="s">
        <v>242</v>
      </c>
      <c r="AC2019">
        <v>2</v>
      </c>
      <c r="AD2019">
        <v>65340</v>
      </c>
      <c r="AE2019">
        <v>0</v>
      </c>
      <c r="AF2019">
        <v>0</v>
      </c>
      <c r="AG2019">
        <v>4274.5794392523385</v>
      </c>
      <c r="AH2019" t="s">
        <v>58</v>
      </c>
      <c r="AK2019" t="s">
        <v>798</v>
      </c>
      <c r="AL2019">
        <v>52200085</v>
      </c>
      <c r="AM2019">
        <v>26393637</v>
      </c>
      <c r="AN2019" t="s">
        <v>656</v>
      </c>
      <c r="AO2019" t="s">
        <v>436</v>
      </c>
      <c r="AP2019" t="s">
        <v>431</v>
      </c>
      <c r="AQ2019" t="s">
        <v>235</v>
      </c>
      <c r="AR2019" t="s">
        <v>236</v>
      </c>
      <c r="AT2019" t="s">
        <v>672</v>
      </c>
      <c r="AW2019">
        <v>45321</v>
      </c>
      <c r="AX2019" t="s">
        <v>1024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159405.60747663552</v>
      </c>
      <c r="BG2019">
        <v>0</v>
      </c>
      <c r="BH2019">
        <v>0</v>
      </c>
      <c r="BI2019">
        <v>159405.60747663552</v>
      </c>
      <c r="BJ2019">
        <v>11158.392523364488</v>
      </c>
      <c r="BK2019">
        <v>170564</v>
      </c>
      <c r="BL2019" t="s">
        <v>242</v>
      </c>
      <c r="BM2019">
        <v>1</v>
      </c>
      <c r="BN2019">
        <v>2000</v>
      </c>
      <c r="BO2019">
        <v>0</v>
      </c>
      <c r="BP2019">
        <v>0</v>
      </c>
      <c r="BQ2019">
        <v>129.95845555752157</v>
      </c>
      <c r="BR2019" t="s">
        <v>58</v>
      </c>
    </row>
    <row r="2020" spans="1:70" x14ac:dyDescent="0.3">
      <c r="A2020" t="s">
        <v>798</v>
      </c>
      <c r="B2020">
        <v>2200009</v>
      </c>
      <c r="C2020">
        <v>19887094</v>
      </c>
      <c r="D2020" t="s">
        <v>77</v>
      </c>
      <c r="E2020" t="s">
        <v>435</v>
      </c>
      <c r="F2020" t="s">
        <v>426</v>
      </c>
      <c r="G2020" t="s">
        <v>82</v>
      </c>
      <c r="H2020" t="s">
        <v>82</v>
      </c>
      <c r="J2020" t="s">
        <v>52</v>
      </c>
      <c r="K2020" s="15">
        <v>1800</v>
      </c>
      <c r="M2020">
        <v>45322</v>
      </c>
      <c r="N2020" t="s">
        <v>1013</v>
      </c>
      <c r="O2020">
        <v>0</v>
      </c>
      <c r="P2020">
        <v>0</v>
      </c>
      <c r="Q2020">
        <v>0</v>
      </c>
      <c r="R2020">
        <v>0</v>
      </c>
      <c r="S2020">
        <v>10701.616180538298</v>
      </c>
      <c r="T2020">
        <v>0</v>
      </c>
      <c r="U2020">
        <v>0</v>
      </c>
      <c r="V2020">
        <v>107102.9400910782</v>
      </c>
      <c r="W2020">
        <v>0</v>
      </c>
      <c r="X2020">
        <v>0</v>
      </c>
      <c r="Y2020">
        <v>117804.5562716165</v>
      </c>
      <c r="Z2020">
        <v>0</v>
      </c>
      <c r="AA2020">
        <v>117804.5562716165</v>
      </c>
      <c r="AB2020" t="s">
        <v>242</v>
      </c>
      <c r="AC2020">
        <v>17</v>
      </c>
      <c r="AD2020">
        <v>16200</v>
      </c>
      <c r="AE2020">
        <v>0</v>
      </c>
      <c r="AF2020">
        <v>0</v>
      </c>
      <c r="AG2020">
        <v>0</v>
      </c>
      <c r="AH2020" t="s">
        <v>58</v>
      </c>
      <c r="AK2020" t="s">
        <v>798</v>
      </c>
      <c r="AL2020">
        <v>42200850</v>
      </c>
      <c r="AM2020">
        <v>2759004321</v>
      </c>
      <c r="AN2020" t="s">
        <v>973</v>
      </c>
      <c r="AO2020" t="s">
        <v>439</v>
      </c>
      <c r="AP2020" t="s">
        <v>430</v>
      </c>
      <c r="AQ2020" t="s">
        <v>419</v>
      </c>
      <c r="AR2020" t="s">
        <v>234</v>
      </c>
      <c r="AT2020" t="s">
        <v>52</v>
      </c>
      <c r="AU2020">
        <v>11000</v>
      </c>
      <c r="AW2020">
        <v>45322</v>
      </c>
      <c r="AX2020" t="s">
        <v>1036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 t="s">
        <v>242</v>
      </c>
      <c r="BM2020">
        <v>6</v>
      </c>
      <c r="BN2020">
        <v>44500</v>
      </c>
      <c r="BO2020">
        <v>0</v>
      </c>
      <c r="BP2020">
        <v>0</v>
      </c>
      <c r="BQ2020">
        <v>2911.2149532710291</v>
      </c>
      <c r="BR2020" t="s">
        <v>58</v>
      </c>
    </row>
    <row r="2021" spans="1:70" x14ac:dyDescent="0.3">
      <c r="A2021" t="s">
        <v>798</v>
      </c>
      <c r="B2021">
        <v>12200042</v>
      </c>
      <c r="C2021">
        <v>23526321</v>
      </c>
      <c r="D2021" t="s">
        <v>624</v>
      </c>
      <c r="E2021" t="s">
        <v>435</v>
      </c>
      <c r="F2021" t="s">
        <v>427</v>
      </c>
      <c r="G2021" t="s">
        <v>230</v>
      </c>
      <c r="H2021" t="s">
        <v>230</v>
      </c>
      <c r="J2021" t="s">
        <v>52</v>
      </c>
      <c r="K2021" s="15">
        <v>3000</v>
      </c>
      <c r="M2021">
        <v>45322</v>
      </c>
      <c r="N2021" t="s">
        <v>1013</v>
      </c>
      <c r="O2021">
        <v>0</v>
      </c>
      <c r="P2021">
        <v>0</v>
      </c>
      <c r="Q2021">
        <v>0</v>
      </c>
      <c r="R2021">
        <v>0</v>
      </c>
      <c r="S2021">
        <v>16173.699999999997</v>
      </c>
      <c r="T2021">
        <v>0</v>
      </c>
      <c r="U2021">
        <v>0</v>
      </c>
      <c r="V2021">
        <v>80000</v>
      </c>
      <c r="W2021">
        <v>0</v>
      </c>
      <c r="X2021">
        <v>0</v>
      </c>
      <c r="Y2021">
        <v>96173.7</v>
      </c>
      <c r="Z2021">
        <v>0</v>
      </c>
      <c r="AA2021">
        <v>96173.7</v>
      </c>
      <c r="AB2021" t="s">
        <v>242</v>
      </c>
      <c r="AC2021">
        <v>12</v>
      </c>
      <c r="AD2021">
        <v>24600</v>
      </c>
      <c r="AE2021">
        <v>0</v>
      </c>
      <c r="AF2021">
        <v>0</v>
      </c>
      <c r="AG2021">
        <v>0</v>
      </c>
      <c r="AH2021" t="s">
        <v>58</v>
      </c>
      <c r="AK2021" t="s">
        <v>798</v>
      </c>
      <c r="AL2021">
        <v>4142300444</v>
      </c>
      <c r="AM2021">
        <v>10190125</v>
      </c>
      <c r="AN2021" t="s">
        <v>563</v>
      </c>
      <c r="AO2021" t="s">
        <v>445</v>
      </c>
      <c r="AP2021" t="s">
        <v>430</v>
      </c>
      <c r="AQ2021" t="s">
        <v>421</v>
      </c>
      <c r="AR2021" t="s">
        <v>234</v>
      </c>
      <c r="AT2021" t="s">
        <v>52</v>
      </c>
      <c r="AU2021">
        <v>100000</v>
      </c>
      <c r="AW2021">
        <v>45322</v>
      </c>
      <c r="AX2021" t="s">
        <v>1036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 t="s">
        <v>242</v>
      </c>
      <c r="BM2021">
        <v>5</v>
      </c>
      <c r="BN2021">
        <v>402000</v>
      </c>
      <c r="BO2021">
        <v>0</v>
      </c>
      <c r="BP2021">
        <v>0</v>
      </c>
      <c r="BQ2021">
        <v>26299.065420560746</v>
      </c>
      <c r="BR2021" t="s">
        <v>58</v>
      </c>
    </row>
    <row r="2022" spans="1:70" x14ac:dyDescent="0.3">
      <c r="A2022" t="s">
        <v>798</v>
      </c>
      <c r="B2022">
        <v>12200122</v>
      </c>
      <c r="C2022">
        <v>5900440096</v>
      </c>
      <c r="D2022" t="s">
        <v>113</v>
      </c>
      <c r="E2022" t="s">
        <v>437</v>
      </c>
      <c r="F2022" t="s">
        <v>427</v>
      </c>
      <c r="G2022" t="s">
        <v>82</v>
      </c>
      <c r="H2022" t="s">
        <v>82</v>
      </c>
      <c r="J2022" t="s">
        <v>52</v>
      </c>
      <c r="K2022" s="15">
        <v>1500</v>
      </c>
      <c r="M2022">
        <v>45322</v>
      </c>
      <c r="N2022" t="s">
        <v>1013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10999.490000000002</v>
      </c>
      <c r="W2022">
        <v>0</v>
      </c>
      <c r="X2022">
        <v>0</v>
      </c>
      <c r="Y2022">
        <v>10999.490000000002</v>
      </c>
      <c r="Z2022">
        <v>0</v>
      </c>
      <c r="AA2022">
        <v>10999.490000000002</v>
      </c>
      <c r="AB2022" t="s">
        <v>242</v>
      </c>
      <c r="AC2022">
        <v>9</v>
      </c>
      <c r="AD2022">
        <v>10276</v>
      </c>
      <c r="AE2022">
        <v>0</v>
      </c>
      <c r="AF2022">
        <v>0</v>
      </c>
      <c r="AG2022">
        <v>0</v>
      </c>
      <c r="AH2022" t="s">
        <v>58</v>
      </c>
      <c r="AK2022" t="s">
        <v>798</v>
      </c>
      <c r="AL2022">
        <v>2200009</v>
      </c>
      <c r="AM2022">
        <v>19887094</v>
      </c>
      <c r="AN2022" t="s">
        <v>77</v>
      </c>
      <c r="AO2022" t="s">
        <v>435</v>
      </c>
      <c r="AP2022" t="s">
        <v>426</v>
      </c>
      <c r="AQ2022" t="s">
        <v>82</v>
      </c>
      <c r="AR2022" t="s">
        <v>82</v>
      </c>
      <c r="AT2022" t="s">
        <v>52</v>
      </c>
      <c r="AU2022">
        <v>1800</v>
      </c>
      <c r="AW2022">
        <v>45322</v>
      </c>
      <c r="AX2022" t="s">
        <v>1013</v>
      </c>
      <c r="AY2022">
        <v>0</v>
      </c>
      <c r="AZ2022">
        <v>0</v>
      </c>
      <c r="BA2022">
        <v>0</v>
      </c>
      <c r="BB2022">
        <v>0</v>
      </c>
      <c r="BC2022">
        <v>10701.616180538298</v>
      </c>
      <c r="BD2022">
        <v>0</v>
      </c>
      <c r="BE2022">
        <v>0</v>
      </c>
      <c r="BF2022">
        <v>107102.9400910782</v>
      </c>
      <c r="BG2022">
        <v>0</v>
      </c>
      <c r="BH2022">
        <v>0</v>
      </c>
      <c r="BI2022">
        <v>117804.5562716165</v>
      </c>
      <c r="BJ2022">
        <v>0</v>
      </c>
      <c r="BK2022">
        <v>117804.5562716165</v>
      </c>
      <c r="BL2022" t="s">
        <v>242</v>
      </c>
      <c r="BM2022">
        <v>17</v>
      </c>
      <c r="BN2022">
        <v>16200</v>
      </c>
      <c r="BO2022">
        <v>0</v>
      </c>
      <c r="BP2022">
        <v>0</v>
      </c>
      <c r="BQ2022">
        <v>0</v>
      </c>
      <c r="BR2022" t="s">
        <v>58</v>
      </c>
    </row>
    <row r="2023" spans="1:70" x14ac:dyDescent="0.3">
      <c r="A2023" t="s">
        <v>798</v>
      </c>
      <c r="B2023">
        <v>22200061</v>
      </c>
      <c r="C2023">
        <v>19290575</v>
      </c>
      <c r="D2023" t="s">
        <v>84</v>
      </c>
      <c r="E2023" t="s">
        <v>435</v>
      </c>
      <c r="F2023" t="s">
        <v>428</v>
      </c>
      <c r="G2023" t="s">
        <v>82</v>
      </c>
      <c r="H2023" t="s">
        <v>82</v>
      </c>
      <c r="J2023" t="s">
        <v>52</v>
      </c>
      <c r="K2023" s="15">
        <v>1000</v>
      </c>
      <c r="M2023">
        <v>45322</v>
      </c>
      <c r="N2023" t="s">
        <v>1013</v>
      </c>
      <c r="O2023">
        <v>0</v>
      </c>
      <c r="P2023">
        <v>0</v>
      </c>
      <c r="Q2023">
        <v>0</v>
      </c>
      <c r="R2023">
        <v>0</v>
      </c>
      <c r="S2023">
        <v>2625.7709089598566</v>
      </c>
      <c r="T2023">
        <v>0</v>
      </c>
      <c r="U2023">
        <v>0</v>
      </c>
      <c r="V2023">
        <v>22341.817670062115</v>
      </c>
      <c r="W2023">
        <v>0</v>
      </c>
      <c r="X2023">
        <v>0</v>
      </c>
      <c r="Y2023">
        <v>24967.588579021973</v>
      </c>
      <c r="Z2023">
        <v>0</v>
      </c>
      <c r="AA2023">
        <v>24967.588579021973</v>
      </c>
      <c r="AB2023" t="s">
        <v>242</v>
      </c>
      <c r="AC2023">
        <v>6</v>
      </c>
      <c r="AD2023">
        <v>5500</v>
      </c>
      <c r="AE2023">
        <v>0</v>
      </c>
      <c r="AF2023">
        <v>0</v>
      </c>
      <c r="AG2023">
        <v>0</v>
      </c>
      <c r="AH2023" t="s">
        <v>58</v>
      </c>
      <c r="AK2023" t="s">
        <v>798</v>
      </c>
      <c r="AL2023">
        <v>52200644</v>
      </c>
      <c r="AM2023">
        <v>25645406</v>
      </c>
      <c r="AN2023" t="s">
        <v>662</v>
      </c>
      <c r="AO2023" t="s">
        <v>438</v>
      </c>
      <c r="AP2023" t="s">
        <v>431</v>
      </c>
      <c r="AQ2023" t="s">
        <v>230</v>
      </c>
      <c r="AR2023" t="s">
        <v>231</v>
      </c>
      <c r="AT2023" t="s">
        <v>52</v>
      </c>
      <c r="AU2023">
        <v>1000</v>
      </c>
      <c r="AW2023">
        <v>45322</v>
      </c>
      <c r="AX2023" t="s">
        <v>1013</v>
      </c>
      <c r="AY2023">
        <v>2974.7462827472268</v>
      </c>
      <c r="AZ2023">
        <v>0</v>
      </c>
      <c r="BA2023">
        <v>0</v>
      </c>
      <c r="BB2023">
        <v>0</v>
      </c>
      <c r="BC2023">
        <v>0</v>
      </c>
      <c r="BD2023">
        <v>36378.741791825021</v>
      </c>
      <c r="BE2023">
        <v>0</v>
      </c>
      <c r="BF2023">
        <v>0</v>
      </c>
      <c r="BG2023">
        <v>78504.672897196258</v>
      </c>
      <c r="BH2023">
        <v>0</v>
      </c>
      <c r="BI2023">
        <v>117858.16097176851</v>
      </c>
      <c r="BJ2023">
        <v>8041.8390282314895</v>
      </c>
      <c r="BK2023">
        <v>125900</v>
      </c>
      <c r="BL2023" t="s">
        <v>242</v>
      </c>
      <c r="BM2023">
        <v>2</v>
      </c>
      <c r="BN2023">
        <v>3500</v>
      </c>
      <c r="BO2023">
        <v>0</v>
      </c>
      <c r="BP2023">
        <v>0</v>
      </c>
      <c r="BQ2023">
        <v>226.14317832550432</v>
      </c>
      <c r="BR2023" t="s">
        <v>58</v>
      </c>
    </row>
    <row r="2024" spans="1:70" x14ac:dyDescent="0.3">
      <c r="A2024" t="s">
        <v>798</v>
      </c>
      <c r="B2024">
        <v>22200068</v>
      </c>
      <c r="C2024">
        <v>20579132</v>
      </c>
      <c r="D2024" t="s">
        <v>80</v>
      </c>
      <c r="E2024" t="s">
        <v>435</v>
      </c>
      <c r="F2024" t="s">
        <v>428</v>
      </c>
      <c r="G2024" t="s">
        <v>82</v>
      </c>
      <c r="H2024" t="s">
        <v>82</v>
      </c>
      <c r="J2024" t="s">
        <v>52</v>
      </c>
      <c r="K2024" s="15">
        <v>500</v>
      </c>
      <c r="M2024">
        <v>45322</v>
      </c>
      <c r="N2024" t="s">
        <v>1013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20691.271592123288</v>
      </c>
      <c r="W2024">
        <v>0</v>
      </c>
      <c r="X2024">
        <v>0</v>
      </c>
      <c r="Y2024">
        <v>20691.271592123288</v>
      </c>
      <c r="Z2024">
        <v>0</v>
      </c>
      <c r="AA2024">
        <v>20691.271592123288</v>
      </c>
      <c r="AB2024" t="s">
        <v>242</v>
      </c>
      <c r="AC2024">
        <v>15</v>
      </c>
      <c r="AD2024">
        <v>9000</v>
      </c>
      <c r="AE2024">
        <v>0</v>
      </c>
      <c r="AF2024">
        <v>0</v>
      </c>
      <c r="AG2024">
        <v>0</v>
      </c>
      <c r="AH2024" t="s">
        <v>58</v>
      </c>
      <c r="AK2024" t="s">
        <v>798</v>
      </c>
      <c r="AL2024">
        <v>52201131</v>
      </c>
      <c r="AM2024">
        <v>25692011</v>
      </c>
      <c r="AN2024" t="s">
        <v>652</v>
      </c>
      <c r="AO2024" t="s">
        <v>438</v>
      </c>
      <c r="AP2024" t="s">
        <v>431</v>
      </c>
      <c r="AQ2024" t="s">
        <v>235</v>
      </c>
      <c r="AR2024" t="s">
        <v>236</v>
      </c>
      <c r="AT2024" t="s">
        <v>52</v>
      </c>
      <c r="AU2024">
        <v>3000</v>
      </c>
      <c r="AW2024">
        <v>45322</v>
      </c>
      <c r="AX2024" t="s">
        <v>1037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180761.68224299068</v>
      </c>
      <c r="BG2024">
        <v>0</v>
      </c>
      <c r="BH2024">
        <v>0</v>
      </c>
      <c r="BI2024">
        <v>180761.68224299068</v>
      </c>
      <c r="BJ2024">
        <v>12653.317757009348</v>
      </c>
      <c r="BK2024">
        <v>193415.00000000003</v>
      </c>
      <c r="BL2024" t="s">
        <v>242</v>
      </c>
      <c r="BM2024">
        <v>2</v>
      </c>
      <c r="BN2024">
        <v>5400</v>
      </c>
      <c r="BO2024">
        <v>0</v>
      </c>
      <c r="BP2024">
        <v>0</v>
      </c>
      <c r="BQ2024">
        <v>352.24101897123637</v>
      </c>
      <c r="BR2024" t="s">
        <v>58</v>
      </c>
    </row>
    <row r="2025" spans="1:70" x14ac:dyDescent="0.3">
      <c r="A2025" t="s">
        <v>798</v>
      </c>
      <c r="B2025">
        <v>42200172</v>
      </c>
      <c r="C2025">
        <v>2756017295</v>
      </c>
      <c r="D2025" t="s">
        <v>972</v>
      </c>
      <c r="E2025" t="s">
        <v>439</v>
      </c>
      <c r="F2025" t="s">
        <v>430</v>
      </c>
      <c r="G2025" t="s">
        <v>232</v>
      </c>
      <c r="H2025" t="s">
        <v>71</v>
      </c>
      <c r="J2025" t="s">
        <v>52</v>
      </c>
      <c r="K2025" s="15">
        <v>500</v>
      </c>
      <c r="M2025">
        <v>45322</v>
      </c>
      <c r="N2025" t="s">
        <v>1013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92822.710280373838</v>
      </c>
      <c r="Y2025">
        <v>92822.710280373838</v>
      </c>
      <c r="Z2025">
        <v>6497.5897196261694</v>
      </c>
      <c r="AA2025">
        <v>99320.3</v>
      </c>
      <c r="AB2025" t="s">
        <v>242</v>
      </c>
      <c r="AC2025">
        <v>1</v>
      </c>
      <c r="AD2025">
        <v>500</v>
      </c>
      <c r="AE2025">
        <v>0</v>
      </c>
      <c r="AF2025">
        <v>0</v>
      </c>
      <c r="AG2025">
        <v>32.710280373831779</v>
      </c>
      <c r="AH2025" t="s">
        <v>72</v>
      </c>
      <c r="AK2025" t="s">
        <v>798</v>
      </c>
      <c r="AL2025">
        <v>52201708</v>
      </c>
      <c r="AM2025">
        <v>28602672</v>
      </c>
      <c r="AN2025" t="s">
        <v>728</v>
      </c>
      <c r="AO2025" t="s">
        <v>438</v>
      </c>
      <c r="AP2025" t="s">
        <v>431</v>
      </c>
      <c r="AQ2025" t="s">
        <v>235</v>
      </c>
      <c r="AR2025" t="s">
        <v>236</v>
      </c>
      <c r="AT2025" t="s">
        <v>52</v>
      </c>
      <c r="AU2025">
        <v>3000</v>
      </c>
      <c r="AW2025">
        <v>45322</v>
      </c>
      <c r="AX2025" t="s">
        <v>1037</v>
      </c>
      <c r="AY2025">
        <v>0</v>
      </c>
      <c r="AZ2025">
        <v>0</v>
      </c>
      <c r="BA2025">
        <v>0</v>
      </c>
      <c r="BB2025">
        <v>967.95273072285363</v>
      </c>
      <c r="BC2025">
        <v>44075.18406058714</v>
      </c>
      <c r="BD2025">
        <v>0</v>
      </c>
      <c r="BE2025">
        <v>0</v>
      </c>
      <c r="BF2025">
        <v>86862.242963717639</v>
      </c>
      <c r="BG2025">
        <v>0</v>
      </c>
      <c r="BH2025">
        <v>0</v>
      </c>
      <c r="BI2025">
        <v>131905.37975502765</v>
      </c>
      <c r="BJ2025">
        <v>6080.3570074602358</v>
      </c>
      <c r="BK2025">
        <v>137985.73676248788</v>
      </c>
      <c r="BL2025" t="s">
        <v>242</v>
      </c>
      <c r="BM2025">
        <v>1</v>
      </c>
      <c r="BN2025">
        <v>3000</v>
      </c>
      <c r="BO2025">
        <v>0</v>
      </c>
      <c r="BP2025">
        <v>0</v>
      </c>
      <c r="BQ2025">
        <v>194.81933752392524</v>
      </c>
      <c r="BR2025" t="s">
        <v>72</v>
      </c>
    </row>
    <row r="2026" spans="1:70" x14ac:dyDescent="0.3">
      <c r="A2026" t="s">
        <v>798</v>
      </c>
      <c r="B2026">
        <v>42200850</v>
      </c>
      <c r="C2026">
        <v>2759004321</v>
      </c>
      <c r="D2026" t="s">
        <v>973</v>
      </c>
      <c r="E2026" t="s">
        <v>439</v>
      </c>
      <c r="F2026" t="s">
        <v>430</v>
      </c>
      <c r="G2026" t="s">
        <v>233</v>
      </c>
      <c r="H2026" t="s">
        <v>234</v>
      </c>
      <c r="J2026" t="s">
        <v>52</v>
      </c>
      <c r="K2026" s="15">
        <v>11000</v>
      </c>
      <c r="M2026">
        <v>45322</v>
      </c>
      <c r="N2026" t="s">
        <v>1036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 t="s">
        <v>242</v>
      </c>
      <c r="AC2026">
        <v>7</v>
      </c>
      <c r="AD2026">
        <v>55500</v>
      </c>
      <c r="AE2026">
        <v>0</v>
      </c>
      <c r="AF2026">
        <v>0</v>
      </c>
      <c r="AG2026">
        <v>2911.2149532710291</v>
      </c>
      <c r="AH2026" t="s">
        <v>58</v>
      </c>
      <c r="AK2026" t="s">
        <v>798</v>
      </c>
      <c r="AL2026">
        <v>4132300425</v>
      </c>
      <c r="AM2026">
        <v>1011500206</v>
      </c>
      <c r="AN2026" t="s">
        <v>176</v>
      </c>
      <c r="AO2026" t="s">
        <v>441</v>
      </c>
      <c r="AP2026" t="s">
        <v>430</v>
      </c>
      <c r="AQ2026" t="s">
        <v>233</v>
      </c>
      <c r="AR2026" t="s">
        <v>231</v>
      </c>
      <c r="AT2026" t="s">
        <v>52</v>
      </c>
      <c r="AU2026">
        <v>3000</v>
      </c>
      <c r="AW2026">
        <v>45322</v>
      </c>
      <c r="AX2026" t="s">
        <v>1013</v>
      </c>
      <c r="AY2026">
        <v>0</v>
      </c>
      <c r="AZ2026">
        <v>3425.6263865158658</v>
      </c>
      <c r="BA2026">
        <v>0</v>
      </c>
      <c r="BB2026">
        <v>0</v>
      </c>
      <c r="BC2026">
        <v>58047.945205479453</v>
      </c>
      <c r="BD2026">
        <v>158786.33047989174</v>
      </c>
      <c r="BE2026">
        <v>0</v>
      </c>
      <c r="BF2026">
        <v>0</v>
      </c>
      <c r="BG2026">
        <v>0</v>
      </c>
      <c r="BH2026">
        <v>0</v>
      </c>
      <c r="BI2026">
        <v>220259.90207188705</v>
      </c>
      <c r="BJ2026">
        <v>11115.043133592422</v>
      </c>
      <c r="BK2026">
        <v>231374.94520547945</v>
      </c>
      <c r="BL2026" t="s">
        <v>242</v>
      </c>
      <c r="BM2026">
        <v>5</v>
      </c>
      <c r="BN2026">
        <v>15000</v>
      </c>
      <c r="BO2026">
        <v>0</v>
      </c>
      <c r="BP2026">
        <v>0</v>
      </c>
      <c r="BQ2026">
        <v>706.91013743561734</v>
      </c>
      <c r="BR2026" t="s">
        <v>58</v>
      </c>
    </row>
    <row r="2027" spans="1:70" x14ac:dyDescent="0.3">
      <c r="A2027" t="s">
        <v>798</v>
      </c>
      <c r="B2027">
        <v>52200644</v>
      </c>
      <c r="C2027">
        <v>25645406</v>
      </c>
      <c r="D2027" t="s">
        <v>662</v>
      </c>
      <c r="E2027" t="s">
        <v>438</v>
      </c>
      <c r="F2027" t="s">
        <v>431</v>
      </c>
      <c r="G2027" t="s">
        <v>230</v>
      </c>
      <c r="H2027" t="s">
        <v>231</v>
      </c>
      <c r="J2027" t="s">
        <v>52</v>
      </c>
      <c r="K2027" s="15">
        <v>1000</v>
      </c>
      <c r="M2027">
        <v>45322</v>
      </c>
      <c r="N2027" t="s">
        <v>1013</v>
      </c>
      <c r="O2027">
        <v>2974.7462827472268</v>
      </c>
      <c r="P2027">
        <v>0</v>
      </c>
      <c r="Q2027">
        <v>0</v>
      </c>
      <c r="R2027">
        <v>0</v>
      </c>
      <c r="S2027">
        <v>0</v>
      </c>
      <c r="T2027">
        <v>36378.741791825021</v>
      </c>
      <c r="U2027">
        <v>0</v>
      </c>
      <c r="V2027">
        <v>0</v>
      </c>
      <c r="W2027">
        <v>78504.672897196258</v>
      </c>
      <c r="X2027">
        <v>0</v>
      </c>
      <c r="Y2027">
        <v>117858.16097176851</v>
      </c>
      <c r="Z2027">
        <v>8041.8390282314895</v>
      </c>
      <c r="AA2027">
        <v>125900</v>
      </c>
      <c r="AB2027" t="s">
        <v>242</v>
      </c>
      <c r="AC2027">
        <v>2</v>
      </c>
      <c r="AD2027">
        <v>3500</v>
      </c>
      <c r="AE2027">
        <v>0</v>
      </c>
      <c r="AF2027">
        <v>0</v>
      </c>
      <c r="AG2027">
        <v>226.14317832550432</v>
      </c>
      <c r="AH2027" t="s">
        <v>58</v>
      </c>
      <c r="AK2027" t="s">
        <v>798</v>
      </c>
      <c r="AL2027">
        <v>4132300846</v>
      </c>
      <c r="AM2027">
        <v>9110034579</v>
      </c>
      <c r="AN2027" t="s">
        <v>736</v>
      </c>
      <c r="AO2027" t="s">
        <v>441</v>
      </c>
      <c r="AP2027" t="s">
        <v>430</v>
      </c>
      <c r="AQ2027" t="s">
        <v>238</v>
      </c>
      <c r="AR2027" t="s">
        <v>236</v>
      </c>
      <c r="AT2027" t="s">
        <v>52</v>
      </c>
      <c r="AU2027">
        <v>1000</v>
      </c>
      <c r="AW2027">
        <v>45322</v>
      </c>
      <c r="AX2027" t="s">
        <v>1013</v>
      </c>
      <c r="AY2027">
        <v>0</v>
      </c>
      <c r="AZ2027">
        <v>0</v>
      </c>
      <c r="BA2027">
        <v>0</v>
      </c>
      <c r="BB2027">
        <v>0</v>
      </c>
      <c r="BC2027">
        <v>209776.76334528363</v>
      </c>
      <c r="BD2027">
        <v>0</v>
      </c>
      <c r="BE2027">
        <v>0</v>
      </c>
      <c r="BF2027">
        <v>327467.75413896161</v>
      </c>
      <c r="BG2027">
        <v>0</v>
      </c>
      <c r="BH2027">
        <v>0</v>
      </c>
      <c r="BI2027">
        <v>537244.51748424524</v>
      </c>
      <c r="BJ2027">
        <v>22922.742789727316</v>
      </c>
      <c r="BK2027">
        <v>560167.26027397253</v>
      </c>
      <c r="BL2027" t="s">
        <v>242</v>
      </c>
      <c r="BM2027">
        <v>1</v>
      </c>
      <c r="BN2027">
        <v>1000</v>
      </c>
      <c r="BO2027">
        <v>0</v>
      </c>
      <c r="BP2027">
        <v>0</v>
      </c>
      <c r="BQ2027">
        <v>39.874032702590398</v>
      </c>
      <c r="BR2027" t="s">
        <v>72</v>
      </c>
    </row>
    <row r="2028" spans="1:70" x14ac:dyDescent="0.3">
      <c r="A2028" t="s">
        <v>798</v>
      </c>
      <c r="B2028">
        <v>52200688</v>
      </c>
      <c r="C2028">
        <v>27016577</v>
      </c>
      <c r="D2028" t="s">
        <v>733</v>
      </c>
      <c r="E2028" t="s">
        <v>438</v>
      </c>
      <c r="F2028" t="s">
        <v>431</v>
      </c>
      <c r="G2028" t="s">
        <v>230</v>
      </c>
      <c r="H2028" t="s">
        <v>231</v>
      </c>
      <c r="J2028" t="s">
        <v>52</v>
      </c>
      <c r="K2028" s="15">
        <v>1500</v>
      </c>
      <c r="M2028">
        <v>45322</v>
      </c>
      <c r="N2028" t="s">
        <v>1013</v>
      </c>
      <c r="O2028">
        <v>0</v>
      </c>
      <c r="P2028">
        <v>0</v>
      </c>
      <c r="Q2028">
        <v>0</v>
      </c>
      <c r="R2028">
        <v>872.9134619834465</v>
      </c>
      <c r="S2028">
        <v>30245.547149697191</v>
      </c>
      <c r="T2028">
        <v>0</v>
      </c>
      <c r="U2028">
        <v>0</v>
      </c>
      <c r="V2028">
        <v>42758.191510447803</v>
      </c>
      <c r="W2028">
        <v>0</v>
      </c>
      <c r="X2028">
        <v>0</v>
      </c>
      <c r="Y2028">
        <v>73876.652122128435</v>
      </c>
      <c r="Z2028">
        <v>0</v>
      </c>
      <c r="AA2028">
        <v>73876.652122128435</v>
      </c>
      <c r="AB2028" t="s">
        <v>242</v>
      </c>
      <c r="AC2028">
        <v>1</v>
      </c>
      <c r="AD2028">
        <v>1500</v>
      </c>
      <c r="AE2028">
        <v>0</v>
      </c>
      <c r="AF2028">
        <v>0</v>
      </c>
      <c r="AG2028">
        <v>96.947609662468494</v>
      </c>
      <c r="AH2028" t="s">
        <v>72</v>
      </c>
      <c r="AK2028" t="s">
        <v>798</v>
      </c>
      <c r="AL2028">
        <v>4132301817</v>
      </c>
      <c r="AM2028" t="s">
        <v>691</v>
      </c>
      <c r="AN2028" t="s">
        <v>944</v>
      </c>
      <c r="AO2028" t="s">
        <v>442</v>
      </c>
      <c r="AP2028" t="s">
        <v>430</v>
      </c>
      <c r="AQ2028" t="s">
        <v>230</v>
      </c>
      <c r="AR2028" t="s">
        <v>231</v>
      </c>
      <c r="AT2028" t="s">
        <v>52</v>
      </c>
      <c r="AU2028">
        <v>5000</v>
      </c>
      <c r="AW2028">
        <v>45322</v>
      </c>
      <c r="AX2028" t="s">
        <v>1013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334183.20560747664</v>
      </c>
      <c r="BH2028">
        <v>0</v>
      </c>
      <c r="BI2028">
        <v>334183.20560747664</v>
      </c>
      <c r="BJ2028">
        <v>23392.824392523366</v>
      </c>
      <c r="BK2028">
        <v>357576.03</v>
      </c>
      <c r="BL2028" t="s">
        <v>242</v>
      </c>
      <c r="BM2028">
        <v>2</v>
      </c>
      <c r="BN2028">
        <v>10000</v>
      </c>
      <c r="BO2028">
        <v>0</v>
      </c>
      <c r="BP2028">
        <v>0</v>
      </c>
      <c r="BQ2028">
        <v>654.20560747663512</v>
      </c>
      <c r="BR2028" t="s">
        <v>58</v>
      </c>
    </row>
    <row r="2029" spans="1:70" x14ac:dyDescent="0.3">
      <c r="A2029" t="s">
        <v>798</v>
      </c>
      <c r="B2029">
        <v>52201131</v>
      </c>
      <c r="C2029">
        <v>25692011</v>
      </c>
      <c r="D2029" t="s">
        <v>652</v>
      </c>
      <c r="E2029" t="s">
        <v>438</v>
      </c>
      <c r="F2029" t="s">
        <v>431</v>
      </c>
      <c r="G2029" t="s">
        <v>235</v>
      </c>
      <c r="H2029" t="s">
        <v>236</v>
      </c>
      <c r="J2029" t="s">
        <v>52</v>
      </c>
      <c r="K2029" s="15">
        <v>3000</v>
      </c>
      <c r="M2029">
        <v>45322</v>
      </c>
      <c r="N2029" t="s">
        <v>1037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180761.68224299068</v>
      </c>
      <c r="W2029">
        <v>0</v>
      </c>
      <c r="X2029">
        <v>0</v>
      </c>
      <c r="Y2029">
        <v>180761.68224299068</v>
      </c>
      <c r="Z2029">
        <v>12653.317757009348</v>
      </c>
      <c r="AA2029">
        <v>193415.00000000003</v>
      </c>
      <c r="AB2029" t="s">
        <v>242</v>
      </c>
      <c r="AC2029">
        <v>2</v>
      </c>
      <c r="AD2029">
        <v>5400</v>
      </c>
      <c r="AE2029">
        <v>0</v>
      </c>
      <c r="AF2029">
        <v>0</v>
      </c>
      <c r="AG2029">
        <v>352.24101897123637</v>
      </c>
      <c r="AH2029" t="s">
        <v>58</v>
      </c>
      <c r="AK2029" t="s">
        <v>798</v>
      </c>
      <c r="AL2029">
        <v>4142300416</v>
      </c>
      <c r="AM2029">
        <v>10179898</v>
      </c>
      <c r="AN2029" t="s">
        <v>198</v>
      </c>
      <c r="AO2029" t="s">
        <v>445</v>
      </c>
      <c r="AP2029" t="s">
        <v>430</v>
      </c>
      <c r="AQ2029" t="s">
        <v>230</v>
      </c>
      <c r="AR2029" t="s">
        <v>234</v>
      </c>
      <c r="AT2029" t="s">
        <v>52</v>
      </c>
      <c r="AU2029">
        <v>3200</v>
      </c>
      <c r="AW2029">
        <v>45322</v>
      </c>
      <c r="AX2029" t="s">
        <v>1013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303137.37383177568</v>
      </c>
      <c r="BI2029">
        <v>303137.37383177568</v>
      </c>
      <c r="BJ2029">
        <v>21219.6161682243</v>
      </c>
      <c r="BK2029">
        <v>324356.99</v>
      </c>
      <c r="BL2029" t="s">
        <v>242</v>
      </c>
      <c r="BM2029">
        <v>13</v>
      </c>
      <c r="BN2029">
        <v>52400</v>
      </c>
      <c r="BO2029">
        <v>0</v>
      </c>
      <c r="BP2029">
        <v>0</v>
      </c>
      <c r="BQ2029">
        <v>3428.0373831775696</v>
      </c>
      <c r="BR2029" t="s">
        <v>58</v>
      </c>
    </row>
    <row r="2030" spans="1:70" x14ac:dyDescent="0.3">
      <c r="A2030" t="s">
        <v>798</v>
      </c>
      <c r="B2030">
        <v>52201277</v>
      </c>
      <c r="C2030">
        <v>26285645</v>
      </c>
      <c r="D2030" t="s">
        <v>153</v>
      </c>
      <c r="E2030" t="s">
        <v>438</v>
      </c>
      <c r="F2030" t="s">
        <v>431</v>
      </c>
      <c r="G2030" t="s">
        <v>82</v>
      </c>
      <c r="H2030" t="s">
        <v>83</v>
      </c>
      <c r="J2030" t="s">
        <v>52</v>
      </c>
      <c r="K2030" s="15">
        <v>2000</v>
      </c>
      <c r="M2030">
        <v>45322</v>
      </c>
      <c r="N2030" t="s">
        <v>1013</v>
      </c>
      <c r="O2030">
        <v>0</v>
      </c>
      <c r="P2030">
        <v>0</v>
      </c>
      <c r="Q2030">
        <v>0</v>
      </c>
      <c r="R2030">
        <v>755.93970142548721</v>
      </c>
      <c r="S2030">
        <v>27444.181993053178</v>
      </c>
      <c r="T2030">
        <v>0</v>
      </c>
      <c r="U2030">
        <v>0</v>
      </c>
      <c r="V2030">
        <v>56278.303900452571</v>
      </c>
      <c r="W2030">
        <v>0</v>
      </c>
      <c r="X2030">
        <v>0</v>
      </c>
      <c r="Y2030">
        <v>84478.425594931236</v>
      </c>
      <c r="Z2030">
        <v>5860.5740125454022</v>
      </c>
      <c r="AA2030">
        <v>90338.999607476639</v>
      </c>
      <c r="AB2030" t="s">
        <v>242</v>
      </c>
      <c r="AC2030">
        <v>8</v>
      </c>
      <c r="AD2030">
        <v>15000</v>
      </c>
      <c r="AE2030">
        <v>0</v>
      </c>
      <c r="AF2030">
        <v>0</v>
      </c>
      <c r="AG2030">
        <v>972.47269074746191</v>
      </c>
      <c r="AH2030" t="s">
        <v>58</v>
      </c>
      <c r="AK2030" t="s">
        <v>798</v>
      </c>
      <c r="AL2030">
        <v>4142300425</v>
      </c>
      <c r="AM2030">
        <v>10188307</v>
      </c>
      <c r="AN2030" t="s">
        <v>199</v>
      </c>
      <c r="AO2030" t="s">
        <v>445</v>
      </c>
      <c r="AP2030" t="s">
        <v>430</v>
      </c>
      <c r="AQ2030" t="s">
        <v>230</v>
      </c>
      <c r="AR2030" t="s">
        <v>234</v>
      </c>
      <c r="AT2030" t="s">
        <v>52</v>
      </c>
      <c r="AU2030">
        <v>10000</v>
      </c>
      <c r="AW2030">
        <v>45322</v>
      </c>
      <c r="AX2030" t="s">
        <v>1013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261314.04672897205</v>
      </c>
      <c r="BI2030">
        <v>261314.04672897205</v>
      </c>
      <c r="BJ2030">
        <v>18291.983271028046</v>
      </c>
      <c r="BK2030">
        <v>279606.03000000009</v>
      </c>
      <c r="BL2030" t="s">
        <v>242</v>
      </c>
      <c r="BM2030">
        <v>4</v>
      </c>
      <c r="BN2030">
        <v>61000</v>
      </c>
      <c r="BO2030">
        <v>0</v>
      </c>
      <c r="BP2030">
        <v>0</v>
      </c>
      <c r="BQ2030">
        <v>3990.6542056074759</v>
      </c>
      <c r="BR2030" t="s">
        <v>58</v>
      </c>
    </row>
    <row r="2031" spans="1:70" x14ac:dyDescent="0.3">
      <c r="A2031" t="s">
        <v>798</v>
      </c>
      <c r="B2031">
        <v>52201708</v>
      </c>
      <c r="C2031">
        <v>28602672</v>
      </c>
      <c r="D2031" t="s">
        <v>728</v>
      </c>
      <c r="E2031" t="s">
        <v>438</v>
      </c>
      <c r="F2031" t="s">
        <v>431</v>
      </c>
      <c r="G2031" t="s">
        <v>235</v>
      </c>
      <c r="H2031" t="s">
        <v>236</v>
      </c>
      <c r="J2031" t="s">
        <v>52</v>
      </c>
      <c r="K2031" s="15">
        <v>3000</v>
      </c>
      <c r="M2031">
        <v>45322</v>
      </c>
      <c r="N2031" t="s">
        <v>1037</v>
      </c>
      <c r="O2031">
        <v>0</v>
      </c>
      <c r="P2031">
        <v>0</v>
      </c>
      <c r="Q2031">
        <v>0</v>
      </c>
      <c r="R2031">
        <v>967.95273072285363</v>
      </c>
      <c r="S2031">
        <v>44075.18406058714</v>
      </c>
      <c r="T2031">
        <v>0</v>
      </c>
      <c r="U2031">
        <v>0</v>
      </c>
      <c r="V2031">
        <v>86862.242963717639</v>
      </c>
      <c r="W2031">
        <v>0</v>
      </c>
      <c r="X2031">
        <v>0</v>
      </c>
      <c r="Y2031">
        <v>131905.37975502765</v>
      </c>
      <c r="Z2031">
        <v>6080.3570074602358</v>
      </c>
      <c r="AA2031">
        <v>137985.73676248788</v>
      </c>
      <c r="AB2031" t="s">
        <v>242</v>
      </c>
      <c r="AC2031">
        <v>1</v>
      </c>
      <c r="AD2031">
        <v>3000</v>
      </c>
      <c r="AE2031">
        <v>0</v>
      </c>
      <c r="AF2031">
        <v>0</v>
      </c>
      <c r="AG2031">
        <v>194.81933752392524</v>
      </c>
      <c r="AH2031" t="s">
        <v>72</v>
      </c>
      <c r="AK2031" t="s">
        <v>798</v>
      </c>
      <c r="AL2031">
        <v>4142300513</v>
      </c>
      <c r="AM2031">
        <v>10222706</v>
      </c>
      <c r="AN2031" t="s">
        <v>200</v>
      </c>
      <c r="AO2031" t="s">
        <v>445</v>
      </c>
      <c r="AP2031" t="s">
        <v>430</v>
      </c>
      <c r="AQ2031" t="s">
        <v>230</v>
      </c>
      <c r="AR2031" t="s">
        <v>234</v>
      </c>
      <c r="AT2031" t="s">
        <v>52</v>
      </c>
      <c r="AU2031">
        <v>10000</v>
      </c>
      <c r="AW2031">
        <v>45322</v>
      </c>
      <c r="AX2031" t="s">
        <v>1013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374827.44859813084</v>
      </c>
      <c r="BI2031">
        <v>374827.44859813084</v>
      </c>
      <c r="BJ2031">
        <v>26237.92140186916</v>
      </c>
      <c r="BK2031">
        <v>401065.37</v>
      </c>
      <c r="BL2031" t="s">
        <v>242</v>
      </c>
      <c r="BM2031">
        <v>4</v>
      </c>
      <c r="BN2031">
        <v>55000</v>
      </c>
      <c r="BO2031">
        <v>0</v>
      </c>
      <c r="BP2031">
        <v>0</v>
      </c>
      <c r="BQ2031">
        <v>3598.1308411214959</v>
      </c>
      <c r="BR2031" t="s">
        <v>58</v>
      </c>
    </row>
    <row r="2032" spans="1:70" x14ac:dyDescent="0.3">
      <c r="A2032" t="s">
        <v>798</v>
      </c>
      <c r="B2032">
        <v>52201828</v>
      </c>
      <c r="C2032">
        <v>25536725</v>
      </c>
      <c r="D2032" t="s">
        <v>166</v>
      </c>
      <c r="E2032" t="s">
        <v>438</v>
      </c>
      <c r="F2032" t="s">
        <v>431</v>
      </c>
      <c r="G2032" t="s">
        <v>82</v>
      </c>
      <c r="H2032" t="s">
        <v>83</v>
      </c>
      <c r="J2032" t="s">
        <v>52</v>
      </c>
      <c r="K2032" s="15">
        <v>2500</v>
      </c>
      <c r="M2032">
        <v>45322</v>
      </c>
      <c r="N2032" t="s">
        <v>1013</v>
      </c>
      <c r="O2032">
        <v>0</v>
      </c>
      <c r="P2032">
        <v>0</v>
      </c>
      <c r="Q2032">
        <v>0</v>
      </c>
      <c r="R2032">
        <v>781.32537325798023</v>
      </c>
      <c r="S2032">
        <v>11170.59516601116</v>
      </c>
      <c r="T2032">
        <v>0</v>
      </c>
      <c r="U2032">
        <v>0</v>
      </c>
      <c r="V2032">
        <v>46273.024665951423</v>
      </c>
      <c r="W2032">
        <v>0</v>
      </c>
      <c r="X2032">
        <v>0</v>
      </c>
      <c r="Y2032">
        <v>58224.94520522056</v>
      </c>
      <c r="Z2032">
        <v>4021.0533882373811</v>
      </c>
      <c r="AA2032">
        <v>62245.998593457938</v>
      </c>
      <c r="AB2032" t="s">
        <v>242</v>
      </c>
      <c r="AC2032">
        <v>12</v>
      </c>
      <c r="AD2032">
        <v>19000</v>
      </c>
      <c r="AE2032">
        <v>0</v>
      </c>
      <c r="AF2032">
        <v>0</v>
      </c>
      <c r="AG2032">
        <v>1226.1334356336995</v>
      </c>
      <c r="AH2032" t="s">
        <v>58</v>
      </c>
      <c r="AK2032" t="s">
        <v>798</v>
      </c>
      <c r="AL2032">
        <v>4142300599</v>
      </c>
      <c r="AM2032">
        <v>10259999</v>
      </c>
      <c r="AN2032" t="s">
        <v>201</v>
      </c>
      <c r="AO2032" t="s">
        <v>445</v>
      </c>
      <c r="AP2032" t="s">
        <v>430</v>
      </c>
      <c r="AQ2032" t="s">
        <v>230</v>
      </c>
      <c r="AR2032" t="s">
        <v>234</v>
      </c>
      <c r="AT2032" t="s">
        <v>52</v>
      </c>
      <c r="AU2032">
        <v>1000</v>
      </c>
      <c r="AW2032">
        <v>45322</v>
      </c>
      <c r="AX2032" t="s">
        <v>1013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246112.14953271032</v>
      </c>
      <c r="BI2032">
        <v>246112.14953271032</v>
      </c>
      <c r="BJ2032">
        <v>17227.850467289725</v>
      </c>
      <c r="BK2032">
        <v>263340.00000000006</v>
      </c>
      <c r="BL2032" t="s">
        <v>242</v>
      </c>
      <c r="BM2032">
        <v>3</v>
      </c>
      <c r="BN2032">
        <v>21000</v>
      </c>
      <c r="BO2032">
        <v>0</v>
      </c>
      <c r="BP2032">
        <v>0</v>
      </c>
      <c r="BQ2032">
        <v>1373.8317757009338</v>
      </c>
      <c r="BR2032" t="s">
        <v>58</v>
      </c>
    </row>
    <row r="2033" spans="1:70" x14ac:dyDescent="0.3">
      <c r="A2033" t="s">
        <v>798</v>
      </c>
      <c r="B2033">
        <v>52201928</v>
      </c>
      <c r="C2033">
        <v>28868846</v>
      </c>
      <c r="D2033" t="s">
        <v>169</v>
      </c>
      <c r="E2033" t="s">
        <v>438</v>
      </c>
      <c r="F2033" t="s">
        <v>431</v>
      </c>
      <c r="G2033" t="s">
        <v>82</v>
      </c>
      <c r="H2033" t="s">
        <v>83</v>
      </c>
      <c r="J2033" t="s">
        <v>52</v>
      </c>
      <c r="K2033" s="15">
        <v>3000</v>
      </c>
      <c r="M2033">
        <v>45322</v>
      </c>
      <c r="N2033" t="s">
        <v>1013</v>
      </c>
      <c r="O2033">
        <v>0</v>
      </c>
      <c r="P2033">
        <v>0</v>
      </c>
      <c r="Q2033">
        <v>0</v>
      </c>
      <c r="R2033">
        <v>779.9194355187949</v>
      </c>
      <c r="S2033">
        <v>0</v>
      </c>
      <c r="T2033">
        <v>0</v>
      </c>
      <c r="U2033">
        <v>0</v>
      </c>
      <c r="V2033">
        <v>48101.009897803211</v>
      </c>
      <c r="W2033">
        <v>0</v>
      </c>
      <c r="X2033">
        <v>0</v>
      </c>
      <c r="Y2033">
        <v>48880.929333322005</v>
      </c>
      <c r="Z2033">
        <v>3367.070692846225</v>
      </c>
      <c r="AA2033">
        <v>52248.000026168229</v>
      </c>
      <c r="AB2033" t="s">
        <v>242</v>
      </c>
      <c r="AC2033">
        <v>3</v>
      </c>
      <c r="AD2033">
        <v>16000</v>
      </c>
      <c r="AE2033">
        <v>0</v>
      </c>
      <c r="AF2033">
        <v>0</v>
      </c>
      <c r="AG2033">
        <v>1029.7797761554357</v>
      </c>
      <c r="AH2033" t="s">
        <v>58</v>
      </c>
      <c r="AK2033" t="s">
        <v>798</v>
      </c>
      <c r="AL2033">
        <v>4142300897</v>
      </c>
      <c r="AM2033">
        <v>10425033</v>
      </c>
      <c r="AN2033" t="s">
        <v>212</v>
      </c>
      <c r="AO2033" t="s">
        <v>445</v>
      </c>
      <c r="AP2033" t="s">
        <v>430</v>
      </c>
      <c r="AQ2033" t="s">
        <v>237</v>
      </c>
      <c r="AR2033" t="s">
        <v>234</v>
      </c>
      <c r="AT2033" t="s">
        <v>52</v>
      </c>
      <c r="AU2033">
        <v>2000</v>
      </c>
      <c r="AW2033">
        <v>45322</v>
      </c>
      <c r="AX2033" t="s">
        <v>1013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233516.6728971962</v>
      </c>
      <c r="BI2033">
        <v>233516.6728971962</v>
      </c>
      <c r="BJ2033">
        <v>16346.167102803736</v>
      </c>
      <c r="BK2033">
        <v>249862.83999999994</v>
      </c>
      <c r="BL2033" t="s">
        <v>242</v>
      </c>
      <c r="BM2033">
        <v>6</v>
      </c>
      <c r="BN2033">
        <v>12000</v>
      </c>
      <c r="BO2033">
        <v>0</v>
      </c>
      <c r="BP2033">
        <v>0</v>
      </c>
      <c r="BQ2033">
        <v>785.04672897196269</v>
      </c>
      <c r="BR2033" t="s">
        <v>58</v>
      </c>
    </row>
    <row r="2034" spans="1:70" x14ac:dyDescent="0.3">
      <c r="A2034" t="s">
        <v>798</v>
      </c>
      <c r="B2034">
        <v>62200005</v>
      </c>
      <c r="C2034">
        <v>19887124</v>
      </c>
      <c r="D2034" t="s">
        <v>77</v>
      </c>
      <c r="E2034" t="s">
        <v>435</v>
      </c>
      <c r="F2034" t="s">
        <v>432</v>
      </c>
      <c r="G2034" t="s">
        <v>82</v>
      </c>
      <c r="H2034" t="s">
        <v>82</v>
      </c>
      <c r="J2034" t="s">
        <v>52</v>
      </c>
      <c r="K2034" s="15">
        <v>1800</v>
      </c>
      <c r="M2034">
        <v>45322</v>
      </c>
      <c r="N2034" t="s">
        <v>1013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55423.626182929671</v>
      </c>
      <c r="W2034">
        <v>0</v>
      </c>
      <c r="X2034">
        <v>0</v>
      </c>
      <c r="Y2034">
        <v>55423.626182929671</v>
      </c>
      <c r="Z2034">
        <v>0</v>
      </c>
      <c r="AA2034">
        <v>55423.626182929671</v>
      </c>
      <c r="AB2034" t="s">
        <v>242</v>
      </c>
      <c r="AC2034">
        <v>17</v>
      </c>
      <c r="AD2034">
        <v>30600</v>
      </c>
      <c r="AE2034">
        <v>0</v>
      </c>
      <c r="AF2034">
        <v>0</v>
      </c>
      <c r="AG2034">
        <v>0</v>
      </c>
      <c r="AH2034" t="s">
        <v>58</v>
      </c>
      <c r="AK2034" t="s">
        <v>798</v>
      </c>
      <c r="AL2034">
        <v>4142300939</v>
      </c>
      <c r="AM2034">
        <v>10449473</v>
      </c>
      <c r="AN2034" t="s">
        <v>214</v>
      </c>
      <c r="AO2034" t="s">
        <v>445</v>
      </c>
      <c r="AP2034" t="s">
        <v>430</v>
      </c>
      <c r="AQ2034" t="s">
        <v>230</v>
      </c>
      <c r="AR2034" t="s">
        <v>234</v>
      </c>
      <c r="AT2034" t="s">
        <v>52</v>
      </c>
      <c r="AU2034">
        <v>1000</v>
      </c>
      <c r="AW2034">
        <v>45322</v>
      </c>
      <c r="AX2034" t="s">
        <v>1013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332619.63551401871</v>
      </c>
      <c r="BI2034">
        <v>332619.63551401871</v>
      </c>
      <c r="BJ2034">
        <v>23283.374485981312</v>
      </c>
      <c r="BK2034">
        <v>355903.01</v>
      </c>
      <c r="BL2034" t="s">
        <v>242</v>
      </c>
      <c r="BM2034">
        <v>5</v>
      </c>
      <c r="BN2034">
        <v>4000</v>
      </c>
      <c r="BO2034">
        <v>0</v>
      </c>
      <c r="BP2034">
        <v>0</v>
      </c>
      <c r="BQ2034">
        <v>261.68224299065423</v>
      </c>
      <c r="BR2034" t="s">
        <v>58</v>
      </c>
    </row>
    <row r="2035" spans="1:70" x14ac:dyDescent="0.3">
      <c r="A2035" t="s">
        <v>798</v>
      </c>
      <c r="B2035">
        <v>62200006</v>
      </c>
      <c r="C2035">
        <v>19887213</v>
      </c>
      <c r="D2035" t="s">
        <v>77</v>
      </c>
      <c r="E2035" t="s">
        <v>435</v>
      </c>
      <c r="F2035" t="s">
        <v>432</v>
      </c>
      <c r="G2035" t="s">
        <v>82</v>
      </c>
      <c r="H2035" t="s">
        <v>82</v>
      </c>
      <c r="J2035" t="s">
        <v>52</v>
      </c>
      <c r="K2035" s="15">
        <v>900</v>
      </c>
      <c r="M2035">
        <v>45322</v>
      </c>
      <c r="N2035" t="s">
        <v>1013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16395.406380183904</v>
      </c>
      <c r="W2035">
        <v>0</v>
      </c>
      <c r="X2035">
        <v>0</v>
      </c>
      <c r="Y2035">
        <v>16395.406380183904</v>
      </c>
      <c r="Z2035">
        <v>0</v>
      </c>
      <c r="AA2035">
        <v>16395.406380183904</v>
      </c>
      <c r="AB2035" t="s">
        <v>242</v>
      </c>
      <c r="AC2035">
        <v>17</v>
      </c>
      <c r="AD2035">
        <v>29700</v>
      </c>
      <c r="AE2035">
        <v>0</v>
      </c>
      <c r="AF2035">
        <v>0</v>
      </c>
      <c r="AG2035">
        <v>0</v>
      </c>
      <c r="AH2035" t="s">
        <v>58</v>
      </c>
      <c r="AK2035" t="s">
        <v>798</v>
      </c>
      <c r="AL2035">
        <v>4302300023</v>
      </c>
      <c r="AM2035">
        <v>901021032288</v>
      </c>
      <c r="AN2035" t="s">
        <v>225</v>
      </c>
      <c r="AO2035" t="s">
        <v>447</v>
      </c>
      <c r="AP2035" t="s">
        <v>433</v>
      </c>
      <c r="AQ2035" t="s">
        <v>82</v>
      </c>
      <c r="AR2035" t="s">
        <v>83</v>
      </c>
      <c r="AT2035" t="s">
        <v>52</v>
      </c>
      <c r="AU2035">
        <v>10000</v>
      </c>
      <c r="AW2035">
        <v>45322</v>
      </c>
      <c r="AX2035" t="s">
        <v>1013</v>
      </c>
      <c r="AY2035">
        <v>0</v>
      </c>
      <c r="AZ2035">
        <v>0</v>
      </c>
      <c r="BA2035">
        <v>89435.407795773746</v>
      </c>
      <c r="BB2035">
        <v>3436.24</v>
      </c>
      <c r="BC2035">
        <v>19402.302433856334</v>
      </c>
      <c r="BD2035">
        <v>0</v>
      </c>
      <c r="BE2035">
        <v>0</v>
      </c>
      <c r="BF2035">
        <v>1172874.5</v>
      </c>
      <c r="BG2035">
        <v>0</v>
      </c>
      <c r="BH2035">
        <v>0</v>
      </c>
      <c r="BI2035">
        <v>1285148.4502296301</v>
      </c>
      <c r="BJ2035">
        <v>83459.376170369942</v>
      </c>
      <c r="BK2035">
        <v>1368607.8264000001</v>
      </c>
      <c r="BL2035" t="s">
        <v>242</v>
      </c>
      <c r="BM2035">
        <v>6</v>
      </c>
      <c r="BN2035">
        <v>83000</v>
      </c>
      <c r="BO2035">
        <v>0</v>
      </c>
      <c r="BP2035">
        <v>0</v>
      </c>
      <c r="BQ2035">
        <v>5036.5502296300574</v>
      </c>
      <c r="BR2035" t="s">
        <v>58</v>
      </c>
    </row>
    <row r="2036" spans="1:70" x14ac:dyDescent="0.3">
      <c r="A2036" t="s">
        <v>798</v>
      </c>
      <c r="B2036">
        <v>62200080</v>
      </c>
      <c r="C2036">
        <v>22425262</v>
      </c>
      <c r="D2036" t="s">
        <v>80</v>
      </c>
      <c r="E2036" t="s">
        <v>435</v>
      </c>
      <c r="F2036" t="s">
        <v>432</v>
      </c>
      <c r="G2036" t="s">
        <v>82</v>
      </c>
      <c r="H2036" t="s">
        <v>82</v>
      </c>
      <c r="J2036" t="s">
        <v>52</v>
      </c>
      <c r="K2036" s="15">
        <v>500</v>
      </c>
      <c r="M2036">
        <v>45322</v>
      </c>
      <c r="N2036" t="s">
        <v>1013</v>
      </c>
      <c r="O2036">
        <v>0</v>
      </c>
      <c r="P2036">
        <v>0</v>
      </c>
      <c r="Q2036">
        <v>0</v>
      </c>
      <c r="R2036">
        <v>0</v>
      </c>
      <c r="S2036">
        <v>7239.2191780821922</v>
      </c>
      <c r="T2036">
        <v>0</v>
      </c>
      <c r="U2036">
        <v>0</v>
      </c>
      <c r="V2036">
        <v>30000</v>
      </c>
      <c r="W2036">
        <v>0</v>
      </c>
      <c r="X2036">
        <v>0</v>
      </c>
      <c r="Y2036">
        <v>37239.219178082189</v>
      </c>
      <c r="Z2036">
        <v>0</v>
      </c>
      <c r="AA2036">
        <v>37239.219178082189</v>
      </c>
      <c r="AB2036" t="s">
        <v>242</v>
      </c>
      <c r="AC2036">
        <v>13</v>
      </c>
      <c r="AD2036">
        <v>6500</v>
      </c>
      <c r="AE2036">
        <v>0</v>
      </c>
      <c r="AF2036">
        <v>0</v>
      </c>
      <c r="AG2036">
        <v>0</v>
      </c>
      <c r="AH2036" t="s">
        <v>58</v>
      </c>
      <c r="AK2036" t="s">
        <v>798</v>
      </c>
      <c r="AL2036">
        <v>4312300002</v>
      </c>
      <c r="AM2036" t="s">
        <v>59</v>
      </c>
      <c r="AN2036" t="s">
        <v>976</v>
      </c>
      <c r="AO2036" t="s">
        <v>448</v>
      </c>
      <c r="AP2036" t="s">
        <v>433</v>
      </c>
      <c r="AQ2036" t="s">
        <v>82</v>
      </c>
      <c r="AR2036" t="s">
        <v>71</v>
      </c>
      <c r="AT2036" t="s">
        <v>52</v>
      </c>
      <c r="AU2036">
        <v>20000</v>
      </c>
      <c r="AW2036">
        <v>45322</v>
      </c>
      <c r="AX2036" t="s">
        <v>1013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699426.55140186928</v>
      </c>
      <c r="BI2036">
        <v>699426.55140186928</v>
      </c>
      <c r="BJ2036">
        <v>48959.858598130857</v>
      </c>
      <c r="BK2036">
        <v>748386.41000000015</v>
      </c>
      <c r="BL2036" t="s">
        <v>242</v>
      </c>
      <c r="BM2036">
        <v>3</v>
      </c>
      <c r="BN2036">
        <v>60000</v>
      </c>
      <c r="BO2036">
        <v>0</v>
      </c>
      <c r="BP2036">
        <v>0</v>
      </c>
      <c r="BQ2036">
        <v>3925.2336448598107</v>
      </c>
      <c r="BR2036" t="s">
        <v>58</v>
      </c>
    </row>
    <row r="2037" spans="1:70" x14ac:dyDescent="0.3">
      <c r="A2037" t="s">
        <v>798</v>
      </c>
      <c r="B2037">
        <v>82200036</v>
      </c>
      <c r="C2037">
        <v>901017006332</v>
      </c>
      <c r="D2037" t="s">
        <v>974</v>
      </c>
      <c r="E2037" t="s">
        <v>440</v>
      </c>
      <c r="F2037" t="s">
        <v>433</v>
      </c>
      <c r="G2037" t="s">
        <v>230</v>
      </c>
      <c r="H2037" t="s">
        <v>231</v>
      </c>
      <c r="J2037" t="s">
        <v>672</v>
      </c>
      <c r="M2037">
        <v>45322</v>
      </c>
      <c r="N2037" t="s">
        <v>1024</v>
      </c>
      <c r="O2037">
        <v>3000</v>
      </c>
      <c r="P2037">
        <v>0</v>
      </c>
      <c r="Q2037">
        <v>0</v>
      </c>
      <c r="R2037">
        <v>0</v>
      </c>
      <c r="S2037">
        <v>0</v>
      </c>
      <c r="T2037">
        <v>111214.95327102803</v>
      </c>
      <c r="U2037">
        <v>0</v>
      </c>
      <c r="V2037">
        <v>0</v>
      </c>
      <c r="W2037">
        <v>355140.18691588787</v>
      </c>
      <c r="X2037">
        <v>0</v>
      </c>
      <c r="Y2037">
        <v>469355.14018691587</v>
      </c>
      <c r="Z2037">
        <v>32644.859813084113</v>
      </c>
      <c r="AA2037">
        <v>502000</v>
      </c>
      <c r="AB2037" t="s">
        <v>242</v>
      </c>
      <c r="AC2037">
        <v>3</v>
      </c>
      <c r="AD2037">
        <v>51000</v>
      </c>
      <c r="AE2037">
        <v>0</v>
      </c>
      <c r="AF2037">
        <v>0</v>
      </c>
      <c r="AG2037">
        <v>3011.6976716775098</v>
      </c>
      <c r="AH2037" t="s">
        <v>58</v>
      </c>
      <c r="AK2037" t="s">
        <v>798</v>
      </c>
      <c r="AL2037">
        <v>4312300012</v>
      </c>
      <c r="AM2037" t="s">
        <v>61</v>
      </c>
      <c r="AN2037" t="s">
        <v>963</v>
      </c>
      <c r="AO2037" t="s">
        <v>448</v>
      </c>
      <c r="AP2037" t="s">
        <v>433</v>
      </c>
      <c r="AQ2037" t="s">
        <v>82</v>
      </c>
      <c r="AR2037" t="s">
        <v>71</v>
      </c>
      <c r="AT2037" t="s">
        <v>52</v>
      </c>
      <c r="AU2037">
        <v>15000</v>
      </c>
      <c r="AW2037">
        <v>45322</v>
      </c>
      <c r="AX2037" t="s">
        <v>1013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1870939.5140186916</v>
      </c>
      <c r="BI2037">
        <v>1870939.5140186916</v>
      </c>
      <c r="BJ2037">
        <v>130965.76598130843</v>
      </c>
      <c r="BK2037">
        <v>2001905.28</v>
      </c>
      <c r="BL2037" t="s">
        <v>242</v>
      </c>
      <c r="BM2037">
        <v>8</v>
      </c>
      <c r="BN2037">
        <v>110165</v>
      </c>
      <c r="BO2037">
        <v>0</v>
      </c>
      <c r="BP2037">
        <v>0</v>
      </c>
      <c r="BQ2037">
        <v>7207.0560747663567</v>
      </c>
      <c r="BR2037" t="s">
        <v>58</v>
      </c>
    </row>
    <row r="2038" spans="1:70" x14ac:dyDescent="0.3">
      <c r="A2038" t="s">
        <v>798</v>
      </c>
      <c r="B2038">
        <v>4132300425</v>
      </c>
      <c r="C2038">
        <v>1011500206</v>
      </c>
      <c r="D2038" t="s">
        <v>176</v>
      </c>
      <c r="E2038" t="s">
        <v>441</v>
      </c>
      <c r="F2038" t="s">
        <v>430</v>
      </c>
      <c r="G2038" t="s">
        <v>233</v>
      </c>
      <c r="H2038" t="s">
        <v>231</v>
      </c>
      <c r="J2038" t="s">
        <v>52</v>
      </c>
      <c r="K2038" s="15">
        <v>3000</v>
      </c>
      <c r="M2038">
        <v>45322</v>
      </c>
      <c r="N2038" t="s">
        <v>1013</v>
      </c>
      <c r="O2038">
        <v>0</v>
      </c>
      <c r="P2038">
        <v>3425.6263865158658</v>
      </c>
      <c r="Q2038">
        <v>0</v>
      </c>
      <c r="R2038">
        <v>0</v>
      </c>
      <c r="S2038">
        <v>58047.945205479453</v>
      </c>
      <c r="T2038">
        <v>158786.33047989174</v>
      </c>
      <c r="U2038">
        <v>0</v>
      </c>
      <c r="V2038">
        <v>0</v>
      </c>
      <c r="W2038">
        <v>0</v>
      </c>
      <c r="X2038">
        <v>0</v>
      </c>
      <c r="Y2038">
        <v>220259.90207188705</v>
      </c>
      <c r="Z2038">
        <v>11115.043133592422</v>
      </c>
      <c r="AA2038">
        <v>231374.94520547945</v>
      </c>
      <c r="AB2038" t="s">
        <v>242</v>
      </c>
      <c r="AC2038">
        <v>5</v>
      </c>
      <c r="AD2038">
        <v>15000</v>
      </c>
      <c r="AE2038">
        <v>0</v>
      </c>
      <c r="AF2038">
        <v>0</v>
      </c>
      <c r="AG2038">
        <v>706.91013743561734</v>
      </c>
      <c r="AH2038" t="s">
        <v>58</v>
      </c>
      <c r="AK2038" t="s">
        <v>798</v>
      </c>
      <c r="AL2038">
        <v>12200042</v>
      </c>
      <c r="AM2038">
        <v>23526321</v>
      </c>
      <c r="AN2038" t="s">
        <v>624</v>
      </c>
      <c r="AO2038" t="s">
        <v>435</v>
      </c>
      <c r="AP2038" t="s">
        <v>427</v>
      </c>
      <c r="AQ2038" t="s">
        <v>230</v>
      </c>
      <c r="AR2038" t="s">
        <v>230</v>
      </c>
      <c r="AT2038" t="s">
        <v>52</v>
      </c>
      <c r="AU2038">
        <v>3000</v>
      </c>
      <c r="AW2038">
        <v>45322</v>
      </c>
      <c r="AX2038" t="s">
        <v>1013</v>
      </c>
      <c r="AY2038">
        <v>0</v>
      </c>
      <c r="AZ2038">
        <v>0</v>
      </c>
      <c r="BA2038">
        <v>0</v>
      </c>
      <c r="BB2038">
        <v>0</v>
      </c>
      <c r="BC2038">
        <v>16173.699999999997</v>
      </c>
      <c r="BD2038">
        <v>0</v>
      </c>
      <c r="BE2038">
        <v>0</v>
      </c>
      <c r="BF2038">
        <v>80000</v>
      </c>
      <c r="BG2038">
        <v>0</v>
      </c>
      <c r="BH2038">
        <v>0</v>
      </c>
      <c r="BI2038">
        <v>96173.7</v>
      </c>
      <c r="BJ2038">
        <v>0</v>
      </c>
      <c r="BK2038">
        <v>96173.7</v>
      </c>
      <c r="BL2038" t="s">
        <v>242</v>
      </c>
      <c r="BM2038">
        <v>12</v>
      </c>
      <c r="BN2038">
        <v>24600</v>
      </c>
      <c r="BO2038">
        <v>0</v>
      </c>
      <c r="BP2038">
        <v>0</v>
      </c>
      <c r="BQ2038">
        <v>0</v>
      </c>
      <c r="BR2038" t="s">
        <v>58</v>
      </c>
    </row>
    <row r="2039" spans="1:70" x14ac:dyDescent="0.3">
      <c r="A2039" t="s">
        <v>798</v>
      </c>
      <c r="B2039">
        <v>4132300824</v>
      </c>
      <c r="C2039">
        <v>9070041828</v>
      </c>
      <c r="D2039" t="s">
        <v>177</v>
      </c>
      <c r="E2039" t="s">
        <v>441</v>
      </c>
      <c r="F2039" t="s">
        <v>430</v>
      </c>
      <c r="G2039" t="s">
        <v>233</v>
      </c>
      <c r="H2039" t="s">
        <v>231</v>
      </c>
      <c r="J2039" t="s">
        <v>52</v>
      </c>
      <c r="K2039" s="15">
        <v>1000</v>
      </c>
      <c r="M2039">
        <v>45322</v>
      </c>
      <c r="N2039" t="s">
        <v>1013</v>
      </c>
      <c r="O2039">
        <v>0</v>
      </c>
      <c r="P2039">
        <v>2755.3085410437893</v>
      </c>
      <c r="Q2039">
        <v>0</v>
      </c>
      <c r="R2039">
        <v>0</v>
      </c>
      <c r="S2039">
        <v>10431.390410958904</v>
      </c>
      <c r="T2039">
        <v>16303.449961641318</v>
      </c>
      <c r="U2039">
        <v>0</v>
      </c>
      <c r="V2039">
        <v>0</v>
      </c>
      <c r="W2039">
        <v>0</v>
      </c>
      <c r="X2039">
        <v>0</v>
      </c>
      <c r="Y2039">
        <v>29490.14891364401</v>
      </c>
      <c r="Z2039">
        <v>1141.2414973148923</v>
      </c>
      <c r="AA2039">
        <v>30631.390410958902</v>
      </c>
      <c r="AB2039" t="s">
        <v>242</v>
      </c>
      <c r="AC2039">
        <v>3</v>
      </c>
      <c r="AD2039">
        <v>3000</v>
      </c>
      <c r="AE2039">
        <v>0</v>
      </c>
      <c r="AF2039">
        <v>0</v>
      </c>
      <c r="AG2039">
        <v>108.29121296548158</v>
      </c>
      <c r="AH2039" t="s">
        <v>58</v>
      </c>
      <c r="AK2039" t="s">
        <v>798</v>
      </c>
      <c r="AL2039">
        <v>12200122</v>
      </c>
      <c r="AM2039">
        <v>5900440096</v>
      </c>
      <c r="AN2039" t="s">
        <v>113</v>
      </c>
      <c r="AO2039" t="s">
        <v>437</v>
      </c>
      <c r="AP2039" t="s">
        <v>427</v>
      </c>
      <c r="AQ2039" t="s">
        <v>82</v>
      </c>
      <c r="AR2039" t="s">
        <v>82</v>
      </c>
      <c r="AT2039" t="s">
        <v>52</v>
      </c>
      <c r="AU2039">
        <v>1500</v>
      </c>
      <c r="AW2039">
        <v>45322</v>
      </c>
      <c r="AX2039" t="s">
        <v>1013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10999.490000000002</v>
      </c>
      <c r="BG2039">
        <v>0</v>
      </c>
      <c r="BH2039">
        <v>0</v>
      </c>
      <c r="BI2039">
        <v>10999.490000000002</v>
      </c>
      <c r="BJ2039">
        <v>0</v>
      </c>
      <c r="BK2039">
        <v>10999.490000000002</v>
      </c>
      <c r="BL2039" t="s">
        <v>242</v>
      </c>
      <c r="BM2039">
        <v>9</v>
      </c>
      <c r="BN2039">
        <v>10276</v>
      </c>
      <c r="BO2039">
        <v>0</v>
      </c>
      <c r="BP2039">
        <v>0</v>
      </c>
      <c r="BQ2039">
        <v>0</v>
      </c>
      <c r="BR2039" t="s">
        <v>58</v>
      </c>
    </row>
    <row r="2040" spans="1:70" x14ac:dyDescent="0.3">
      <c r="A2040" t="s">
        <v>798</v>
      </c>
      <c r="B2040">
        <v>4132300846</v>
      </c>
      <c r="C2040">
        <v>9110034579</v>
      </c>
      <c r="D2040" t="s">
        <v>736</v>
      </c>
      <c r="E2040" t="s">
        <v>441</v>
      </c>
      <c r="F2040" t="s">
        <v>430</v>
      </c>
      <c r="G2040" t="s">
        <v>238</v>
      </c>
      <c r="H2040" t="s">
        <v>236</v>
      </c>
      <c r="J2040" t="s">
        <v>52</v>
      </c>
      <c r="K2040" s="15">
        <v>1000</v>
      </c>
      <c r="M2040">
        <v>45322</v>
      </c>
      <c r="N2040" t="s">
        <v>1013</v>
      </c>
      <c r="O2040">
        <v>0</v>
      </c>
      <c r="P2040">
        <v>0</v>
      </c>
      <c r="Q2040">
        <v>0</v>
      </c>
      <c r="R2040">
        <v>0</v>
      </c>
      <c r="S2040">
        <v>209776.76334528363</v>
      </c>
      <c r="T2040">
        <v>0</v>
      </c>
      <c r="U2040">
        <v>0</v>
      </c>
      <c r="V2040">
        <v>327467.75413896161</v>
      </c>
      <c r="W2040">
        <v>0</v>
      </c>
      <c r="X2040">
        <v>0</v>
      </c>
      <c r="Y2040">
        <v>537244.51748424524</v>
      </c>
      <c r="Z2040">
        <v>22922.742789727316</v>
      </c>
      <c r="AA2040">
        <v>560167.26027397253</v>
      </c>
      <c r="AB2040" t="s">
        <v>242</v>
      </c>
      <c r="AC2040">
        <v>1</v>
      </c>
      <c r="AD2040">
        <v>1000</v>
      </c>
      <c r="AE2040">
        <v>0</v>
      </c>
      <c r="AF2040">
        <v>0</v>
      </c>
      <c r="AG2040">
        <v>39.874032702590398</v>
      </c>
      <c r="AH2040" t="s">
        <v>72</v>
      </c>
      <c r="AK2040" t="s">
        <v>798</v>
      </c>
      <c r="AL2040">
        <v>22200061</v>
      </c>
      <c r="AM2040">
        <v>19290575</v>
      </c>
      <c r="AN2040" t="s">
        <v>84</v>
      </c>
      <c r="AO2040" t="s">
        <v>435</v>
      </c>
      <c r="AP2040" t="s">
        <v>428</v>
      </c>
      <c r="AQ2040" t="s">
        <v>82</v>
      </c>
      <c r="AR2040" t="s">
        <v>82</v>
      </c>
      <c r="AT2040" t="s">
        <v>52</v>
      </c>
      <c r="AU2040">
        <v>1000</v>
      </c>
      <c r="AW2040">
        <v>45322</v>
      </c>
      <c r="AX2040" t="s">
        <v>1013</v>
      </c>
      <c r="AY2040">
        <v>0</v>
      </c>
      <c r="AZ2040">
        <v>0</v>
      </c>
      <c r="BA2040">
        <v>0</v>
      </c>
      <c r="BB2040">
        <v>0</v>
      </c>
      <c r="BC2040">
        <v>2625.7709089598566</v>
      </c>
      <c r="BD2040">
        <v>0</v>
      </c>
      <c r="BE2040">
        <v>0</v>
      </c>
      <c r="BF2040">
        <v>22341.817670062115</v>
      </c>
      <c r="BG2040">
        <v>0</v>
      </c>
      <c r="BH2040">
        <v>0</v>
      </c>
      <c r="BI2040">
        <v>24967.588579021973</v>
      </c>
      <c r="BJ2040">
        <v>0</v>
      </c>
      <c r="BK2040">
        <v>24967.588579021973</v>
      </c>
      <c r="BL2040" t="s">
        <v>242</v>
      </c>
      <c r="BM2040">
        <v>6</v>
      </c>
      <c r="BN2040">
        <v>5500</v>
      </c>
      <c r="BO2040">
        <v>0</v>
      </c>
      <c r="BP2040">
        <v>0</v>
      </c>
      <c r="BQ2040">
        <v>0</v>
      </c>
      <c r="BR2040" t="s">
        <v>58</v>
      </c>
    </row>
    <row r="2041" spans="1:70" x14ac:dyDescent="0.3">
      <c r="A2041" t="s">
        <v>798</v>
      </c>
      <c r="B2041">
        <v>4132301817</v>
      </c>
      <c r="C2041" t="s">
        <v>691</v>
      </c>
      <c r="D2041" t="s">
        <v>944</v>
      </c>
      <c r="E2041" t="s">
        <v>442</v>
      </c>
      <c r="F2041" t="s">
        <v>430</v>
      </c>
      <c r="G2041" t="s">
        <v>230</v>
      </c>
      <c r="H2041" t="s">
        <v>231</v>
      </c>
      <c r="J2041" t="s">
        <v>52</v>
      </c>
      <c r="K2041" s="15">
        <v>5000</v>
      </c>
      <c r="M2041">
        <v>45322</v>
      </c>
      <c r="N2041" t="s">
        <v>1013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334183.20560747664</v>
      </c>
      <c r="X2041">
        <v>0</v>
      </c>
      <c r="Y2041">
        <v>334183.20560747664</v>
      </c>
      <c r="Z2041">
        <v>23392.824392523366</v>
      </c>
      <c r="AA2041">
        <v>357576.03</v>
      </c>
      <c r="AB2041" t="s">
        <v>242</v>
      </c>
      <c r="AC2041">
        <v>2</v>
      </c>
      <c r="AD2041">
        <v>10000</v>
      </c>
      <c r="AE2041">
        <v>0</v>
      </c>
      <c r="AF2041">
        <v>0</v>
      </c>
      <c r="AG2041">
        <v>654.20560747663512</v>
      </c>
      <c r="AH2041" t="s">
        <v>58</v>
      </c>
      <c r="AK2041" t="s">
        <v>798</v>
      </c>
      <c r="AL2041">
        <v>22200068</v>
      </c>
      <c r="AM2041">
        <v>20579132</v>
      </c>
      <c r="AN2041" t="s">
        <v>80</v>
      </c>
      <c r="AO2041" t="s">
        <v>435</v>
      </c>
      <c r="AP2041" t="s">
        <v>428</v>
      </c>
      <c r="AQ2041" t="s">
        <v>82</v>
      </c>
      <c r="AR2041" t="s">
        <v>82</v>
      </c>
      <c r="AT2041" t="s">
        <v>52</v>
      </c>
      <c r="AU2041">
        <v>500</v>
      </c>
      <c r="AW2041">
        <v>45322</v>
      </c>
      <c r="AX2041" t="s">
        <v>1013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20691.271592123288</v>
      </c>
      <c r="BG2041">
        <v>0</v>
      </c>
      <c r="BH2041">
        <v>0</v>
      </c>
      <c r="BI2041">
        <v>20691.271592123288</v>
      </c>
      <c r="BJ2041">
        <v>0</v>
      </c>
      <c r="BK2041">
        <v>20691.271592123288</v>
      </c>
      <c r="BL2041" t="s">
        <v>242</v>
      </c>
      <c r="BM2041">
        <v>15</v>
      </c>
      <c r="BN2041">
        <v>9000</v>
      </c>
      <c r="BO2041">
        <v>0</v>
      </c>
      <c r="BP2041">
        <v>0</v>
      </c>
      <c r="BQ2041">
        <v>0</v>
      </c>
      <c r="BR2041" t="s">
        <v>58</v>
      </c>
    </row>
    <row r="2042" spans="1:70" x14ac:dyDescent="0.3">
      <c r="A2042" t="s">
        <v>798</v>
      </c>
      <c r="B2042">
        <v>4142300008</v>
      </c>
      <c r="C2042">
        <v>132635</v>
      </c>
      <c r="D2042" t="s">
        <v>975</v>
      </c>
      <c r="E2042" t="s">
        <v>444</v>
      </c>
      <c r="F2042" t="s">
        <v>430</v>
      </c>
      <c r="G2042" t="s">
        <v>237</v>
      </c>
      <c r="H2042" t="s">
        <v>231</v>
      </c>
      <c r="J2042" t="s">
        <v>52</v>
      </c>
      <c r="K2042" s="15">
        <v>12000</v>
      </c>
      <c r="M2042">
        <v>45322</v>
      </c>
      <c r="N2042" t="s">
        <v>1013</v>
      </c>
      <c r="O2042">
        <v>0</v>
      </c>
      <c r="P2042">
        <v>32166.88649259153</v>
      </c>
      <c r="Q2042">
        <v>0</v>
      </c>
      <c r="R2042">
        <v>0</v>
      </c>
      <c r="S2042">
        <v>0</v>
      </c>
      <c r="T2042">
        <v>5223.4705676714711</v>
      </c>
      <c r="U2042">
        <v>39953.271028037387</v>
      </c>
      <c r="V2042">
        <v>0</v>
      </c>
      <c r="W2042">
        <v>0</v>
      </c>
      <c r="X2042">
        <v>0</v>
      </c>
      <c r="Y2042">
        <v>77343.628088300378</v>
      </c>
      <c r="Z2042">
        <v>3162.3719116996203</v>
      </c>
      <c r="AA2042">
        <v>80506</v>
      </c>
      <c r="AB2042" t="s">
        <v>242</v>
      </c>
      <c r="AC2042">
        <v>7</v>
      </c>
      <c r="AD2042">
        <v>68000</v>
      </c>
      <c r="AE2042">
        <v>0</v>
      </c>
      <c r="AF2042">
        <v>0</v>
      </c>
      <c r="AG2042">
        <v>2568.4692097957077</v>
      </c>
      <c r="AH2042" t="s">
        <v>58</v>
      </c>
      <c r="AK2042" t="s">
        <v>798</v>
      </c>
      <c r="AL2042">
        <v>42200172</v>
      </c>
      <c r="AM2042">
        <v>2756017295</v>
      </c>
      <c r="AN2042" t="s">
        <v>972</v>
      </c>
      <c r="AO2042" t="s">
        <v>439</v>
      </c>
      <c r="AP2042" t="s">
        <v>430</v>
      </c>
      <c r="AQ2042" t="s">
        <v>232</v>
      </c>
      <c r="AR2042" t="s">
        <v>71</v>
      </c>
      <c r="AT2042" t="s">
        <v>52</v>
      </c>
      <c r="AU2042">
        <v>500</v>
      </c>
      <c r="AW2042">
        <v>45322</v>
      </c>
      <c r="AX2042" t="s">
        <v>1013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92822.710280373838</v>
      </c>
      <c r="BI2042">
        <v>92822.710280373838</v>
      </c>
      <c r="BJ2042">
        <v>6497.5897196261694</v>
      </c>
      <c r="BK2042">
        <v>99320.3</v>
      </c>
      <c r="BL2042" t="s">
        <v>242</v>
      </c>
      <c r="BM2042">
        <v>1</v>
      </c>
      <c r="BN2042">
        <v>500</v>
      </c>
      <c r="BO2042">
        <v>0</v>
      </c>
      <c r="BP2042">
        <v>0</v>
      </c>
      <c r="BQ2042">
        <v>32.710280373831779</v>
      </c>
      <c r="BR2042" t="s">
        <v>72</v>
      </c>
    </row>
    <row r="2043" spans="1:70" x14ac:dyDescent="0.3">
      <c r="A2043" t="s">
        <v>798</v>
      </c>
      <c r="B2043">
        <v>4142300201</v>
      </c>
      <c r="C2043">
        <v>10077114</v>
      </c>
      <c r="D2043" t="s">
        <v>193</v>
      </c>
      <c r="E2043" t="s">
        <v>445</v>
      </c>
      <c r="F2043" t="s">
        <v>430</v>
      </c>
      <c r="G2043" t="s">
        <v>237</v>
      </c>
      <c r="H2043" t="s">
        <v>234</v>
      </c>
      <c r="J2043" t="s">
        <v>52</v>
      </c>
      <c r="K2043" s="15">
        <v>3000</v>
      </c>
      <c r="M2043">
        <v>45322</v>
      </c>
      <c r="N2043" t="s">
        <v>1013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36653.90654205608</v>
      </c>
      <c r="Y2043">
        <v>36653.90654205608</v>
      </c>
      <c r="Z2043">
        <v>2565.7734579439257</v>
      </c>
      <c r="AA2043">
        <v>39219.680000000008</v>
      </c>
      <c r="AB2043" t="s">
        <v>242</v>
      </c>
      <c r="AC2043">
        <v>3</v>
      </c>
      <c r="AD2043">
        <v>9000</v>
      </c>
      <c r="AE2043">
        <v>0</v>
      </c>
      <c r="AF2043">
        <v>0</v>
      </c>
      <c r="AG2043">
        <v>588.7850467289727</v>
      </c>
      <c r="AH2043" t="s">
        <v>58</v>
      </c>
      <c r="AK2043" t="s">
        <v>798</v>
      </c>
      <c r="AL2043">
        <v>52200688</v>
      </c>
      <c r="AM2043">
        <v>27016577</v>
      </c>
      <c r="AN2043" t="s">
        <v>733</v>
      </c>
      <c r="AO2043" t="s">
        <v>438</v>
      </c>
      <c r="AP2043" t="s">
        <v>431</v>
      </c>
      <c r="AQ2043" t="s">
        <v>230</v>
      </c>
      <c r="AR2043" t="s">
        <v>231</v>
      </c>
      <c r="AT2043" t="s">
        <v>52</v>
      </c>
      <c r="AU2043">
        <v>1500</v>
      </c>
      <c r="AW2043">
        <v>45322</v>
      </c>
      <c r="AX2043" t="s">
        <v>1013</v>
      </c>
      <c r="AY2043">
        <v>0</v>
      </c>
      <c r="AZ2043">
        <v>0</v>
      </c>
      <c r="BA2043">
        <v>0</v>
      </c>
      <c r="BB2043">
        <v>872.9134619834465</v>
      </c>
      <c r="BC2043">
        <v>30245.547149697191</v>
      </c>
      <c r="BD2043">
        <v>0</v>
      </c>
      <c r="BE2043">
        <v>0</v>
      </c>
      <c r="BF2043">
        <v>42758.191510447803</v>
      </c>
      <c r="BG2043">
        <v>0</v>
      </c>
      <c r="BH2043">
        <v>0</v>
      </c>
      <c r="BI2043">
        <v>73876.652122128435</v>
      </c>
      <c r="BJ2043">
        <v>0</v>
      </c>
      <c r="BK2043">
        <v>73876.652122128435</v>
      </c>
      <c r="BL2043" t="s">
        <v>242</v>
      </c>
      <c r="BM2043">
        <v>1</v>
      </c>
      <c r="BN2043">
        <v>1500</v>
      </c>
      <c r="BO2043">
        <v>0</v>
      </c>
      <c r="BP2043">
        <v>0</v>
      </c>
      <c r="BQ2043">
        <v>96.947609662468494</v>
      </c>
      <c r="BR2043" t="s">
        <v>72</v>
      </c>
    </row>
    <row r="2044" spans="1:70" x14ac:dyDescent="0.3">
      <c r="A2044" t="s">
        <v>798</v>
      </c>
      <c r="B2044">
        <v>4142300254</v>
      </c>
      <c r="C2044">
        <v>10153969</v>
      </c>
      <c r="D2044" t="s">
        <v>195</v>
      </c>
      <c r="E2044" t="s">
        <v>445</v>
      </c>
      <c r="F2044" t="s">
        <v>430</v>
      </c>
      <c r="G2044" t="s">
        <v>237</v>
      </c>
      <c r="H2044" t="s">
        <v>234</v>
      </c>
      <c r="J2044" t="s">
        <v>52</v>
      </c>
      <c r="K2044" s="15">
        <v>5000</v>
      </c>
      <c r="M2044">
        <v>45322</v>
      </c>
      <c r="N2044" t="s">
        <v>1013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57579.644859813096</v>
      </c>
      <c r="Y2044">
        <v>57579.644859813096</v>
      </c>
      <c r="Z2044">
        <v>4030.575140186917</v>
      </c>
      <c r="AA2044">
        <v>61610.220000000016</v>
      </c>
      <c r="AB2044" t="s">
        <v>242</v>
      </c>
      <c r="AC2044">
        <v>6</v>
      </c>
      <c r="AD2044">
        <v>30000</v>
      </c>
      <c r="AE2044">
        <v>0</v>
      </c>
      <c r="AF2044">
        <v>0</v>
      </c>
      <c r="AG2044">
        <v>1962.6168224299054</v>
      </c>
      <c r="AH2044" t="s">
        <v>58</v>
      </c>
      <c r="AK2044" t="s">
        <v>798</v>
      </c>
      <c r="AL2044">
        <v>52201277</v>
      </c>
      <c r="AM2044">
        <v>26285645</v>
      </c>
      <c r="AN2044" t="s">
        <v>153</v>
      </c>
      <c r="AO2044" t="s">
        <v>438</v>
      </c>
      <c r="AP2044" t="s">
        <v>431</v>
      </c>
      <c r="AQ2044" t="s">
        <v>82</v>
      </c>
      <c r="AR2044" t="s">
        <v>83</v>
      </c>
      <c r="AT2044" t="s">
        <v>52</v>
      </c>
      <c r="AU2044">
        <v>2000</v>
      </c>
      <c r="AW2044">
        <v>45322</v>
      </c>
      <c r="AX2044" t="s">
        <v>1013</v>
      </c>
      <c r="AY2044">
        <v>0</v>
      </c>
      <c r="AZ2044">
        <v>0</v>
      </c>
      <c r="BA2044">
        <v>0</v>
      </c>
      <c r="BB2044">
        <v>755.93970142548721</v>
      </c>
      <c r="BC2044">
        <v>27444.181993053178</v>
      </c>
      <c r="BD2044">
        <v>0</v>
      </c>
      <c r="BE2044">
        <v>0</v>
      </c>
      <c r="BF2044">
        <v>56278.303900452571</v>
      </c>
      <c r="BG2044">
        <v>0</v>
      </c>
      <c r="BH2044">
        <v>0</v>
      </c>
      <c r="BI2044">
        <v>84478.425594931236</v>
      </c>
      <c r="BJ2044">
        <v>5860.5740125454022</v>
      </c>
      <c r="BK2044">
        <v>90338.999607476639</v>
      </c>
      <c r="BL2044" t="s">
        <v>242</v>
      </c>
      <c r="BM2044">
        <v>8</v>
      </c>
      <c r="BN2044">
        <v>15000</v>
      </c>
      <c r="BO2044">
        <v>0</v>
      </c>
      <c r="BP2044">
        <v>0</v>
      </c>
      <c r="BQ2044">
        <v>972.47269074746191</v>
      </c>
      <c r="BR2044" t="s">
        <v>58</v>
      </c>
    </row>
    <row r="2045" spans="1:70" x14ac:dyDescent="0.3">
      <c r="A2045" t="s">
        <v>798</v>
      </c>
      <c r="B2045">
        <v>4142300416</v>
      </c>
      <c r="C2045">
        <v>10179898</v>
      </c>
      <c r="D2045" t="s">
        <v>198</v>
      </c>
      <c r="E2045" t="s">
        <v>445</v>
      </c>
      <c r="F2045" t="s">
        <v>430</v>
      </c>
      <c r="G2045" t="s">
        <v>230</v>
      </c>
      <c r="H2045" t="s">
        <v>234</v>
      </c>
      <c r="J2045" t="s">
        <v>52</v>
      </c>
      <c r="K2045" s="15">
        <v>3200</v>
      </c>
      <c r="M2045">
        <v>45322</v>
      </c>
      <c r="N2045" t="s">
        <v>1013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303137.37383177568</v>
      </c>
      <c r="Y2045">
        <v>303137.37383177568</v>
      </c>
      <c r="Z2045">
        <v>21219.6161682243</v>
      </c>
      <c r="AA2045">
        <v>324356.99</v>
      </c>
      <c r="AB2045" t="s">
        <v>242</v>
      </c>
      <c r="AC2045">
        <v>13</v>
      </c>
      <c r="AD2045">
        <v>52400</v>
      </c>
      <c r="AE2045">
        <v>0</v>
      </c>
      <c r="AF2045">
        <v>0</v>
      </c>
      <c r="AG2045">
        <v>3428.0373831775696</v>
      </c>
      <c r="AH2045" t="s">
        <v>58</v>
      </c>
      <c r="AK2045" t="s">
        <v>798</v>
      </c>
      <c r="AL2045">
        <v>52201828</v>
      </c>
      <c r="AM2045">
        <v>25536725</v>
      </c>
      <c r="AN2045" t="s">
        <v>166</v>
      </c>
      <c r="AO2045" t="s">
        <v>438</v>
      </c>
      <c r="AP2045" t="s">
        <v>431</v>
      </c>
      <c r="AQ2045" t="s">
        <v>82</v>
      </c>
      <c r="AR2045" t="s">
        <v>83</v>
      </c>
      <c r="AT2045" t="s">
        <v>52</v>
      </c>
      <c r="AU2045">
        <v>2500</v>
      </c>
      <c r="AW2045">
        <v>45322</v>
      </c>
      <c r="AX2045" t="s">
        <v>1013</v>
      </c>
      <c r="AY2045">
        <v>0</v>
      </c>
      <c r="AZ2045">
        <v>0</v>
      </c>
      <c r="BA2045">
        <v>0</v>
      </c>
      <c r="BB2045">
        <v>781.32537325798023</v>
      </c>
      <c r="BC2045">
        <v>11170.59516601116</v>
      </c>
      <c r="BD2045">
        <v>0</v>
      </c>
      <c r="BE2045">
        <v>0</v>
      </c>
      <c r="BF2045">
        <v>46273.024665951423</v>
      </c>
      <c r="BG2045">
        <v>0</v>
      </c>
      <c r="BH2045">
        <v>0</v>
      </c>
      <c r="BI2045">
        <v>58224.94520522056</v>
      </c>
      <c r="BJ2045">
        <v>4021.0533882373811</v>
      </c>
      <c r="BK2045">
        <v>62245.998593457938</v>
      </c>
      <c r="BL2045" t="s">
        <v>242</v>
      </c>
      <c r="BM2045">
        <v>12</v>
      </c>
      <c r="BN2045">
        <v>19000</v>
      </c>
      <c r="BO2045">
        <v>0</v>
      </c>
      <c r="BP2045">
        <v>0</v>
      </c>
      <c r="BQ2045">
        <v>1226.1334356336995</v>
      </c>
      <c r="BR2045" t="s">
        <v>58</v>
      </c>
    </row>
    <row r="2046" spans="1:70" x14ac:dyDescent="0.3">
      <c r="A2046" t="s">
        <v>798</v>
      </c>
      <c r="B2046">
        <v>4142300425</v>
      </c>
      <c r="C2046">
        <v>10188307</v>
      </c>
      <c r="D2046" t="s">
        <v>199</v>
      </c>
      <c r="E2046" t="s">
        <v>445</v>
      </c>
      <c r="F2046" t="s">
        <v>430</v>
      </c>
      <c r="G2046" t="s">
        <v>230</v>
      </c>
      <c r="H2046" t="s">
        <v>234</v>
      </c>
      <c r="J2046" t="s">
        <v>52</v>
      </c>
      <c r="K2046" s="15">
        <v>10000</v>
      </c>
      <c r="M2046">
        <v>45322</v>
      </c>
      <c r="N2046" t="s">
        <v>1013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261314.04672897205</v>
      </c>
      <c r="Y2046">
        <v>261314.04672897205</v>
      </c>
      <c r="Z2046">
        <v>18291.983271028046</v>
      </c>
      <c r="AA2046">
        <v>279606.03000000009</v>
      </c>
      <c r="AB2046" t="s">
        <v>242</v>
      </c>
      <c r="AC2046">
        <v>4</v>
      </c>
      <c r="AD2046">
        <v>61000</v>
      </c>
      <c r="AE2046">
        <v>0</v>
      </c>
      <c r="AF2046">
        <v>0</v>
      </c>
      <c r="AG2046">
        <v>3990.6542056074759</v>
      </c>
      <c r="AH2046" t="s">
        <v>58</v>
      </c>
      <c r="AK2046" t="s">
        <v>798</v>
      </c>
      <c r="AL2046">
        <v>52201928</v>
      </c>
      <c r="AM2046">
        <v>28868846</v>
      </c>
      <c r="AN2046" t="s">
        <v>169</v>
      </c>
      <c r="AO2046" t="s">
        <v>438</v>
      </c>
      <c r="AP2046" t="s">
        <v>431</v>
      </c>
      <c r="AQ2046" t="s">
        <v>82</v>
      </c>
      <c r="AR2046" t="s">
        <v>83</v>
      </c>
      <c r="AT2046" t="s">
        <v>52</v>
      </c>
      <c r="AU2046">
        <v>3000</v>
      </c>
      <c r="AW2046">
        <v>45322</v>
      </c>
      <c r="AX2046" t="s">
        <v>1013</v>
      </c>
      <c r="AY2046">
        <v>0</v>
      </c>
      <c r="AZ2046">
        <v>0</v>
      </c>
      <c r="BA2046">
        <v>0</v>
      </c>
      <c r="BB2046">
        <v>779.9194355187949</v>
      </c>
      <c r="BC2046">
        <v>0</v>
      </c>
      <c r="BD2046">
        <v>0</v>
      </c>
      <c r="BE2046">
        <v>0</v>
      </c>
      <c r="BF2046">
        <v>48101.009897803211</v>
      </c>
      <c r="BG2046">
        <v>0</v>
      </c>
      <c r="BH2046">
        <v>0</v>
      </c>
      <c r="BI2046">
        <v>48880.929333322005</v>
      </c>
      <c r="BJ2046">
        <v>3367.070692846225</v>
      </c>
      <c r="BK2046">
        <v>52248.000026168229</v>
      </c>
      <c r="BL2046" t="s">
        <v>242</v>
      </c>
      <c r="BM2046">
        <v>3</v>
      </c>
      <c r="BN2046">
        <v>16000</v>
      </c>
      <c r="BO2046">
        <v>0</v>
      </c>
      <c r="BP2046">
        <v>0</v>
      </c>
      <c r="BQ2046">
        <v>1029.7797761554357</v>
      </c>
      <c r="BR2046" t="s">
        <v>58</v>
      </c>
    </row>
    <row r="2047" spans="1:70" x14ac:dyDescent="0.3">
      <c r="A2047" t="s">
        <v>798</v>
      </c>
      <c r="B2047">
        <v>4142300444</v>
      </c>
      <c r="C2047">
        <v>10190125</v>
      </c>
      <c r="D2047" t="s">
        <v>563</v>
      </c>
      <c r="E2047" t="s">
        <v>445</v>
      </c>
      <c r="F2047" t="s">
        <v>430</v>
      </c>
      <c r="G2047" t="s">
        <v>230</v>
      </c>
      <c r="H2047" t="s">
        <v>234</v>
      </c>
      <c r="J2047" t="s">
        <v>52</v>
      </c>
      <c r="K2047" s="15">
        <v>100000</v>
      </c>
      <c r="M2047">
        <v>45322</v>
      </c>
      <c r="N2047" t="s">
        <v>1036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 t="s">
        <v>242</v>
      </c>
      <c r="AC2047">
        <v>6</v>
      </c>
      <c r="AD2047">
        <v>502000</v>
      </c>
      <c r="AE2047">
        <v>0</v>
      </c>
      <c r="AF2047">
        <v>0</v>
      </c>
      <c r="AG2047">
        <v>26299.065420560746</v>
      </c>
      <c r="AH2047" t="s">
        <v>58</v>
      </c>
      <c r="AK2047" t="s">
        <v>798</v>
      </c>
      <c r="AL2047">
        <v>62200005</v>
      </c>
      <c r="AM2047">
        <v>19887124</v>
      </c>
      <c r="AN2047" t="s">
        <v>77</v>
      </c>
      <c r="AO2047" t="s">
        <v>435</v>
      </c>
      <c r="AP2047" t="s">
        <v>432</v>
      </c>
      <c r="AQ2047" t="s">
        <v>82</v>
      </c>
      <c r="AR2047" t="s">
        <v>82</v>
      </c>
      <c r="AT2047" t="s">
        <v>52</v>
      </c>
      <c r="AU2047">
        <v>1800</v>
      </c>
      <c r="AW2047">
        <v>45322</v>
      </c>
      <c r="AX2047" t="s">
        <v>1013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55423.626182929671</v>
      </c>
      <c r="BG2047">
        <v>0</v>
      </c>
      <c r="BH2047">
        <v>0</v>
      </c>
      <c r="BI2047">
        <v>55423.626182929671</v>
      </c>
      <c r="BJ2047">
        <v>0</v>
      </c>
      <c r="BK2047">
        <v>55423.626182929671</v>
      </c>
      <c r="BL2047" t="s">
        <v>242</v>
      </c>
      <c r="BM2047">
        <v>17</v>
      </c>
      <c r="BN2047">
        <v>30600</v>
      </c>
      <c r="BO2047">
        <v>0</v>
      </c>
      <c r="BP2047">
        <v>0</v>
      </c>
      <c r="BQ2047">
        <v>0</v>
      </c>
      <c r="BR2047" t="s">
        <v>58</v>
      </c>
    </row>
    <row r="2048" spans="1:70" x14ac:dyDescent="0.3">
      <c r="A2048" t="s">
        <v>798</v>
      </c>
      <c r="B2048">
        <v>4142300513</v>
      </c>
      <c r="C2048">
        <v>10222706</v>
      </c>
      <c r="D2048" t="s">
        <v>200</v>
      </c>
      <c r="E2048" t="s">
        <v>445</v>
      </c>
      <c r="F2048" t="s">
        <v>430</v>
      </c>
      <c r="G2048" t="s">
        <v>230</v>
      </c>
      <c r="H2048" t="s">
        <v>234</v>
      </c>
      <c r="J2048" t="s">
        <v>52</v>
      </c>
      <c r="K2048" s="15">
        <v>10000</v>
      </c>
      <c r="M2048">
        <v>45322</v>
      </c>
      <c r="N2048" t="s">
        <v>1013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374827.44859813084</v>
      </c>
      <c r="Y2048">
        <v>374827.44859813084</v>
      </c>
      <c r="Z2048">
        <v>26237.92140186916</v>
      </c>
      <c r="AA2048">
        <v>401065.37</v>
      </c>
      <c r="AB2048" t="s">
        <v>242</v>
      </c>
      <c r="AC2048">
        <v>4</v>
      </c>
      <c r="AD2048">
        <v>55000</v>
      </c>
      <c r="AE2048">
        <v>0</v>
      </c>
      <c r="AF2048">
        <v>0</v>
      </c>
      <c r="AG2048">
        <v>3598.1308411214959</v>
      </c>
      <c r="AH2048" t="s">
        <v>58</v>
      </c>
      <c r="AK2048" t="s">
        <v>798</v>
      </c>
      <c r="AL2048">
        <v>62200006</v>
      </c>
      <c r="AM2048">
        <v>19887213</v>
      </c>
      <c r="AN2048" t="s">
        <v>77</v>
      </c>
      <c r="AO2048" t="s">
        <v>435</v>
      </c>
      <c r="AP2048" t="s">
        <v>432</v>
      </c>
      <c r="AQ2048" t="s">
        <v>82</v>
      </c>
      <c r="AR2048" t="s">
        <v>82</v>
      </c>
      <c r="AT2048" t="s">
        <v>52</v>
      </c>
      <c r="AU2048">
        <v>900</v>
      </c>
      <c r="AW2048">
        <v>45322</v>
      </c>
      <c r="AX2048" t="s">
        <v>1013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16395.406380183904</v>
      </c>
      <c r="BG2048">
        <v>0</v>
      </c>
      <c r="BH2048">
        <v>0</v>
      </c>
      <c r="BI2048">
        <v>16395.406380183904</v>
      </c>
      <c r="BJ2048">
        <v>0</v>
      </c>
      <c r="BK2048">
        <v>16395.406380183904</v>
      </c>
      <c r="BL2048" t="s">
        <v>242</v>
      </c>
      <c r="BM2048">
        <v>17</v>
      </c>
      <c r="BN2048">
        <v>29700</v>
      </c>
      <c r="BO2048">
        <v>0</v>
      </c>
      <c r="BP2048">
        <v>0</v>
      </c>
      <c r="BQ2048">
        <v>0</v>
      </c>
      <c r="BR2048" t="s">
        <v>58</v>
      </c>
    </row>
    <row r="2049" spans="1:70" x14ac:dyDescent="0.3">
      <c r="A2049" t="s">
        <v>798</v>
      </c>
      <c r="B2049">
        <v>4142300599</v>
      </c>
      <c r="C2049">
        <v>10259999</v>
      </c>
      <c r="D2049" t="s">
        <v>201</v>
      </c>
      <c r="E2049" t="s">
        <v>445</v>
      </c>
      <c r="F2049" t="s">
        <v>430</v>
      </c>
      <c r="G2049" t="s">
        <v>230</v>
      </c>
      <c r="H2049" t="s">
        <v>234</v>
      </c>
      <c r="J2049" t="s">
        <v>52</v>
      </c>
      <c r="K2049" s="15">
        <v>1000</v>
      </c>
      <c r="M2049">
        <v>45322</v>
      </c>
      <c r="N2049" t="s">
        <v>1013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246112.14953271032</v>
      </c>
      <c r="Y2049">
        <v>246112.14953271032</v>
      </c>
      <c r="Z2049">
        <v>17227.850467289725</v>
      </c>
      <c r="AA2049">
        <v>263340.00000000006</v>
      </c>
      <c r="AB2049" t="s">
        <v>242</v>
      </c>
      <c r="AC2049">
        <v>3</v>
      </c>
      <c r="AD2049">
        <v>21000</v>
      </c>
      <c r="AE2049">
        <v>0</v>
      </c>
      <c r="AF2049">
        <v>0</v>
      </c>
      <c r="AG2049">
        <v>1373.8317757009338</v>
      </c>
      <c r="AH2049" t="s">
        <v>58</v>
      </c>
      <c r="AK2049" t="s">
        <v>798</v>
      </c>
      <c r="AL2049">
        <v>62200080</v>
      </c>
      <c r="AM2049">
        <v>22425262</v>
      </c>
      <c r="AN2049" t="s">
        <v>80</v>
      </c>
      <c r="AO2049" t="s">
        <v>435</v>
      </c>
      <c r="AP2049" t="s">
        <v>432</v>
      </c>
      <c r="AQ2049" t="s">
        <v>82</v>
      </c>
      <c r="AR2049" t="s">
        <v>82</v>
      </c>
      <c r="AT2049" t="s">
        <v>52</v>
      </c>
      <c r="AU2049">
        <v>500</v>
      </c>
      <c r="AW2049">
        <v>45322</v>
      </c>
      <c r="AX2049" t="s">
        <v>1013</v>
      </c>
      <c r="AY2049">
        <v>0</v>
      </c>
      <c r="AZ2049">
        <v>0</v>
      </c>
      <c r="BA2049">
        <v>0</v>
      </c>
      <c r="BB2049">
        <v>0</v>
      </c>
      <c r="BC2049">
        <v>7239.2191780821922</v>
      </c>
      <c r="BD2049">
        <v>0</v>
      </c>
      <c r="BE2049">
        <v>0</v>
      </c>
      <c r="BF2049">
        <v>30000</v>
      </c>
      <c r="BG2049">
        <v>0</v>
      </c>
      <c r="BH2049">
        <v>0</v>
      </c>
      <c r="BI2049">
        <v>37239.219178082189</v>
      </c>
      <c r="BJ2049">
        <v>0</v>
      </c>
      <c r="BK2049">
        <v>37239.219178082189</v>
      </c>
      <c r="BL2049" t="s">
        <v>242</v>
      </c>
      <c r="BM2049">
        <v>13</v>
      </c>
      <c r="BN2049">
        <v>6500</v>
      </c>
      <c r="BO2049">
        <v>0</v>
      </c>
      <c r="BP2049">
        <v>0</v>
      </c>
      <c r="BQ2049">
        <v>0</v>
      </c>
      <c r="BR2049" t="s">
        <v>58</v>
      </c>
    </row>
    <row r="2050" spans="1:70" x14ac:dyDescent="0.3">
      <c r="A2050" t="s">
        <v>798</v>
      </c>
      <c r="B2050">
        <v>4142300897</v>
      </c>
      <c r="C2050">
        <v>10425033</v>
      </c>
      <c r="D2050" t="s">
        <v>212</v>
      </c>
      <c r="E2050" t="s">
        <v>445</v>
      </c>
      <c r="F2050" t="s">
        <v>430</v>
      </c>
      <c r="G2050" t="s">
        <v>237</v>
      </c>
      <c r="H2050" t="s">
        <v>234</v>
      </c>
      <c r="J2050" t="s">
        <v>52</v>
      </c>
      <c r="K2050" s="15">
        <v>2000</v>
      </c>
      <c r="M2050">
        <v>45322</v>
      </c>
      <c r="N2050" t="s">
        <v>1013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233516.6728971962</v>
      </c>
      <c r="Y2050">
        <v>233516.6728971962</v>
      </c>
      <c r="Z2050">
        <v>16346.167102803736</v>
      </c>
      <c r="AA2050">
        <v>249862.83999999994</v>
      </c>
      <c r="AB2050" t="s">
        <v>242</v>
      </c>
      <c r="AC2050">
        <v>6</v>
      </c>
      <c r="AD2050">
        <v>12000</v>
      </c>
      <c r="AE2050">
        <v>0</v>
      </c>
      <c r="AF2050">
        <v>0</v>
      </c>
      <c r="AG2050">
        <v>785.04672897196269</v>
      </c>
      <c r="AH2050" t="s">
        <v>58</v>
      </c>
      <c r="AK2050" t="s">
        <v>798</v>
      </c>
      <c r="AL2050">
        <v>4132300824</v>
      </c>
      <c r="AM2050">
        <v>9070041828</v>
      </c>
      <c r="AN2050" t="s">
        <v>177</v>
      </c>
      <c r="AO2050" t="s">
        <v>441</v>
      </c>
      <c r="AP2050" t="s">
        <v>430</v>
      </c>
      <c r="AQ2050" t="s">
        <v>233</v>
      </c>
      <c r="AR2050" t="s">
        <v>231</v>
      </c>
      <c r="AT2050" t="s">
        <v>52</v>
      </c>
      <c r="AU2050">
        <v>1000</v>
      </c>
      <c r="AW2050">
        <v>45322</v>
      </c>
      <c r="AX2050" t="s">
        <v>1013</v>
      </c>
      <c r="AY2050">
        <v>0</v>
      </c>
      <c r="AZ2050">
        <v>2755.3085410437893</v>
      </c>
      <c r="BA2050">
        <v>0</v>
      </c>
      <c r="BB2050">
        <v>0</v>
      </c>
      <c r="BC2050">
        <v>10431.390410958904</v>
      </c>
      <c r="BD2050">
        <v>16303.449961641318</v>
      </c>
      <c r="BE2050">
        <v>0</v>
      </c>
      <c r="BF2050">
        <v>0</v>
      </c>
      <c r="BG2050">
        <v>0</v>
      </c>
      <c r="BH2050">
        <v>0</v>
      </c>
      <c r="BI2050">
        <v>29490.14891364401</v>
      </c>
      <c r="BJ2050">
        <v>1141.2414973148923</v>
      </c>
      <c r="BK2050">
        <v>30631.390410958902</v>
      </c>
      <c r="BL2050" t="s">
        <v>242</v>
      </c>
      <c r="BM2050">
        <v>3</v>
      </c>
      <c r="BN2050">
        <v>3000</v>
      </c>
      <c r="BO2050">
        <v>0</v>
      </c>
      <c r="BP2050">
        <v>0</v>
      </c>
      <c r="BQ2050">
        <v>108.29121296548158</v>
      </c>
      <c r="BR2050" t="s">
        <v>58</v>
      </c>
    </row>
    <row r="2051" spans="1:70" x14ac:dyDescent="0.3">
      <c r="A2051" t="s">
        <v>798</v>
      </c>
      <c r="B2051">
        <v>4142300939</v>
      </c>
      <c r="C2051">
        <v>10449473</v>
      </c>
      <c r="D2051" t="s">
        <v>214</v>
      </c>
      <c r="E2051" t="s">
        <v>445</v>
      </c>
      <c r="F2051" t="s">
        <v>430</v>
      </c>
      <c r="G2051" t="s">
        <v>230</v>
      </c>
      <c r="H2051" t="s">
        <v>234</v>
      </c>
      <c r="J2051" t="s">
        <v>52</v>
      </c>
      <c r="K2051" s="15">
        <v>1000</v>
      </c>
      <c r="M2051">
        <v>45322</v>
      </c>
      <c r="N2051" t="s">
        <v>1013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332619.63551401871</v>
      </c>
      <c r="Y2051">
        <v>332619.63551401871</v>
      </c>
      <c r="Z2051">
        <v>23283.374485981312</v>
      </c>
      <c r="AA2051">
        <v>355903.01</v>
      </c>
      <c r="AB2051" t="s">
        <v>242</v>
      </c>
      <c r="AC2051">
        <v>5</v>
      </c>
      <c r="AD2051">
        <v>4000</v>
      </c>
      <c r="AE2051">
        <v>0</v>
      </c>
      <c r="AF2051">
        <v>0</v>
      </c>
      <c r="AG2051">
        <v>261.68224299065423</v>
      </c>
      <c r="AH2051" t="s">
        <v>58</v>
      </c>
      <c r="AK2051" t="s">
        <v>798</v>
      </c>
      <c r="AL2051">
        <v>4142300008</v>
      </c>
      <c r="AM2051">
        <v>132635</v>
      </c>
      <c r="AN2051" t="s">
        <v>975</v>
      </c>
      <c r="AO2051" t="s">
        <v>444</v>
      </c>
      <c r="AP2051" t="s">
        <v>430</v>
      </c>
      <c r="AQ2051" t="s">
        <v>237</v>
      </c>
      <c r="AR2051" t="s">
        <v>231</v>
      </c>
      <c r="AT2051" t="s">
        <v>52</v>
      </c>
      <c r="AU2051">
        <v>12000</v>
      </c>
      <c r="AW2051">
        <v>45322</v>
      </c>
      <c r="AX2051" t="s">
        <v>1013</v>
      </c>
      <c r="AY2051">
        <v>0</v>
      </c>
      <c r="AZ2051">
        <v>32166.88649259153</v>
      </c>
      <c r="BA2051">
        <v>0</v>
      </c>
      <c r="BB2051">
        <v>0</v>
      </c>
      <c r="BC2051">
        <v>0</v>
      </c>
      <c r="BD2051">
        <v>5223.4705676714711</v>
      </c>
      <c r="BE2051">
        <v>39953.271028037387</v>
      </c>
      <c r="BF2051">
        <v>0</v>
      </c>
      <c r="BG2051">
        <v>0</v>
      </c>
      <c r="BH2051">
        <v>0</v>
      </c>
      <c r="BI2051">
        <v>77343.628088300378</v>
      </c>
      <c r="BJ2051">
        <v>3162.3719116996203</v>
      </c>
      <c r="BK2051">
        <v>80506</v>
      </c>
      <c r="BL2051" t="s">
        <v>242</v>
      </c>
      <c r="BM2051">
        <v>7</v>
      </c>
      <c r="BN2051">
        <v>68000</v>
      </c>
      <c r="BO2051">
        <v>0</v>
      </c>
      <c r="BP2051">
        <v>0</v>
      </c>
      <c r="BQ2051">
        <v>2568.4692097957077</v>
      </c>
      <c r="BR2051" t="s">
        <v>58</v>
      </c>
    </row>
    <row r="2052" spans="1:70" x14ac:dyDescent="0.3">
      <c r="A2052" t="s">
        <v>798</v>
      </c>
      <c r="B2052">
        <v>4302300023</v>
      </c>
      <c r="C2052">
        <v>901021032288</v>
      </c>
      <c r="D2052" t="s">
        <v>225</v>
      </c>
      <c r="E2052" t="s">
        <v>447</v>
      </c>
      <c r="F2052" t="s">
        <v>433</v>
      </c>
      <c r="G2052" t="s">
        <v>82</v>
      </c>
      <c r="H2052" t="s">
        <v>83</v>
      </c>
      <c r="J2052" t="s">
        <v>52</v>
      </c>
      <c r="K2052" s="15">
        <v>10000</v>
      </c>
      <c r="M2052">
        <v>45322</v>
      </c>
      <c r="N2052" t="s">
        <v>1013</v>
      </c>
      <c r="O2052">
        <v>0</v>
      </c>
      <c r="P2052">
        <v>0</v>
      </c>
      <c r="Q2052">
        <v>89435.407795773746</v>
      </c>
      <c r="R2052">
        <v>3436.24</v>
      </c>
      <c r="S2052">
        <v>19402.302433856334</v>
      </c>
      <c r="T2052">
        <v>0</v>
      </c>
      <c r="U2052">
        <v>0</v>
      </c>
      <c r="V2052">
        <v>1172874.5</v>
      </c>
      <c r="W2052">
        <v>0</v>
      </c>
      <c r="X2052">
        <v>0</v>
      </c>
      <c r="Y2052">
        <v>1285148.4502296301</v>
      </c>
      <c r="Z2052">
        <v>83459.376170369942</v>
      </c>
      <c r="AA2052">
        <v>1368607.8264000001</v>
      </c>
      <c r="AB2052" t="s">
        <v>242</v>
      </c>
      <c r="AC2052">
        <v>6</v>
      </c>
      <c r="AD2052">
        <v>83000</v>
      </c>
      <c r="AE2052">
        <v>0</v>
      </c>
      <c r="AF2052">
        <v>0</v>
      </c>
      <c r="AG2052">
        <v>5036.5502296300574</v>
      </c>
      <c r="AH2052" t="s">
        <v>58</v>
      </c>
      <c r="AK2052" t="s">
        <v>798</v>
      </c>
      <c r="AL2052">
        <v>4142300201</v>
      </c>
      <c r="AM2052">
        <v>10077114</v>
      </c>
      <c r="AN2052" t="s">
        <v>193</v>
      </c>
      <c r="AO2052" t="s">
        <v>445</v>
      </c>
      <c r="AP2052" t="s">
        <v>430</v>
      </c>
      <c r="AQ2052" t="s">
        <v>237</v>
      </c>
      <c r="AR2052" t="s">
        <v>234</v>
      </c>
      <c r="AT2052" t="s">
        <v>52</v>
      </c>
      <c r="AU2052">
        <v>3000</v>
      </c>
      <c r="AW2052">
        <v>45322</v>
      </c>
      <c r="AX2052" t="s">
        <v>1013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36653.90654205608</v>
      </c>
      <c r="BI2052">
        <v>36653.90654205608</v>
      </c>
      <c r="BJ2052">
        <v>2565.7734579439257</v>
      </c>
      <c r="BK2052">
        <v>39219.680000000008</v>
      </c>
      <c r="BL2052" t="s">
        <v>242</v>
      </c>
      <c r="BM2052">
        <v>3</v>
      </c>
      <c r="BN2052">
        <v>9000</v>
      </c>
      <c r="BO2052">
        <v>0</v>
      </c>
      <c r="BP2052">
        <v>0</v>
      </c>
      <c r="BQ2052">
        <v>588.7850467289727</v>
      </c>
      <c r="BR2052" t="s">
        <v>58</v>
      </c>
    </row>
    <row r="2053" spans="1:70" x14ac:dyDescent="0.3">
      <c r="A2053" t="s">
        <v>798</v>
      </c>
      <c r="B2053">
        <v>4312300002</v>
      </c>
      <c r="C2053" t="s">
        <v>59</v>
      </c>
      <c r="D2053" t="s">
        <v>976</v>
      </c>
      <c r="E2053" t="s">
        <v>448</v>
      </c>
      <c r="F2053" t="s">
        <v>433</v>
      </c>
      <c r="G2053" t="s">
        <v>82</v>
      </c>
      <c r="H2053" t="s">
        <v>71</v>
      </c>
      <c r="J2053" t="s">
        <v>52</v>
      </c>
      <c r="K2053" s="15">
        <v>20000</v>
      </c>
      <c r="M2053">
        <v>45322</v>
      </c>
      <c r="N2053" t="s">
        <v>1013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699426.55140186928</v>
      </c>
      <c r="Y2053">
        <v>699426.55140186928</v>
      </c>
      <c r="Z2053">
        <v>48959.858598130857</v>
      </c>
      <c r="AA2053">
        <v>748386.41000000015</v>
      </c>
      <c r="AB2053" t="s">
        <v>242</v>
      </c>
      <c r="AC2053">
        <v>3</v>
      </c>
      <c r="AD2053">
        <v>60000</v>
      </c>
      <c r="AE2053">
        <v>0</v>
      </c>
      <c r="AF2053">
        <v>0</v>
      </c>
      <c r="AG2053">
        <v>3925.2336448598107</v>
      </c>
      <c r="AH2053" t="s">
        <v>58</v>
      </c>
      <c r="AK2053" t="s">
        <v>798</v>
      </c>
      <c r="AL2053">
        <v>4142300254</v>
      </c>
      <c r="AM2053">
        <v>10153969</v>
      </c>
      <c r="AN2053" t="s">
        <v>195</v>
      </c>
      <c r="AO2053" t="s">
        <v>445</v>
      </c>
      <c r="AP2053" t="s">
        <v>430</v>
      </c>
      <c r="AQ2053" t="s">
        <v>237</v>
      </c>
      <c r="AR2053" t="s">
        <v>234</v>
      </c>
      <c r="AT2053" t="s">
        <v>52</v>
      </c>
      <c r="AU2053">
        <v>5000</v>
      </c>
      <c r="AW2053">
        <v>45322</v>
      </c>
      <c r="AX2053" t="s">
        <v>1013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57579.644859813096</v>
      </c>
      <c r="BI2053">
        <v>57579.644859813096</v>
      </c>
      <c r="BJ2053">
        <v>4030.575140186917</v>
      </c>
      <c r="BK2053">
        <v>61610.220000000016</v>
      </c>
      <c r="BL2053" t="s">
        <v>242</v>
      </c>
      <c r="BM2053">
        <v>6</v>
      </c>
      <c r="BN2053">
        <v>30000</v>
      </c>
      <c r="BO2053">
        <v>0</v>
      </c>
      <c r="BP2053">
        <v>0</v>
      </c>
      <c r="BQ2053">
        <v>1962.6168224299054</v>
      </c>
      <c r="BR2053" t="s">
        <v>58</v>
      </c>
    </row>
    <row r="2054" spans="1:70" x14ac:dyDescent="0.3">
      <c r="A2054" t="s">
        <v>798</v>
      </c>
      <c r="B2054">
        <v>4312300010</v>
      </c>
      <c r="C2054" t="s">
        <v>517</v>
      </c>
      <c r="D2054" t="s">
        <v>956</v>
      </c>
      <c r="E2054" t="s">
        <v>448</v>
      </c>
      <c r="F2054" t="s">
        <v>433</v>
      </c>
      <c r="G2054" t="s">
        <v>82</v>
      </c>
      <c r="H2054" t="s">
        <v>71</v>
      </c>
      <c r="J2054" t="s">
        <v>52</v>
      </c>
      <c r="K2054" s="15">
        <v>120000</v>
      </c>
      <c r="M2054">
        <v>45322</v>
      </c>
      <c r="N2054" t="s">
        <v>1018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 t="s">
        <v>242</v>
      </c>
      <c r="AC2054">
        <v>4</v>
      </c>
      <c r="AD2054">
        <v>364973.8</v>
      </c>
      <c r="AE2054">
        <v>0</v>
      </c>
      <c r="AF2054">
        <v>0</v>
      </c>
      <c r="AG2054">
        <v>16026.323364485983</v>
      </c>
      <c r="AH2054" t="s">
        <v>58</v>
      </c>
      <c r="AK2054" t="s">
        <v>798</v>
      </c>
      <c r="AL2054">
        <v>4312300010</v>
      </c>
      <c r="AM2054" t="s">
        <v>517</v>
      </c>
      <c r="AN2054" t="s">
        <v>956</v>
      </c>
      <c r="AO2054" t="s">
        <v>448</v>
      </c>
      <c r="AP2054" t="s">
        <v>433</v>
      </c>
      <c r="AQ2054" t="s">
        <v>417</v>
      </c>
      <c r="AR2054" t="s">
        <v>71</v>
      </c>
      <c r="AT2054" t="s">
        <v>52</v>
      </c>
      <c r="AU2054">
        <v>120000</v>
      </c>
      <c r="AW2054">
        <v>45322</v>
      </c>
      <c r="AX2054" t="s">
        <v>1018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 t="s">
        <v>242</v>
      </c>
      <c r="BM2054">
        <v>3</v>
      </c>
      <c r="BN2054">
        <v>244973.8</v>
      </c>
      <c r="BO2054">
        <v>0</v>
      </c>
      <c r="BP2054">
        <v>0</v>
      </c>
      <c r="BQ2054">
        <v>16026.323364485983</v>
      </c>
      <c r="BR2054" t="s">
        <v>58</v>
      </c>
    </row>
    <row r="2055" spans="1:70" x14ac:dyDescent="0.3">
      <c r="A2055" t="s">
        <v>798</v>
      </c>
      <c r="B2055">
        <v>4312300012</v>
      </c>
      <c r="C2055" t="s">
        <v>61</v>
      </c>
      <c r="D2055" t="s">
        <v>963</v>
      </c>
      <c r="E2055" t="s">
        <v>448</v>
      </c>
      <c r="F2055" t="s">
        <v>433</v>
      </c>
      <c r="G2055" t="s">
        <v>82</v>
      </c>
      <c r="H2055" t="s">
        <v>71</v>
      </c>
      <c r="J2055" t="s">
        <v>52</v>
      </c>
      <c r="K2055" s="15">
        <v>15000</v>
      </c>
      <c r="M2055">
        <v>45322</v>
      </c>
      <c r="N2055" t="s">
        <v>1013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1870939.5140186916</v>
      </c>
      <c r="Y2055">
        <v>1870939.5140186916</v>
      </c>
      <c r="Z2055">
        <v>130965.76598130843</v>
      </c>
      <c r="AA2055">
        <v>2001905.28</v>
      </c>
      <c r="AB2055" t="s">
        <v>242</v>
      </c>
      <c r="AC2055">
        <v>8</v>
      </c>
      <c r="AD2055">
        <v>110165</v>
      </c>
      <c r="AE2055">
        <v>0</v>
      </c>
      <c r="AF2055">
        <v>0</v>
      </c>
      <c r="AG2055">
        <v>7207.0560747663567</v>
      </c>
      <c r="AH2055" t="s">
        <v>58</v>
      </c>
      <c r="AK2055" t="s">
        <v>798</v>
      </c>
      <c r="AL2055">
        <v>82200036</v>
      </c>
      <c r="AM2055">
        <v>901017006332</v>
      </c>
      <c r="AN2055" t="s">
        <v>974</v>
      </c>
      <c r="AO2055" t="s">
        <v>440</v>
      </c>
      <c r="AP2055" t="s">
        <v>433</v>
      </c>
      <c r="AQ2055" t="s">
        <v>230</v>
      </c>
      <c r="AR2055" t="s">
        <v>231</v>
      </c>
      <c r="AT2055" t="s">
        <v>672</v>
      </c>
      <c r="AW2055">
        <v>45322</v>
      </c>
      <c r="AX2055" t="s">
        <v>1024</v>
      </c>
      <c r="AY2055">
        <v>3000</v>
      </c>
      <c r="AZ2055">
        <v>0</v>
      </c>
      <c r="BA2055">
        <v>0</v>
      </c>
      <c r="BB2055">
        <v>0</v>
      </c>
      <c r="BC2055">
        <v>0</v>
      </c>
      <c r="BD2055">
        <v>111214.95327102803</v>
      </c>
      <c r="BE2055">
        <v>0</v>
      </c>
      <c r="BF2055">
        <v>0</v>
      </c>
      <c r="BG2055">
        <v>355140.18691588787</v>
      </c>
      <c r="BH2055">
        <v>0</v>
      </c>
      <c r="BI2055">
        <v>469355.14018691587</v>
      </c>
      <c r="BJ2055">
        <v>32644.859813084113</v>
      </c>
      <c r="BK2055">
        <v>502000</v>
      </c>
      <c r="BL2055" t="s">
        <v>242</v>
      </c>
      <c r="BM2055">
        <v>3</v>
      </c>
      <c r="BN2055">
        <v>51000</v>
      </c>
      <c r="BO2055">
        <v>0</v>
      </c>
      <c r="BP2055">
        <v>0</v>
      </c>
      <c r="BQ2055">
        <v>3011.6976716775098</v>
      </c>
      <c r="BR2055" t="s">
        <v>58</v>
      </c>
    </row>
    <row r="2056" spans="1:70" x14ac:dyDescent="0.3">
      <c r="A2056" t="s">
        <v>798</v>
      </c>
      <c r="B2056">
        <v>22200010</v>
      </c>
      <c r="C2056">
        <v>18928437</v>
      </c>
      <c r="D2056" t="s">
        <v>85</v>
      </c>
      <c r="E2056" t="s">
        <v>435</v>
      </c>
      <c r="F2056" t="s">
        <v>428</v>
      </c>
      <c r="G2056" t="s">
        <v>82</v>
      </c>
      <c r="H2056" t="s">
        <v>82</v>
      </c>
      <c r="J2056" t="s">
        <v>52</v>
      </c>
      <c r="K2056" s="15">
        <v>500</v>
      </c>
      <c r="M2056">
        <v>45323</v>
      </c>
      <c r="N2056" t="s">
        <v>1013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16069.751865506852</v>
      </c>
      <c r="W2056">
        <v>0</v>
      </c>
      <c r="X2056">
        <v>0</v>
      </c>
      <c r="Y2056">
        <v>16069.751865506852</v>
      </c>
      <c r="Z2056">
        <v>0</v>
      </c>
      <c r="AA2056">
        <v>16069.751865506852</v>
      </c>
      <c r="AB2056" t="s">
        <v>242</v>
      </c>
      <c r="AC2056">
        <v>17</v>
      </c>
      <c r="AD2056">
        <v>12000</v>
      </c>
      <c r="AE2056">
        <v>0</v>
      </c>
      <c r="AF2056">
        <v>0</v>
      </c>
      <c r="AG2056">
        <v>0</v>
      </c>
      <c r="AH2056" t="s">
        <v>58</v>
      </c>
      <c r="AK2056" t="s">
        <v>798</v>
      </c>
      <c r="AL2056">
        <v>4142300779</v>
      </c>
      <c r="AM2056">
        <v>10355108</v>
      </c>
      <c r="AN2056" t="s">
        <v>208</v>
      </c>
      <c r="AO2056" t="s">
        <v>445</v>
      </c>
      <c r="AP2056" t="s">
        <v>430</v>
      </c>
      <c r="AQ2056" t="s">
        <v>230</v>
      </c>
      <c r="AR2056" t="s">
        <v>234</v>
      </c>
      <c r="AT2056" t="s">
        <v>416</v>
      </c>
      <c r="AU2056">
        <v>0.1014</v>
      </c>
      <c r="AW2056">
        <v>45323</v>
      </c>
      <c r="AX2056" t="s">
        <v>1016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6722.6449514018332</v>
      </c>
      <c r="BI2056">
        <v>6722.6449514018332</v>
      </c>
      <c r="BJ2056">
        <v>470.58514659812835</v>
      </c>
      <c r="BK2056">
        <v>7193.2300979999618</v>
      </c>
      <c r="BL2056" t="s">
        <v>242</v>
      </c>
      <c r="BM2056">
        <v>3</v>
      </c>
      <c r="BN2056">
        <v>240000</v>
      </c>
      <c r="BO2056">
        <v>0</v>
      </c>
      <c r="BP2056">
        <v>0</v>
      </c>
      <c r="BQ2056">
        <v>15700.93457943925</v>
      </c>
      <c r="BR2056" t="s">
        <v>58</v>
      </c>
    </row>
    <row r="2057" spans="1:70" x14ac:dyDescent="0.3">
      <c r="A2057" t="s">
        <v>798</v>
      </c>
      <c r="B2057">
        <v>42200856</v>
      </c>
      <c r="C2057">
        <v>2757002330</v>
      </c>
      <c r="D2057" t="s">
        <v>934</v>
      </c>
      <c r="E2057" t="s">
        <v>439</v>
      </c>
      <c r="F2057" t="s">
        <v>430</v>
      </c>
      <c r="G2057" t="s">
        <v>233</v>
      </c>
      <c r="H2057" t="s">
        <v>234</v>
      </c>
      <c r="J2057" t="s">
        <v>52</v>
      </c>
      <c r="K2057" s="15">
        <v>500</v>
      </c>
      <c r="M2057">
        <v>45323</v>
      </c>
      <c r="N2057" t="s">
        <v>1013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33965.859813084106</v>
      </c>
      <c r="Y2057">
        <v>33965.859813084106</v>
      </c>
      <c r="Z2057">
        <v>2377.6101869158874</v>
      </c>
      <c r="AA2057">
        <v>36343.469999999994</v>
      </c>
      <c r="AB2057" t="s">
        <v>242</v>
      </c>
      <c r="AC2057">
        <v>8</v>
      </c>
      <c r="AD2057">
        <v>4000</v>
      </c>
      <c r="AE2057">
        <v>0</v>
      </c>
      <c r="AF2057">
        <v>0</v>
      </c>
      <c r="AG2057">
        <v>261.68224299065423</v>
      </c>
      <c r="AH2057" t="s">
        <v>58</v>
      </c>
      <c r="AK2057" t="s">
        <v>798</v>
      </c>
      <c r="AL2057">
        <v>4142300779</v>
      </c>
      <c r="AM2057">
        <v>10355108</v>
      </c>
      <c r="AN2057" t="s">
        <v>208</v>
      </c>
      <c r="AO2057" t="s">
        <v>445</v>
      </c>
      <c r="AP2057" t="s">
        <v>430</v>
      </c>
      <c r="AQ2057" t="s">
        <v>421</v>
      </c>
      <c r="AR2057" t="s">
        <v>234</v>
      </c>
      <c r="AT2057" t="s">
        <v>52</v>
      </c>
      <c r="AU2057">
        <v>200000</v>
      </c>
      <c r="AW2057">
        <v>45323</v>
      </c>
      <c r="AX2057" t="s">
        <v>1018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 t="s">
        <v>242</v>
      </c>
      <c r="BM2057">
        <v>3</v>
      </c>
      <c r="BN2057">
        <v>240000</v>
      </c>
      <c r="BO2057">
        <v>0</v>
      </c>
      <c r="BP2057">
        <v>0</v>
      </c>
      <c r="BQ2057">
        <v>15700.93457943925</v>
      </c>
      <c r="BR2057" t="s">
        <v>58</v>
      </c>
    </row>
    <row r="2058" spans="1:70" x14ac:dyDescent="0.3">
      <c r="A2058" t="s">
        <v>798</v>
      </c>
      <c r="B2058">
        <v>42201112</v>
      </c>
      <c r="C2058">
        <v>2756020075</v>
      </c>
      <c r="D2058" t="s">
        <v>929</v>
      </c>
      <c r="E2058" t="s">
        <v>439</v>
      </c>
      <c r="F2058" t="s">
        <v>430</v>
      </c>
      <c r="G2058" t="s">
        <v>233</v>
      </c>
      <c r="H2058" t="s">
        <v>234</v>
      </c>
      <c r="J2058" t="s">
        <v>52</v>
      </c>
      <c r="K2058" s="15">
        <v>5000</v>
      </c>
      <c r="M2058">
        <v>45323</v>
      </c>
      <c r="N2058" t="s">
        <v>1038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37420.943925233631</v>
      </c>
      <c r="Y2058">
        <v>37420.943925233631</v>
      </c>
      <c r="Z2058">
        <v>2619.4660747663543</v>
      </c>
      <c r="AA2058">
        <v>40040.409999999982</v>
      </c>
      <c r="AB2058" t="s">
        <v>242</v>
      </c>
      <c r="AC2058">
        <v>8</v>
      </c>
      <c r="AD2058">
        <v>87000</v>
      </c>
      <c r="AE2058">
        <v>0</v>
      </c>
      <c r="AF2058">
        <v>0</v>
      </c>
      <c r="AG2058">
        <v>5691.5887850467261</v>
      </c>
      <c r="AH2058" t="s">
        <v>58</v>
      </c>
      <c r="AK2058" t="s">
        <v>798</v>
      </c>
      <c r="AL2058">
        <v>42201112</v>
      </c>
      <c r="AM2058">
        <v>2756020075</v>
      </c>
      <c r="AN2058" t="s">
        <v>929</v>
      </c>
      <c r="AO2058" t="s">
        <v>439</v>
      </c>
      <c r="AP2058" t="s">
        <v>430</v>
      </c>
      <c r="AQ2058" t="s">
        <v>233</v>
      </c>
      <c r="AR2058" t="s">
        <v>234</v>
      </c>
      <c r="AT2058" t="s">
        <v>52</v>
      </c>
      <c r="AU2058">
        <v>5000</v>
      </c>
      <c r="AW2058">
        <v>45323</v>
      </c>
      <c r="AX2058" t="s">
        <v>1038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37420.943925233631</v>
      </c>
      <c r="BI2058">
        <v>37420.943925233631</v>
      </c>
      <c r="BJ2058">
        <v>2619.4660747663543</v>
      </c>
      <c r="BK2058">
        <v>40040.409999999982</v>
      </c>
      <c r="BL2058" t="s">
        <v>242</v>
      </c>
      <c r="BM2058">
        <v>8</v>
      </c>
      <c r="BN2058">
        <v>87000</v>
      </c>
      <c r="BO2058">
        <v>0</v>
      </c>
      <c r="BP2058">
        <v>0</v>
      </c>
      <c r="BQ2058">
        <v>5691.5887850467261</v>
      </c>
      <c r="BR2058" t="s">
        <v>58</v>
      </c>
    </row>
    <row r="2059" spans="1:70" x14ac:dyDescent="0.3">
      <c r="A2059" t="s">
        <v>798</v>
      </c>
      <c r="B2059">
        <v>42201150</v>
      </c>
      <c r="C2059">
        <v>2758020463</v>
      </c>
      <c r="D2059" t="s">
        <v>933</v>
      </c>
      <c r="E2059" t="s">
        <v>439</v>
      </c>
      <c r="F2059" t="s">
        <v>430</v>
      </c>
      <c r="G2059" t="s">
        <v>230</v>
      </c>
      <c r="H2059" t="s">
        <v>234</v>
      </c>
      <c r="J2059" t="s">
        <v>52</v>
      </c>
      <c r="K2059" s="15">
        <v>10000</v>
      </c>
      <c r="M2059">
        <v>45323</v>
      </c>
      <c r="N2059" t="s">
        <v>1013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303590.06542056083</v>
      </c>
      <c r="Y2059">
        <v>303590.06542056083</v>
      </c>
      <c r="Z2059">
        <v>21251.30457943926</v>
      </c>
      <c r="AA2059">
        <v>324841.37000000011</v>
      </c>
      <c r="AB2059" t="s">
        <v>242</v>
      </c>
      <c r="AC2059">
        <v>10</v>
      </c>
      <c r="AD2059">
        <v>90000</v>
      </c>
      <c r="AE2059">
        <v>0</v>
      </c>
      <c r="AF2059">
        <v>0</v>
      </c>
      <c r="AG2059">
        <v>5887.8504672897161</v>
      </c>
      <c r="AH2059" t="s">
        <v>58</v>
      </c>
      <c r="AK2059" t="s">
        <v>798</v>
      </c>
      <c r="AL2059">
        <v>42201150</v>
      </c>
      <c r="AM2059">
        <v>2758020463</v>
      </c>
      <c r="AN2059" t="s">
        <v>933</v>
      </c>
      <c r="AO2059" t="s">
        <v>439</v>
      </c>
      <c r="AP2059" t="s">
        <v>430</v>
      </c>
      <c r="AQ2059" t="s">
        <v>230</v>
      </c>
      <c r="AR2059" t="s">
        <v>234</v>
      </c>
      <c r="AT2059" t="s">
        <v>52</v>
      </c>
      <c r="AU2059">
        <v>10000</v>
      </c>
      <c r="AW2059">
        <v>45323</v>
      </c>
      <c r="AX2059" t="s">
        <v>1013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303590.06542056083</v>
      </c>
      <c r="BI2059">
        <v>303590.06542056083</v>
      </c>
      <c r="BJ2059">
        <v>21251.30457943926</v>
      </c>
      <c r="BK2059">
        <v>324841.37000000011</v>
      </c>
      <c r="BL2059" t="s">
        <v>242</v>
      </c>
      <c r="BM2059">
        <v>10</v>
      </c>
      <c r="BN2059">
        <v>90000</v>
      </c>
      <c r="BO2059">
        <v>0</v>
      </c>
      <c r="BP2059">
        <v>0</v>
      </c>
      <c r="BQ2059">
        <v>5887.8504672897161</v>
      </c>
      <c r="BR2059" t="s">
        <v>58</v>
      </c>
    </row>
    <row r="2060" spans="1:70" x14ac:dyDescent="0.3">
      <c r="A2060" t="s">
        <v>798</v>
      </c>
      <c r="B2060">
        <v>52200315</v>
      </c>
      <c r="C2060">
        <v>25381712</v>
      </c>
      <c r="D2060" t="s">
        <v>730</v>
      </c>
      <c r="E2060" t="s">
        <v>436</v>
      </c>
      <c r="F2060" t="s">
        <v>431</v>
      </c>
      <c r="G2060" t="s">
        <v>82</v>
      </c>
      <c r="H2060" t="s">
        <v>83</v>
      </c>
      <c r="J2060" t="s">
        <v>52</v>
      </c>
      <c r="K2060" s="15">
        <v>1500</v>
      </c>
      <c r="M2060">
        <v>45323</v>
      </c>
      <c r="N2060" t="s">
        <v>1013</v>
      </c>
      <c r="O2060">
        <v>0</v>
      </c>
      <c r="P2060">
        <v>0</v>
      </c>
      <c r="Q2060">
        <v>0</v>
      </c>
      <c r="R2060">
        <v>869.73978464891786</v>
      </c>
      <c r="S2060">
        <v>10561.354777208189</v>
      </c>
      <c r="T2060">
        <v>0</v>
      </c>
      <c r="U2060">
        <v>0</v>
      </c>
      <c r="V2060">
        <v>50029.54298716045</v>
      </c>
      <c r="W2060">
        <v>0</v>
      </c>
      <c r="X2060">
        <v>0</v>
      </c>
      <c r="Y2060">
        <v>61460.637549017556</v>
      </c>
      <c r="Z2060">
        <v>4241.3628435058054</v>
      </c>
      <c r="AA2060">
        <v>65702.000392523361</v>
      </c>
      <c r="AB2060" t="s">
        <v>242</v>
      </c>
      <c r="AC2060">
        <v>1</v>
      </c>
      <c r="AD2060">
        <v>1500</v>
      </c>
      <c r="AE2060">
        <v>0</v>
      </c>
      <c r="AF2060">
        <v>0</v>
      </c>
      <c r="AG2060">
        <v>96.739985911611484</v>
      </c>
      <c r="AH2060" t="s">
        <v>72</v>
      </c>
      <c r="AK2060" t="s">
        <v>798</v>
      </c>
      <c r="AL2060">
        <v>52200769</v>
      </c>
      <c r="AM2060">
        <v>27455935</v>
      </c>
      <c r="AN2060" t="s">
        <v>665</v>
      </c>
      <c r="AO2060" t="s">
        <v>438</v>
      </c>
      <c r="AP2060" t="s">
        <v>431</v>
      </c>
      <c r="AQ2060" t="s">
        <v>230</v>
      </c>
      <c r="AR2060" t="s">
        <v>231</v>
      </c>
      <c r="AT2060" t="s">
        <v>52</v>
      </c>
      <c r="AU2060">
        <v>1000</v>
      </c>
      <c r="AW2060">
        <v>45323</v>
      </c>
      <c r="AX2060" t="s">
        <v>1013</v>
      </c>
      <c r="AY2060">
        <v>5150.7050962695312</v>
      </c>
      <c r="AZ2060">
        <v>0</v>
      </c>
      <c r="BA2060">
        <v>0</v>
      </c>
      <c r="BB2060">
        <v>0</v>
      </c>
      <c r="BC2060">
        <v>0</v>
      </c>
      <c r="BD2060">
        <v>9578.7802838602511</v>
      </c>
      <c r="BE2060">
        <v>0</v>
      </c>
      <c r="BF2060">
        <v>0</v>
      </c>
      <c r="BG2060">
        <v>88785.046728971967</v>
      </c>
      <c r="BH2060">
        <v>0</v>
      </c>
      <c r="BI2060">
        <v>103514.53210910175</v>
      </c>
      <c r="BJ2060">
        <v>6885.467890898256</v>
      </c>
      <c r="BK2060">
        <v>110400.00000000001</v>
      </c>
      <c r="BL2060" t="s">
        <v>242</v>
      </c>
      <c r="BM2060">
        <v>3</v>
      </c>
      <c r="BN2060">
        <v>5000</v>
      </c>
      <c r="BO2060">
        <v>0</v>
      </c>
      <c r="BP2060">
        <v>0</v>
      </c>
      <c r="BQ2060">
        <v>310.79379134473572</v>
      </c>
      <c r="BR2060" t="s">
        <v>58</v>
      </c>
    </row>
    <row r="2061" spans="1:70" x14ac:dyDescent="0.3">
      <c r="A2061" t="s">
        <v>798</v>
      </c>
      <c r="B2061">
        <v>52200769</v>
      </c>
      <c r="C2061">
        <v>27455935</v>
      </c>
      <c r="D2061" t="s">
        <v>665</v>
      </c>
      <c r="E2061" t="s">
        <v>438</v>
      </c>
      <c r="F2061" t="s">
        <v>431</v>
      </c>
      <c r="G2061" t="s">
        <v>230</v>
      </c>
      <c r="H2061" t="s">
        <v>231</v>
      </c>
      <c r="J2061" t="s">
        <v>52</v>
      </c>
      <c r="K2061" s="15">
        <v>1000</v>
      </c>
      <c r="M2061">
        <v>45323</v>
      </c>
      <c r="N2061" t="s">
        <v>1013</v>
      </c>
      <c r="O2061">
        <v>5150.7050962695312</v>
      </c>
      <c r="P2061">
        <v>0</v>
      </c>
      <c r="Q2061">
        <v>0</v>
      </c>
      <c r="R2061">
        <v>0</v>
      </c>
      <c r="S2061">
        <v>0</v>
      </c>
      <c r="T2061">
        <v>9578.7802838602511</v>
      </c>
      <c r="U2061">
        <v>0</v>
      </c>
      <c r="V2061">
        <v>0</v>
      </c>
      <c r="W2061">
        <v>88785.046728971967</v>
      </c>
      <c r="X2061">
        <v>0</v>
      </c>
      <c r="Y2061">
        <v>103514.53210910175</v>
      </c>
      <c r="Z2061">
        <v>6885.467890898256</v>
      </c>
      <c r="AA2061">
        <v>110400.00000000001</v>
      </c>
      <c r="AB2061" t="s">
        <v>242</v>
      </c>
      <c r="AC2061">
        <v>3</v>
      </c>
      <c r="AD2061">
        <v>5000</v>
      </c>
      <c r="AE2061">
        <v>0</v>
      </c>
      <c r="AF2061">
        <v>0</v>
      </c>
      <c r="AG2061">
        <v>310.79379134473572</v>
      </c>
      <c r="AH2061" t="s">
        <v>58</v>
      </c>
      <c r="AK2061" t="s">
        <v>798</v>
      </c>
      <c r="AL2061">
        <v>52201352</v>
      </c>
      <c r="AM2061">
        <v>26584588</v>
      </c>
      <c r="AN2061" t="s">
        <v>156</v>
      </c>
      <c r="AO2061" t="s">
        <v>438</v>
      </c>
      <c r="AP2061" t="s">
        <v>431</v>
      </c>
      <c r="AQ2061" t="s">
        <v>82</v>
      </c>
      <c r="AR2061" t="s">
        <v>83</v>
      </c>
      <c r="AT2061" t="s">
        <v>52</v>
      </c>
      <c r="AU2061">
        <v>2000</v>
      </c>
      <c r="AW2061">
        <v>45323</v>
      </c>
      <c r="AX2061" t="s">
        <v>1013</v>
      </c>
      <c r="AY2061">
        <v>0</v>
      </c>
      <c r="AZ2061">
        <v>0</v>
      </c>
      <c r="BA2061">
        <v>0</v>
      </c>
      <c r="BB2061">
        <v>932.00053574805099</v>
      </c>
      <c r="BC2061">
        <v>37492.939711221174</v>
      </c>
      <c r="BD2061">
        <v>0</v>
      </c>
      <c r="BE2061">
        <v>0</v>
      </c>
      <c r="BF2061">
        <v>58235.096694359752</v>
      </c>
      <c r="BG2061">
        <v>0</v>
      </c>
      <c r="BH2061">
        <v>0</v>
      </c>
      <c r="BI2061">
        <v>96660.036941328974</v>
      </c>
      <c r="BJ2061">
        <v>6700.9625483906657</v>
      </c>
      <c r="BK2061">
        <v>103360.99948971964</v>
      </c>
      <c r="BL2061" t="s">
        <v>242</v>
      </c>
      <c r="BM2061">
        <v>4</v>
      </c>
      <c r="BN2061">
        <v>6000</v>
      </c>
      <c r="BO2061">
        <v>0</v>
      </c>
      <c r="BP2061">
        <v>0</v>
      </c>
      <c r="BQ2061">
        <v>388.72900701155493</v>
      </c>
      <c r="BR2061" t="s">
        <v>58</v>
      </c>
    </row>
    <row r="2062" spans="1:70" x14ac:dyDescent="0.3">
      <c r="A2062" t="s">
        <v>798</v>
      </c>
      <c r="B2062">
        <v>52201039</v>
      </c>
      <c r="C2062">
        <v>29379502</v>
      </c>
      <c r="D2062" t="s">
        <v>146</v>
      </c>
      <c r="E2062" t="s">
        <v>438</v>
      </c>
      <c r="F2062" t="s">
        <v>431</v>
      </c>
      <c r="G2062" t="s">
        <v>82</v>
      </c>
      <c r="H2062" t="s">
        <v>83</v>
      </c>
      <c r="J2062" t="s">
        <v>52</v>
      </c>
      <c r="K2062" s="15">
        <v>2500</v>
      </c>
      <c r="M2062">
        <v>45323</v>
      </c>
      <c r="N2062" t="s">
        <v>1013</v>
      </c>
      <c r="O2062">
        <v>0</v>
      </c>
      <c r="P2062">
        <v>0</v>
      </c>
      <c r="Q2062">
        <v>0</v>
      </c>
      <c r="R2062">
        <v>790.73690293885818</v>
      </c>
      <c r="S2062">
        <v>10088.235095017893</v>
      </c>
      <c r="T2062">
        <v>0</v>
      </c>
      <c r="U2062">
        <v>0</v>
      </c>
      <c r="V2062">
        <v>49170.889355899591</v>
      </c>
      <c r="W2062">
        <v>0</v>
      </c>
      <c r="X2062">
        <v>0</v>
      </c>
      <c r="Y2062">
        <v>60049.861353856344</v>
      </c>
      <c r="Z2062">
        <v>4148.1387115642246</v>
      </c>
      <c r="AA2062">
        <v>64198.000065420565</v>
      </c>
      <c r="AB2062" t="s">
        <v>242</v>
      </c>
      <c r="AC2062">
        <v>7</v>
      </c>
      <c r="AD2062">
        <v>15000</v>
      </c>
      <c r="AE2062">
        <v>0</v>
      </c>
      <c r="AF2062">
        <v>0</v>
      </c>
      <c r="AG2062">
        <v>968.27250766889756</v>
      </c>
      <c r="AH2062" t="s">
        <v>58</v>
      </c>
      <c r="AK2062" t="s">
        <v>798</v>
      </c>
      <c r="AL2062">
        <v>82200020</v>
      </c>
      <c r="AM2062">
        <v>901020072374</v>
      </c>
      <c r="AN2062" t="s">
        <v>977</v>
      </c>
      <c r="AO2062" t="s">
        <v>440</v>
      </c>
      <c r="AP2062" t="s">
        <v>433</v>
      </c>
      <c r="AQ2062" t="s">
        <v>82</v>
      </c>
      <c r="AR2062" t="s">
        <v>83</v>
      </c>
      <c r="AT2062" t="s">
        <v>52</v>
      </c>
      <c r="AU2062">
        <v>1000</v>
      </c>
      <c r="AW2062">
        <v>45323</v>
      </c>
      <c r="AX2062" t="s">
        <v>1013</v>
      </c>
      <c r="AY2062">
        <v>0</v>
      </c>
      <c r="AZ2062">
        <v>0</v>
      </c>
      <c r="BA2062">
        <v>69527.77213360976</v>
      </c>
      <c r="BB2062">
        <v>2111.77</v>
      </c>
      <c r="BC2062">
        <v>34881.919968588998</v>
      </c>
      <c r="BD2062">
        <v>0</v>
      </c>
      <c r="BE2062">
        <v>0</v>
      </c>
      <c r="BF2062">
        <v>898888.94</v>
      </c>
      <c r="BG2062">
        <v>0</v>
      </c>
      <c r="BH2062">
        <v>0</v>
      </c>
      <c r="BI2062">
        <v>1005410.4021021987</v>
      </c>
      <c r="BJ2062">
        <v>65363.960197801229</v>
      </c>
      <c r="BK2062">
        <v>1070774.3622999999</v>
      </c>
      <c r="BL2062" t="s">
        <v>242</v>
      </c>
      <c r="BM2062">
        <v>2</v>
      </c>
      <c r="BN2062">
        <v>21000</v>
      </c>
      <c r="BO2062">
        <v>0</v>
      </c>
      <c r="BP2062">
        <v>0</v>
      </c>
      <c r="BQ2062">
        <v>1275.8221021987697</v>
      </c>
      <c r="BR2062" t="s">
        <v>58</v>
      </c>
    </row>
    <row r="2063" spans="1:70" x14ac:dyDescent="0.3">
      <c r="A2063" t="s">
        <v>798</v>
      </c>
      <c r="B2063">
        <v>52201352</v>
      </c>
      <c r="C2063">
        <v>26584588</v>
      </c>
      <c r="D2063" t="s">
        <v>156</v>
      </c>
      <c r="E2063" t="s">
        <v>438</v>
      </c>
      <c r="F2063" t="s">
        <v>431</v>
      </c>
      <c r="G2063" t="s">
        <v>82</v>
      </c>
      <c r="H2063" t="s">
        <v>83</v>
      </c>
      <c r="J2063" t="s">
        <v>52</v>
      </c>
      <c r="K2063" s="15">
        <v>2000</v>
      </c>
      <c r="M2063">
        <v>45323</v>
      </c>
      <c r="N2063" t="s">
        <v>1013</v>
      </c>
      <c r="O2063">
        <v>0</v>
      </c>
      <c r="P2063">
        <v>0</v>
      </c>
      <c r="Q2063">
        <v>0</v>
      </c>
      <c r="R2063">
        <v>932.00053574805099</v>
      </c>
      <c r="S2063">
        <v>37492.939711221174</v>
      </c>
      <c r="T2063">
        <v>0</v>
      </c>
      <c r="U2063">
        <v>0</v>
      </c>
      <c r="V2063">
        <v>58235.096694359752</v>
      </c>
      <c r="W2063">
        <v>0</v>
      </c>
      <c r="X2063">
        <v>0</v>
      </c>
      <c r="Y2063">
        <v>96660.036941328974</v>
      </c>
      <c r="Z2063">
        <v>6700.9625483906657</v>
      </c>
      <c r="AA2063">
        <v>103360.99948971964</v>
      </c>
      <c r="AB2063" t="s">
        <v>242</v>
      </c>
      <c r="AC2063">
        <v>4</v>
      </c>
      <c r="AD2063">
        <v>6000</v>
      </c>
      <c r="AE2063">
        <v>0</v>
      </c>
      <c r="AF2063">
        <v>0</v>
      </c>
      <c r="AG2063">
        <v>388.72900701155493</v>
      </c>
      <c r="AH2063" t="s">
        <v>58</v>
      </c>
      <c r="AK2063" t="s">
        <v>798</v>
      </c>
      <c r="AL2063">
        <v>4132301665</v>
      </c>
      <c r="AM2063" t="s">
        <v>99</v>
      </c>
      <c r="AN2063" t="s">
        <v>941</v>
      </c>
      <c r="AO2063" t="s">
        <v>442</v>
      </c>
      <c r="AP2063" t="s">
        <v>430</v>
      </c>
      <c r="AQ2063" t="s">
        <v>230</v>
      </c>
      <c r="AR2063" t="s">
        <v>231</v>
      </c>
      <c r="AT2063" t="s">
        <v>52</v>
      </c>
      <c r="AU2063">
        <v>1000</v>
      </c>
      <c r="AW2063">
        <v>45323</v>
      </c>
      <c r="AX2063" t="s">
        <v>1013</v>
      </c>
      <c r="AY2063">
        <v>0</v>
      </c>
      <c r="AZ2063">
        <v>26761.859890791435</v>
      </c>
      <c r="BA2063">
        <v>0</v>
      </c>
      <c r="BB2063">
        <v>0</v>
      </c>
      <c r="BC2063">
        <v>492316.5</v>
      </c>
      <c r="BD2063">
        <v>10842.18701795193</v>
      </c>
      <c r="BE2063">
        <v>67289.719626168226</v>
      </c>
      <c r="BF2063">
        <v>0</v>
      </c>
      <c r="BG2063">
        <v>794392.52336448594</v>
      </c>
      <c r="BH2063">
        <v>0</v>
      </c>
      <c r="BI2063">
        <v>1391602.7898993976</v>
      </c>
      <c r="BJ2063">
        <v>61076.710100602431</v>
      </c>
      <c r="BK2063">
        <v>1452679.5</v>
      </c>
      <c r="BL2063" t="s">
        <v>242</v>
      </c>
      <c r="BM2063">
        <v>4</v>
      </c>
      <c r="BN2063">
        <v>4000</v>
      </c>
      <c r="BO2063">
        <v>0</v>
      </c>
      <c r="BP2063">
        <v>0</v>
      </c>
      <c r="BQ2063">
        <v>164.0656003321501</v>
      </c>
      <c r="BR2063" t="s">
        <v>58</v>
      </c>
    </row>
    <row r="2064" spans="1:70" x14ac:dyDescent="0.3">
      <c r="A2064" t="s">
        <v>798</v>
      </c>
      <c r="B2064">
        <v>82200020</v>
      </c>
      <c r="C2064">
        <v>901020072374</v>
      </c>
      <c r="D2064" t="s">
        <v>977</v>
      </c>
      <c r="E2064" t="s">
        <v>440</v>
      </c>
      <c r="F2064" t="s">
        <v>433</v>
      </c>
      <c r="G2064" t="s">
        <v>82</v>
      </c>
      <c r="H2064" t="s">
        <v>83</v>
      </c>
      <c r="J2064" t="s">
        <v>52</v>
      </c>
      <c r="K2064" s="15">
        <v>1000</v>
      </c>
      <c r="M2064">
        <v>45323</v>
      </c>
      <c r="N2064" t="s">
        <v>1013</v>
      </c>
      <c r="O2064">
        <v>0</v>
      </c>
      <c r="P2064">
        <v>0</v>
      </c>
      <c r="Q2064">
        <v>69527.77213360976</v>
      </c>
      <c r="R2064">
        <v>2111.77</v>
      </c>
      <c r="S2064">
        <v>34881.919968588998</v>
      </c>
      <c r="T2064">
        <v>0</v>
      </c>
      <c r="U2064">
        <v>0</v>
      </c>
      <c r="V2064">
        <v>898888.94</v>
      </c>
      <c r="W2064">
        <v>0</v>
      </c>
      <c r="X2064">
        <v>0</v>
      </c>
      <c r="Y2064">
        <v>1005410.4021021987</v>
      </c>
      <c r="Z2064">
        <v>65363.960197801229</v>
      </c>
      <c r="AA2064">
        <v>1070774.3622999999</v>
      </c>
      <c r="AB2064" t="s">
        <v>242</v>
      </c>
      <c r="AC2064">
        <v>2</v>
      </c>
      <c r="AD2064">
        <v>21000</v>
      </c>
      <c r="AE2064">
        <v>0</v>
      </c>
      <c r="AF2064">
        <v>0</v>
      </c>
      <c r="AG2064">
        <v>1275.8221021987697</v>
      </c>
      <c r="AH2064" t="s">
        <v>58</v>
      </c>
      <c r="AK2064" t="s">
        <v>798</v>
      </c>
      <c r="AL2064">
        <v>4132301694</v>
      </c>
      <c r="AM2064" t="s">
        <v>682</v>
      </c>
      <c r="AN2064" t="s">
        <v>978</v>
      </c>
      <c r="AO2064" t="s">
        <v>442</v>
      </c>
      <c r="AP2064" t="s">
        <v>430</v>
      </c>
      <c r="AQ2064" t="s">
        <v>230</v>
      </c>
      <c r="AR2064" t="s">
        <v>231</v>
      </c>
      <c r="AT2064" t="s">
        <v>52</v>
      </c>
      <c r="AU2064">
        <v>500</v>
      </c>
      <c r="AW2064">
        <v>45323</v>
      </c>
      <c r="AX2064" t="s">
        <v>1013</v>
      </c>
      <c r="AY2064">
        <v>0</v>
      </c>
      <c r="AZ2064">
        <v>11841.608953441819</v>
      </c>
      <c r="BA2064">
        <v>0</v>
      </c>
      <c r="BB2064">
        <v>0</v>
      </c>
      <c r="BC2064">
        <v>29168.45</v>
      </c>
      <c r="BD2064">
        <v>44437.748641643164</v>
      </c>
      <c r="BE2064">
        <v>67289.719626168226</v>
      </c>
      <c r="BF2064">
        <v>0</v>
      </c>
      <c r="BG2064">
        <v>271028.03738317755</v>
      </c>
      <c r="BH2064">
        <v>0</v>
      </c>
      <c r="BI2064">
        <v>423765.56460443075</v>
      </c>
      <c r="BJ2064">
        <v>26792.885395569228</v>
      </c>
      <c r="BK2064">
        <v>450558.44999999995</v>
      </c>
      <c r="BL2064" t="s">
        <v>242</v>
      </c>
      <c r="BM2064">
        <v>1</v>
      </c>
      <c r="BN2064">
        <v>500</v>
      </c>
      <c r="BO2064">
        <v>0</v>
      </c>
      <c r="BP2064">
        <v>0</v>
      </c>
      <c r="BQ2064">
        <v>29.5445109728293</v>
      </c>
      <c r="BR2064" t="s">
        <v>72</v>
      </c>
    </row>
    <row r="2065" spans="1:70" x14ac:dyDescent="0.3">
      <c r="A2065" t="s">
        <v>798</v>
      </c>
      <c r="B2065">
        <v>4132301665</v>
      </c>
      <c r="C2065" t="s">
        <v>99</v>
      </c>
      <c r="D2065" t="s">
        <v>941</v>
      </c>
      <c r="E2065" t="s">
        <v>442</v>
      </c>
      <c r="F2065" t="s">
        <v>430</v>
      </c>
      <c r="G2065" t="s">
        <v>230</v>
      </c>
      <c r="H2065" t="s">
        <v>231</v>
      </c>
      <c r="J2065" t="s">
        <v>52</v>
      </c>
      <c r="K2065" s="15">
        <v>1000</v>
      </c>
      <c r="M2065">
        <v>45323</v>
      </c>
      <c r="N2065" t="s">
        <v>1013</v>
      </c>
      <c r="O2065">
        <v>0</v>
      </c>
      <c r="P2065">
        <v>26761.859890791435</v>
      </c>
      <c r="Q2065">
        <v>0</v>
      </c>
      <c r="R2065">
        <v>0</v>
      </c>
      <c r="S2065">
        <v>492316.5</v>
      </c>
      <c r="T2065">
        <v>10842.18701795193</v>
      </c>
      <c r="U2065">
        <v>67289.719626168226</v>
      </c>
      <c r="V2065">
        <v>0</v>
      </c>
      <c r="W2065">
        <v>794392.52336448594</v>
      </c>
      <c r="X2065">
        <v>0</v>
      </c>
      <c r="Y2065">
        <v>1391602.7898993976</v>
      </c>
      <c r="Z2065">
        <v>61076.710100602431</v>
      </c>
      <c r="AA2065">
        <v>1452679.5</v>
      </c>
      <c r="AB2065" t="s">
        <v>242</v>
      </c>
      <c r="AC2065">
        <v>4</v>
      </c>
      <c r="AD2065">
        <v>4000</v>
      </c>
      <c r="AE2065">
        <v>0</v>
      </c>
      <c r="AF2065">
        <v>0</v>
      </c>
      <c r="AG2065">
        <v>164.0656003321501</v>
      </c>
      <c r="AH2065" t="s">
        <v>58</v>
      </c>
      <c r="AK2065" t="s">
        <v>798</v>
      </c>
      <c r="AL2065">
        <v>4132301700</v>
      </c>
      <c r="AM2065" t="s">
        <v>100</v>
      </c>
      <c r="AN2065" t="s">
        <v>942</v>
      </c>
      <c r="AO2065" t="s">
        <v>442</v>
      </c>
      <c r="AP2065" t="s">
        <v>430</v>
      </c>
      <c r="AQ2065" t="s">
        <v>230</v>
      </c>
      <c r="AR2065" t="s">
        <v>231</v>
      </c>
      <c r="AT2065" t="s">
        <v>52</v>
      </c>
      <c r="AU2065">
        <v>500</v>
      </c>
      <c r="AW2065">
        <v>45323</v>
      </c>
      <c r="AX2065" t="s">
        <v>1013</v>
      </c>
      <c r="AY2065">
        <v>0</v>
      </c>
      <c r="AZ2065">
        <v>17278.460525377788</v>
      </c>
      <c r="BA2065">
        <v>0</v>
      </c>
      <c r="BB2065">
        <v>0</v>
      </c>
      <c r="BC2065">
        <v>0</v>
      </c>
      <c r="BD2065">
        <v>0</v>
      </c>
      <c r="BE2065">
        <v>120623.86866787124</v>
      </c>
      <c r="BF2065">
        <v>0</v>
      </c>
      <c r="BG2065">
        <v>373831.77570093458</v>
      </c>
      <c r="BH2065">
        <v>0</v>
      </c>
      <c r="BI2065">
        <v>511734.10489418358</v>
      </c>
      <c r="BJ2065">
        <v>34611.895105816409</v>
      </c>
      <c r="BK2065">
        <v>546346</v>
      </c>
      <c r="BL2065" t="s">
        <v>242</v>
      </c>
      <c r="BM2065">
        <v>4</v>
      </c>
      <c r="BN2065">
        <v>2000</v>
      </c>
      <c r="BO2065">
        <v>0</v>
      </c>
      <c r="BP2065">
        <v>0</v>
      </c>
      <c r="BQ2065">
        <v>126.42265119293927</v>
      </c>
      <c r="BR2065" t="s">
        <v>58</v>
      </c>
    </row>
    <row r="2066" spans="1:70" x14ac:dyDescent="0.3">
      <c r="A2066" t="s">
        <v>798</v>
      </c>
      <c r="B2066">
        <v>4132301694</v>
      </c>
      <c r="C2066" t="s">
        <v>682</v>
      </c>
      <c r="D2066" t="s">
        <v>978</v>
      </c>
      <c r="E2066" t="s">
        <v>442</v>
      </c>
      <c r="F2066" t="s">
        <v>430</v>
      </c>
      <c r="G2066" t="s">
        <v>230</v>
      </c>
      <c r="H2066" t="s">
        <v>231</v>
      </c>
      <c r="J2066" t="s">
        <v>52</v>
      </c>
      <c r="K2066" s="15">
        <v>500</v>
      </c>
      <c r="M2066">
        <v>45323</v>
      </c>
      <c r="N2066" t="s">
        <v>1013</v>
      </c>
      <c r="O2066">
        <v>0</v>
      </c>
      <c r="P2066">
        <v>11841.608953441819</v>
      </c>
      <c r="Q2066">
        <v>0</v>
      </c>
      <c r="R2066">
        <v>0</v>
      </c>
      <c r="S2066">
        <v>29168.45</v>
      </c>
      <c r="T2066">
        <v>44437.748641643164</v>
      </c>
      <c r="U2066">
        <v>67289.719626168226</v>
      </c>
      <c r="V2066">
        <v>0</v>
      </c>
      <c r="W2066">
        <v>271028.03738317755</v>
      </c>
      <c r="X2066">
        <v>0</v>
      </c>
      <c r="Y2066">
        <v>423765.56460443075</v>
      </c>
      <c r="Z2066">
        <v>26792.885395569228</v>
      </c>
      <c r="AA2066">
        <v>450558.44999999995</v>
      </c>
      <c r="AB2066" t="s">
        <v>242</v>
      </c>
      <c r="AC2066">
        <v>1</v>
      </c>
      <c r="AD2066">
        <v>500</v>
      </c>
      <c r="AE2066">
        <v>0</v>
      </c>
      <c r="AF2066">
        <v>0</v>
      </c>
      <c r="AG2066">
        <v>29.5445109728293</v>
      </c>
      <c r="AH2066" t="s">
        <v>72</v>
      </c>
      <c r="AK2066" t="s">
        <v>798</v>
      </c>
      <c r="AL2066">
        <v>4132301757</v>
      </c>
      <c r="AM2066" t="s">
        <v>687</v>
      </c>
      <c r="AN2066" t="s">
        <v>960</v>
      </c>
      <c r="AO2066" t="s">
        <v>442</v>
      </c>
      <c r="AP2066" t="s">
        <v>430</v>
      </c>
      <c r="AQ2066" t="s">
        <v>230</v>
      </c>
      <c r="AR2066" t="s">
        <v>231</v>
      </c>
      <c r="AT2066" t="s">
        <v>52</v>
      </c>
      <c r="AU2066">
        <v>2000</v>
      </c>
      <c r="AW2066">
        <v>45323</v>
      </c>
      <c r="AX2066" t="s">
        <v>1013</v>
      </c>
      <c r="AY2066">
        <v>0</v>
      </c>
      <c r="AZ2066">
        <v>24040.38436375904</v>
      </c>
      <c r="BA2066">
        <v>0</v>
      </c>
      <c r="BB2066">
        <v>0</v>
      </c>
      <c r="BC2066">
        <v>367687.74</v>
      </c>
      <c r="BD2066">
        <v>43585.622089944816</v>
      </c>
      <c r="BE2066">
        <v>69532.710280373838</v>
      </c>
      <c r="BF2066">
        <v>0</v>
      </c>
      <c r="BG2066">
        <v>598130.84112149535</v>
      </c>
      <c r="BH2066">
        <v>0</v>
      </c>
      <c r="BI2066">
        <v>1102977.297855573</v>
      </c>
      <c r="BJ2066">
        <v>49787.442144426983</v>
      </c>
      <c r="BK2066">
        <v>1152764.74</v>
      </c>
      <c r="BL2066" t="s">
        <v>242</v>
      </c>
      <c r="BM2066">
        <v>2</v>
      </c>
      <c r="BN2066">
        <v>7000</v>
      </c>
      <c r="BO2066">
        <v>0</v>
      </c>
      <c r="BP2066">
        <v>0</v>
      </c>
      <c r="BQ2066">
        <v>295.26813594685336</v>
      </c>
      <c r="BR2066" t="s">
        <v>58</v>
      </c>
    </row>
    <row r="2067" spans="1:70" x14ac:dyDescent="0.3">
      <c r="A2067" t="s">
        <v>798</v>
      </c>
      <c r="B2067">
        <v>4132301700</v>
      </c>
      <c r="C2067" t="s">
        <v>100</v>
      </c>
      <c r="D2067" t="s">
        <v>942</v>
      </c>
      <c r="E2067" t="s">
        <v>442</v>
      </c>
      <c r="F2067" t="s">
        <v>430</v>
      </c>
      <c r="G2067" t="s">
        <v>230</v>
      </c>
      <c r="H2067" t="s">
        <v>231</v>
      </c>
      <c r="J2067" t="s">
        <v>52</v>
      </c>
      <c r="K2067" s="15">
        <v>500</v>
      </c>
      <c r="M2067">
        <v>45323</v>
      </c>
      <c r="N2067" t="s">
        <v>1013</v>
      </c>
      <c r="O2067">
        <v>0</v>
      </c>
      <c r="P2067">
        <v>17278.460525377788</v>
      </c>
      <c r="Q2067">
        <v>0</v>
      </c>
      <c r="R2067">
        <v>0</v>
      </c>
      <c r="S2067">
        <v>0</v>
      </c>
      <c r="T2067">
        <v>0</v>
      </c>
      <c r="U2067">
        <v>120623.86866787124</v>
      </c>
      <c r="V2067">
        <v>0</v>
      </c>
      <c r="W2067">
        <v>373831.77570093458</v>
      </c>
      <c r="X2067">
        <v>0</v>
      </c>
      <c r="Y2067">
        <v>511734.10489418358</v>
      </c>
      <c r="Z2067">
        <v>34611.895105816409</v>
      </c>
      <c r="AA2067">
        <v>546346</v>
      </c>
      <c r="AB2067" t="s">
        <v>242</v>
      </c>
      <c r="AC2067">
        <v>4</v>
      </c>
      <c r="AD2067">
        <v>2000</v>
      </c>
      <c r="AE2067">
        <v>0</v>
      </c>
      <c r="AF2067">
        <v>0</v>
      </c>
      <c r="AG2067">
        <v>126.42265119293927</v>
      </c>
      <c r="AH2067" t="s">
        <v>58</v>
      </c>
      <c r="AK2067" t="s">
        <v>798</v>
      </c>
      <c r="AL2067">
        <v>4132301772</v>
      </c>
      <c r="AM2067" t="s">
        <v>689</v>
      </c>
      <c r="AN2067" t="s">
        <v>938</v>
      </c>
      <c r="AO2067" t="s">
        <v>442</v>
      </c>
      <c r="AP2067" t="s">
        <v>430</v>
      </c>
      <c r="AQ2067" t="s">
        <v>230</v>
      </c>
      <c r="AR2067" t="s">
        <v>231</v>
      </c>
      <c r="AT2067" t="s">
        <v>52</v>
      </c>
      <c r="AU2067">
        <v>1000</v>
      </c>
      <c r="AW2067">
        <v>45323</v>
      </c>
      <c r="AX2067" t="s">
        <v>1013</v>
      </c>
      <c r="AY2067">
        <v>0</v>
      </c>
      <c r="AZ2067">
        <v>24622.308640751209</v>
      </c>
      <c r="BA2067">
        <v>0</v>
      </c>
      <c r="BB2067">
        <v>0</v>
      </c>
      <c r="BC2067">
        <v>564880.79</v>
      </c>
      <c r="BD2067">
        <v>38702.51528901756</v>
      </c>
      <c r="BE2067">
        <v>56074.766355140186</v>
      </c>
      <c r="BF2067">
        <v>0</v>
      </c>
      <c r="BG2067">
        <v>747663.55140186916</v>
      </c>
      <c r="BH2067">
        <v>0</v>
      </c>
      <c r="BI2067">
        <v>1431943.9316867781</v>
      </c>
      <c r="BJ2067">
        <v>58970.858313221885</v>
      </c>
      <c r="BK2067">
        <v>1490914.79</v>
      </c>
      <c r="BL2067" t="s">
        <v>242</v>
      </c>
      <c r="BM2067">
        <v>1</v>
      </c>
      <c r="BN2067">
        <v>1000</v>
      </c>
      <c r="BO2067">
        <v>0</v>
      </c>
      <c r="BP2067">
        <v>0</v>
      </c>
      <c r="BQ2067">
        <v>38.487481170639853</v>
      </c>
      <c r="BR2067" t="s">
        <v>72</v>
      </c>
    </row>
    <row r="2068" spans="1:70" x14ac:dyDescent="0.3">
      <c r="A2068" t="s">
        <v>798</v>
      </c>
      <c r="B2068">
        <v>4132301757</v>
      </c>
      <c r="C2068" t="s">
        <v>687</v>
      </c>
      <c r="D2068" t="s">
        <v>960</v>
      </c>
      <c r="E2068" t="s">
        <v>442</v>
      </c>
      <c r="F2068" t="s">
        <v>430</v>
      </c>
      <c r="G2068" t="s">
        <v>230</v>
      </c>
      <c r="H2068" t="s">
        <v>231</v>
      </c>
      <c r="J2068" t="s">
        <v>52</v>
      </c>
      <c r="K2068" s="15">
        <v>2000</v>
      </c>
      <c r="M2068">
        <v>45323</v>
      </c>
      <c r="N2068" t="s">
        <v>1013</v>
      </c>
      <c r="O2068">
        <v>0</v>
      </c>
      <c r="P2068">
        <v>24040.38436375904</v>
      </c>
      <c r="Q2068">
        <v>0</v>
      </c>
      <c r="R2068">
        <v>0</v>
      </c>
      <c r="S2068">
        <v>367687.74</v>
      </c>
      <c r="T2068">
        <v>43585.622089944816</v>
      </c>
      <c r="U2068">
        <v>69532.710280373838</v>
      </c>
      <c r="V2068">
        <v>0</v>
      </c>
      <c r="W2068">
        <v>598130.84112149535</v>
      </c>
      <c r="X2068">
        <v>0</v>
      </c>
      <c r="Y2068">
        <v>1102977.297855573</v>
      </c>
      <c r="Z2068">
        <v>49787.442144426983</v>
      </c>
      <c r="AA2068">
        <v>1152764.74</v>
      </c>
      <c r="AB2068" t="s">
        <v>242</v>
      </c>
      <c r="AC2068">
        <v>2</v>
      </c>
      <c r="AD2068">
        <v>7000</v>
      </c>
      <c r="AE2068">
        <v>0</v>
      </c>
      <c r="AF2068">
        <v>0</v>
      </c>
      <c r="AG2068">
        <v>295.26813594685336</v>
      </c>
      <c r="AH2068" t="s">
        <v>58</v>
      </c>
      <c r="AK2068" t="s">
        <v>798</v>
      </c>
      <c r="AL2068">
        <v>4132301981</v>
      </c>
      <c r="AM2068" t="s">
        <v>101</v>
      </c>
      <c r="AN2068" t="s">
        <v>930</v>
      </c>
      <c r="AO2068" t="s">
        <v>442</v>
      </c>
      <c r="AP2068" t="s">
        <v>430</v>
      </c>
      <c r="AQ2068" t="s">
        <v>230</v>
      </c>
      <c r="AR2068" t="s">
        <v>231</v>
      </c>
      <c r="AT2068" t="s">
        <v>52</v>
      </c>
      <c r="AU2068">
        <v>3000</v>
      </c>
      <c r="AW2068">
        <v>45323</v>
      </c>
      <c r="AX2068" t="s">
        <v>1013</v>
      </c>
      <c r="AY2068">
        <v>0</v>
      </c>
      <c r="AZ2068">
        <v>20821.310990180275</v>
      </c>
      <c r="BA2068">
        <v>0</v>
      </c>
      <c r="BB2068">
        <v>0</v>
      </c>
      <c r="BC2068">
        <v>23352.81</v>
      </c>
      <c r="BD2068">
        <v>10774.475710111894</v>
      </c>
      <c r="BE2068">
        <v>78504.672897196258</v>
      </c>
      <c r="BF2068">
        <v>0</v>
      </c>
      <c r="BG2068">
        <v>619149.53271028039</v>
      </c>
      <c r="BH2068">
        <v>0</v>
      </c>
      <c r="BI2068">
        <v>752602.80230776884</v>
      </c>
      <c r="BJ2068">
        <v>49590.0076922312</v>
      </c>
      <c r="BK2068">
        <v>802192.81</v>
      </c>
      <c r="BL2068" t="s">
        <v>242</v>
      </c>
      <c r="BM2068">
        <v>3</v>
      </c>
      <c r="BN2068">
        <v>26000</v>
      </c>
      <c r="BO2068">
        <v>0</v>
      </c>
      <c r="BP2068">
        <v>0</v>
      </c>
      <c r="BQ2068">
        <v>1600.9268872080575</v>
      </c>
      <c r="BR2068" t="s">
        <v>58</v>
      </c>
    </row>
    <row r="2069" spans="1:70" x14ac:dyDescent="0.3">
      <c r="A2069" t="s">
        <v>798</v>
      </c>
      <c r="B2069">
        <v>4132301772</v>
      </c>
      <c r="C2069" t="s">
        <v>689</v>
      </c>
      <c r="D2069" t="s">
        <v>938</v>
      </c>
      <c r="E2069" t="s">
        <v>442</v>
      </c>
      <c r="F2069" t="s">
        <v>430</v>
      </c>
      <c r="G2069" t="s">
        <v>230</v>
      </c>
      <c r="H2069" t="s">
        <v>231</v>
      </c>
      <c r="J2069" t="s">
        <v>52</v>
      </c>
      <c r="K2069" s="15">
        <v>1000</v>
      </c>
      <c r="M2069">
        <v>45323</v>
      </c>
      <c r="N2069" t="s">
        <v>1013</v>
      </c>
      <c r="O2069">
        <v>0</v>
      </c>
      <c r="P2069">
        <v>24622.308640751209</v>
      </c>
      <c r="Q2069">
        <v>0</v>
      </c>
      <c r="R2069">
        <v>0</v>
      </c>
      <c r="S2069">
        <v>564880.79</v>
      </c>
      <c r="T2069">
        <v>38702.51528901756</v>
      </c>
      <c r="U2069">
        <v>56074.766355140186</v>
      </c>
      <c r="V2069">
        <v>0</v>
      </c>
      <c r="W2069">
        <v>747663.55140186916</v>
      </c>
      <c r="X2069">
        <v>0</v>
      </c>
      <c r="Y2069">
        <v>1431943.9316867781</v>
      </c>
      <c r="Z2069">
        <v>58970.858313221885</v>
      </c>
      <c r="AA2069">
        <v>1490914.79</v>
      </c>
      <c r="AB2069" t="s">
        <v>242</v>
      </c>
      <c r="AC2069">
        <v>1</v>
      </c>
      <c r="AD2069">
        <v>1000</v>
      </c>
      <c r="AE2069">
        <v>0</v>
      </c>
      <c r="AF2069">
        <v>0</v>
      </c>
      <c r="AG2069">
        <v>38.487481170639853</v>
      </c>
      <c r="AH2069" t="s">
        <v>72</v>
      </c>
      <c r="AK2069" t="s">
        <v>798</v>
      </c>
      <c r="AL2069">
        <v>4142300035</v>
      </c>
      <c r="AM2069">
        <v>112833</v>
      </c>
      <c r="AN2069" t="s">
        <v>932</v>
      </c>
      <c r="AO2069" t="s">
        <v>444</v>
      </c>
      <c r="AP2069" t="s">
        <v>430</v>
      </c>
      <c r="AQ2069" t="s">
        <v>233</v>
      </c>
      <c r="AR2069" t="s">
        <v>231</v>
      </c>
      <c r="AT2069" t="s">
        <v>52</v>
      </c>
      <c r="AU2069">
        <v>70000</v>
      </c>
      <c r="AW2069">
        <v>45323</v>
      </c>
      <c r="AX2069" t="s">
        <v>1013</v>
      </c>
      <c r="AY2069">
        <v>0</v>
      </c>
      <c r="AZ2069">
        <v>0</v>
      </c>
      <c r="BA2069">
        <v>168874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168874</v>
      </c>
      <c r="BJ2069">
        <v>0</v>
      </c>
      <c r="BK2069">
        <v>168874</v>
      </c>
      <c r="BL2069" t="s">
        <v>242</v>
      </c>
      <c r="BM2069">
        <v>1</v>
      </c>
      <c r="BN2069">
        <v>70000</v>
      </c>
      <c r="BO2069">
        <v>0</v>
      </c>
      <c r="BP2069">
        <v>0</v>
      </c>
      <c r="BQ2069">
        <v>0</v>
      </c>
      <c r="BR2069" t="s">
        <v>72</v>
      </c>
    </row>
    <row r="2070" spans="1:70" x14ac:dyDescent="0.3">
      <c r="A2070" t="s">
        <v>798</v>
      </c>
      <c r="B2070">
        <v>4132301981</v>
      </c>
      <c r="C2070" t="s">
        <v>101</v>
      </c>
      <c r="D2070" t="s">
        <v>930</v>
      </c>
      <c r="E2070" t="s">
        <v>442</v>
      </c>
      <c r="F2070" t="s">
        <v>430</v>
      </c>
      <c r="G2070" t="s">
        <v>230</v>
      </c>
      <c r="H2070" t="s">
        <v>231</v>
      </c>
      <c r="J2070" t="s">
        <v>52</v>
      </c>
      <c r="K2070" s="15">
        <v>3000</v>
      </c>
      <c r="M2070">
        <v>45323</v>
      </c>
      <c r="N2070" t="s">
        <v>1013</v>
      </c>
      <c r="O2070">
        <v>0</v>
      </c>
      <c r="P2070">
        <v>20821.310990180275</v>
      </c>
      <c r="Q2070">
        <v>0</v>
      </c>
      <c r="R2070">
        <v>0</v>
      </c>
      <c r="S2070">
        <v>23352.81</v>
      </c>
      <c r="T2070">
        <v>10774.475710111894</v>
      </c>
      <c r="U2070">
        <v>78504.672897196258</v>
      </c>
      <c r="V2070">
        <v>0</v>
      </c>
      <c r="W2070">
        <v>619149.53271028039</v>
      </c>
      <c r="X2070">
        <v>0</v>
      </c>
      <c r="Y2070">
        <v>752602.80230776884</v>
      </c>
      <c r="Z2070">
        <v>49590.0076922312</v>
      </c>
      <c r="AA2070">
        <v>802192.81</v>
      </c>
      <c r="AB2070" t="s">
        <v>242</v>
      </c>
      <c r="AC2070">
        <v>3</v>
      </c>
      <c r="AD2070">
        <v>26000</v>
      </c>
      <c r="AE2070">
        <v>0</v>
      </c>
      <c r="AF2070">
        <v>0</v>
      </c>
      <c r="AG2070">
        <v>1600.9268872080575</v>
      </c>
      <c r="AH2070" t="s">
        <v>58</v>
      </c>
      <c r="AK2070" t="s">
        <v>798</v>
      </c>
      <c r="AL2070">
        <v>4142300720</v>
      </c>
      <c r="AM2070">
        <v>10326408</v>
      </c>
      <c r="AN2070" t="s">
        <v>205</v>
      </c>
      <c r="AO2070" t="s">
        <v>445</v>
      </c>
      <c r="AP2070" t="s">
        <v>430</v>
      </c>
      <c r="AQ2070" t="s">
        <v>230</v>
      </c>
      <c r="AR2070" t="s">
        <v>234</v>
      </c>
      <c r="AT2070" t="s">
        <v>52</v>
      </c>
      <c r="AU2070">
        <v>5000</v>
      </c>
      <c r="AW2070">
        <v>45323</v>
      </c>
      <c r="AX2070" t="s">
        <v>1013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501694.01869158878</v>
      </c>
      <c r="BI2070">
        <v>501694.01869158878</v>
      </c>
      <c r="BJ2070">
        <v>35118.581308411216</v>
      </c>
      <c r="BK2070">
        <v>536812.6</v>
      </c>
      <c r="BL2070" t="s">
        <v>242</v>
      </c>
      <c r="BM2070">
        <v>6</v>
      </c>
      <c r="BN2070">
        <v>30000</v>
      </c>
      <c r="BO2070">
        <v>0</v>
      </c>
      <c r="BP2070">
        <v>0</v>
      </c>
      <c r="BQ2070">
        <v>1962.6168224299054</v>
      </c>
      <c r="BR2070" t="s">
        <v>58</v>
      </c>
    </row>
    <row r="2071" spans="1:70" x14ac:dyDescent="0.3">
      <c r="A2071" t="s">
        <v>798</v>
      </c>
      <c r="B2071">
        <v>4142300035</v>
      </c>
      <c r="C2071">
        <v>112833</v>
      </c>
      <c r="D2071" t="s">
        <v>932</v>
      </c>
      <c r="E2071" t="s">
        <v>444</v>
      </c>
      <c r="F2071" t="s">
        <v>430</v>
      </c>
      <c r="G2071" t="s">
        <v>233</v>
      </c>
      <c r="H2071" t="s">
        <v>231</v>
      </c>
      <c r="J2071" t="s">
        <v>52</v>
      </c>
      <c r="K2071" s="15">
        <v>70000</v>
      </c>
      <c r="M2071">
        <v>45323</v>
      </c>
      <c r="N2071" t="s">
        <v>1013</v>
      </c>
      <c r="O2071">
        <v>0</v>
      </c>
      <c r="P2071">
        <v>0</v>
      </c>
      <c r="Q2071">
        <v>168874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168874</v>
      </c>
      <c r="Z2071">
        <v>0</v>
      </c>
      <c r="AA2071">
        <v>168874</v>
      </c>
      <c r="AB2071" t="s">
        <v>242</v>
      </c>
      <c r="AC2071">
        <v>1</v>
      </c>
      <c r="AD2071">
        <v>70000</v>
      </c>
      <c r="AE2071">
        <v>0</v>
      </c>
      <c r="AF2071">
        <v>0</v>
      </c>
      <c r="AG2071">
        <v>0</v>
      </c>
      <c r="AH2071" t="s">
        <v>72</v>
      </c>
      <c r="AK2071" t="s">
        <v>798</v>
      </c>
      <c r="AL2071">
        <v>4142300793</v>
      </c>
      <c r="AM2071">
        <v>10386799</v>
      </c>
      <c r="AN2071" t="s">
        <v>742</v>
      </c>
      <c r="AO2071" t="s">
        <v>445</v>
      </c>
      <c r="AP2071" t="s">
        <v>430</v>
      </c>
      <c r="AQ2071" t="s">
        <v>230</v>
      </c>
      <c r="AR2071" t="s">
        <v>234</v>
      </c>
      <c r="AT2071" t="s">
        <v>52</v>
      </c>
      <c r="AU2071">
        <v>5000</v>
      </c>
      <c r="AW2071">
        <v>45323</v>
      </c>
      <c r="AX2071" t="s">
        <v>1013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426062.43925233645</v>
      </c>
      <c r="BI2071">
        <v>426062.43925233645</v>
      </c>
      <c r="BJ2071">
        <v>29824.370747663554</v>
      </c>
      <c r="BK2071">
        <v>455886.81</v>
      </c>
      <c r="BL2071" t="s">
        <v>242</v>
      </c>
      <c r="BM2071">
        <v>1</v>
      </c>
      <c r="BN2071">
        <v>5000</v>
      </c>
      <c r="BO2071">
        <v>0</v>
      </c>
      <c r="BP2071">
        <v>0</v>
      </c>
      <c r="BQ2071">
        <v>327.10280373831756</v>
      </c>
      <c r="BR2071" t="s">
        <v>72</v>
      </c>
    </row>
    <row r="2072" spans="1:70" x14ac:dyDescent="0.3">
      <c r="A2072" t="s">
        <v>798</v>
      </c>
      <c r="B2072">
        <v>4142300107</v>
      </c>
      <c r="C2072">
        <v>96093</v>
      </c>
      <c r="D2072" t="s">
        <v>931</v>
      </c>
      <c r="E2072" t="s">
        <v>444</v>
      </c>
      <c r="F2072" t="s">
        <v>430</v>
      </c>
      <c r="G2072" t="s">
        <v>230</v>
      </c>
      <c r="H2072" t="s">
        <v>231</v>
      </c>
      <c r="J2072" t="s">
        <v>52</v>
      </c>
      <c r="K2072" s="15">
        <v>32000</v>
      </c>
      <c r="M2072">
        <v>45323</v>
      </c>
      <c r="N2072" t="s">
        <v>1013</v>
      </c>
      <c r="O2072">
        <v>0</v>
      </c>
      <c r="P2072">
        <v>2183.0898938153146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85217.672996434296</v>
      </c>
      <c r="X2072">
        <v>0</v>
      </c>
      <c r="Y2072">
        <v>87400.762890249607</v>
      </c>
      <c r="Z2072">
        <v>5965.237109750401</v>
      </c>
      <c r="AA2072">
        <v>93366.000000000015</v>
      </c>
      <c r="AB2072" t="s">
        <v>242</v>
      </c>
      <c r="AC2072">
        <v>3</v>
      </c>
      <c r="AD2072">
        <v>144320</v>
      </c>
      <c r="AE2072">
        <v>0</v>
      </c>
      <c r="AF2072">
        <v>0</v>
      </c>
      <c r="AG2072">
        <v>9191.7909276327809</v>
      </c>
      <c r="AH2072" t="s">
        <v>58</v>
      </c>
      <c r="AK2072" t="s">
        <v>798</v>
      </c>
      <c r="AL2072">
        <v>4142300798</v>
      </c>
      <c r="AM2072">
        <v>10364170</v>
      </c>
      <c r="AN2072" t="s">
        <v>210</v>
      </c>
      <c r="AO2072" t="s">
        <v>445</v>
      </c>
      <c r="AP2072" t="s">
        <v>430</v>
      </c>
      <c r="AQ2072" t="s">
        <v>230</v>
      </c>
      <c r="AR2072" t="s">
        <v>234</v>
      </c>
      <c r="AT2072" t="s">
        <v>52</v>
      </c>
      <c r="AU2072">
        <v>30000</v>
      </c>
      <c r="AW2072">
        <v>45323</v>
      </c>
      <c r="AX2072" t="s">
        <v>1013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737576.64729228022</v>
      </c>
      <c r="BI2072">
        <v>737576.64729228022</v>
      </c>
      <c r="BJ2072">
        <v>51630.365310459623</v>
      </c>
      <c r="BK2072">
        <v>789207.01260273985</v>
      </c>
      <c r="BL2072" t="s">
        <v>242</v>
      </c>
      <c r="BM2072">
        <v>5</v>
      </c>
      <c r="BN2072">
        <v>182000</v>
      </c>
      <c r="BO2072">
        <v>0</v>
      </c>
      <c r="BP2072">
        <v>0</v>
      </c>
      <c r="BQ2072">
        <v>11906.542056074772</v>
      </c>
      <c r="BR2072" t="s">
        <v>58</v>
      </c>
    </row>
    <row r="2073" spans="1:70" x14ac:dyDescent="0.3">
      <c r="A2073" t="s">
        <v>798</v>
      </c>
      <c r="B2073">
        <v>4142300160</v>
      </c>
      <c r="C2073">
        <v>10044677</v>
      </c>
      <c r="D2073" t="s">
        <v>190</v>
      </c>
      <c r="E2073" t="s">
        <v>445</v>
      </c>
      <c r="F2073" t="s">
        <v>430</v>
      </c>
      <c r="G2073" t="s">
        <v>230</v>
      </c>
      <c r="H2073" t="s">
        <v>234</v>
      </c>
      <c r="J2073" t="s">
        <v>52</v>
      </c>
      <c r="K2073" s="15">
        <v>1000</v>
      </c>
      <c r="M2073">
        <v>45323</v>
      </c>
      <c r="N2073" t="s">
        <v>1013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33519.261682243006</v>
      </c>
      <c r="Y2073">
        <v>33519.261682243006</v>
      </c>
      <c r="Z2073">
        <v>2346.3483177570106</v>
      </c>
      <c r="AA2073">
        <v>35865.610000000015</v>
      </c>
      <c r="AB2073" t="s">
        <v>242</v>
      </c>
      <c r="AC2073">
        <v>9</v>
      </c>
      <c r="AD2073">
        <v>51000</v>
      </c>
      <c r="AE2073">
        <v>0</v>
      </c>
      <c r="AF2073">
        <v>0</v>
      </c>
      <c r="AG2073">
        <v>3336.4485981308426</v>
      </c>
      <c r="AH2073" t="s">
        <v>58</v>
      </c>
      <c r="AK2073" t="s">
        <v>798</v>
      </c>
      <c r="AL2073">
        <v>4142300833</v>
      </c>
      <c r="AM2073">
        <v>10386254</v>
      </c>
      <c r="AN2073" t="s">
        <v>743</v>
      </c>
      <c r="AO2073" t="s">
        <v>445</v>
      </c>
      <c r="AP2073" t="s">
        <v>430</v>
      </c>
      <c r="AQ2073" t="s">
        <v>230</v>
      </c>
      <c r="AR2073" t="s">
        <v>234</v>
      </c>
      <c r="AT2073" t="s">
        <v>52</v>
      </c>
      <c r="AU2073">
        <v>5000</v>
      </c>
      <c r="AW2073">
        <v>45323</v>
      </c>
      <c r="AX2073" t="s">
        <v>1013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412950.71028037387</v>
      </c>
      <c r="BI2073">
        <v>412950.71028037387</v>
      </c>
      <c r="BJ2073">
        <v>28906.549719626175</v>
      </c>
      <c r="BK2073">
        <v>441857.26000000007</v>
      </c>
      <c r="BL2073" t="s">
        <v>242</v>
      </c>
      <c r="BM2073">
        <v>2</v>
      </c>
      <c r="BN2073">
        <v>10000</v>
      </c>
      <c r="BO2073">
        <v>0</v>
      </c>
      <c r="BP2073">
        <v>0</v>
      </c>
      <c r="BQ2073">
        <v>654.20560747663512</v>
      </c>
      <c r="BR2073" t="s">
        <v>58</v>
      </c>
    </row>
    <row r="2074" spans="1:70" x14ac:dyDescent="0.3">
      <c r="A2074" t="s">
        <v>798</v>
      </c>
      <c r="B2074">
        <v>4142300652</v>
      </c>
      <c r="C2074">
        <v>10289270</v>
      </c>
      <c r="D2074" t="s">
        <v>203</v>
      </c>
      <c r="E2074" t="s">
        <v>445</v>
      </c>
      <c r="F2074" t="s">
        <v>430</v>
      </c>
      <c r="G2074" t="s">
        <v>237</v>
      </c>
      <c r="H2074" t="s">
        <v>234</v>
      </c>
      <c r="J2074" t="s">
        <v>52</v>
      </c>
      <c r="K2074" s="15">
        <v>2000</v>
      </c>
      <c r="M2074">
        <v>45323</v>
      </c>
      <c r="N2074" t="s">
        <v>1013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42310.280373831782</v>
      </c>
      <c r="Y2074">
        <v>42310.280373831782</v>
      </c>
      <c r="Z2074">
        <v>2961.7196261682252</v>
      </c>
      <c r="AA2074">
        <v>45272.000000000007</v>
      </c>
      <c r="AB2074" t="s">
        <v>242</v>
      </c>
      <c r="AC2074">
        <v>6</v>
      </c>
      <c r="AD2074">
        <v>17000</v>
      </c>
      <c r="AE2074">
        <v>0</v>
      </c>
      <c r="AF2074">
        <v>0</v>
      </c>
      <c r="AG2074">
        <v>1112.14953271028</v>
      </c>
      <c r="AH2074" t="s">
        <v>58</v>
      </c>
      <c r="AK2074" t="s">
        <v>798</v>
      </c>
      <c r="AL2074">
        <v>4142301290</v>
      </c>
      <c r="AM2074">
        <v>10276970</v>
      </c>
      <c r="AN2074" t="s">
        <v>751</v>
      </c>
      <c r="AO2074" t="s">
        <v>446</v>
      </c>
      <c r="AP2074" t="s">
        <v>430</v>
      </c>
      <c r="AQ2074" t="s">
        <v>230</v>
      </c>
      <c r="AR2074" t="s">
        <v>234</v>
      </c>
      <c r="AT2074" t="s">
        <v>52</v>
      </c>
      <c r="AU2074">
        <v>8000</v>
      </c>
      <c r="AW2074">
        <v>45323</v>
      </c>
      <c r="AX2074" t="s">
        <v>1013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558490.18429906538</v>
      </c>
      <c r="BI2074">
        <v>558490.18429906538</v>
      </c>
      <c r="BJ2074">
        <v>39094.312900934579</v>
      </c>
      <c r="BK2074">
        <v>597584.49719999998</v>
      </c>
      <c r="BL2074" t="s">
        <v>242</v>
      </c>
      <c r="BM2074">
        <v>1</v>
      </c>
      <c r="BN2074">
        <v>8000</v>
      </c>
      <c r="BO2074">
        <v>0</v>
      </c>
      <c r="BP2074">
        <v>0</v>
      </c>
      <c r="BQ2074">
        <v>523.36448598130846</v>
      </c>
      <c r="BR2074" t="s">
        <v>72</v>
      </c>
    </row>
    <row r="2075" spans="1:70" x14ac:dyDescent="0.3">
      <c r="A2075" t="s">
        <v>798</v>
      </c>
      <c r="B2075">
        <v>4142300720</v>
      </c>
      <c r="C2075">
        <v>10326408</v>
      </c>
      <c r="D2075" t="s">
        <v>205</v>
      </c>
      <c r="E2075" t="s">
        <v>445</v>
      </c>
      <c r="F2075" t="s">
        <v>430</v>
      </c>
      <c r="G2075" t="s">
        <v>230</v>
      </c>
      <c r="H2075" t="s">
        <v>234</v>
      </c>
      <c r="J2075" t="s">
        <v>52</v>
      </c>
      <c r="K2075" s="15">
        <v>5000</v>
      </c>
      <c r="M2075">
        <v>45323</v>
      </c>
      <c r="N2075" t="s">
        <v>1013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501694.01869158878</v>
      </c>
      <c r="Y2075">
        <v>501694.01869158878</v>
      </c>
      <c r="Z2075">
        <v>35118.581308411216</v>
      </c>
      <c r="AA2075">
        <v>536812.6</v>
      </c>
      <c r="AB2075" t="s">
        <v>242</v>
      </c>
      <c r="AC2075">
        <v>6</v>
      </c>
      <c r="AD2075">
        <v>30000</v>
      </c>
      <c r="AE2075">
        <v>0</v>
      </c>
      <c r="AF2075">
        <v>0</v>
      </c>
      <c r="AG2075">
        <v>1962.6168224299054</v>
      </c>
      <c r="AH2075" t="s">
        <v>58</v>
      </c>
      <c r="AK2075" t="s">
        <v>798</v>
      </c>
      <c r="AL2075">
        <v>4302300019</v>
      </c>
      <c r="AM2075">
        <v>901019008726</v>
      </c>
      <c r="AN2075" t="s">
        <v>224</v>
      </c>
      <c r="AO2075" t="s">
        <v>447</v>
      </c>
      <c r="AP2075" t="s">
        <v>433</v>
      </c>
      <c r="AQ2075" t="s">
        <v>82</v>
      </c>
      <c r="AR2075" t="s">
        <v>83</v>
      </c>
      <c r="AT2075" t="s">
        <v>52</v>
      </c>
      <c r="AU2075">
        <v>50000</v>
      </c>
      <c r="AW2075">
        <v>45323</v>
      </c>
      <c r="AX2075" t="s">
        <v>1013</v>
      </c>
      <c r="AY2075">
        <v>0</v>
      </c>
      <c r="AZ2075">
        <v>0</v>
      </c>
      <c r="BA2075">
        <v>28062.957564271856</v>
      </c>
      <c r="BB2075">
        <v>1621.7399999999998</v>
      </c>
      <c r="BC2075">
        <v>0</v>
      </c>
      <c r="BD2075">
        <v>0</v>
      </c>
      <c r="BE2075">
        <v>0</v>
      </c>
      <c r="BF2075">
        <v>449012.712930587</v>
      </c>
      <c r="BG2075">
        <v>0</v>
      </c>
      <c r="BH2075">
        <v>0</v>
      </c>
      <c r="BI2075">
        <v>478697.41049485886</v>
      </c>
      <c r="BJ2075">
        <v>31430.889905141092</v>
      </c>
      <c r="BK2075">
        <v>510128.30039999995</v>
      </c>
      <c r="BL2075" t="s">
        <v>242</v>
      </c>
      <c r="BM2075">
        <v>2</v>
      </c>
      <c r="BN2075">
        <v>100000</v>
      </c>
      <c r="BO2075">
        <v>0</v>
      </c>
      <c r="BP2075">
        <v>0</v>
      </c>
      <c r="BQ2075">
        <v>6132.5604948589098</v>
      </c>
      <c r="BR2075" t="s">
        <v>58</v>
      </c>
    </row>
    <row r="2076" spans="1:70" x14ac:dyDescent="0.3">
      <c r="A2076" t="s">
        <v>798</v>
      </c>
      <c r="B2076">
        <v>4142300779</v>
      </c>
      <c r="C2076">
        <v>10355108</v>
      </c>
      <c r="D2076" t="s">
        <v>208</v>
      </c>
      <c r="E2076" t="s">
        <v>445</v>
      </c>
      <c r="F2076" t="s">
        <v>430</v>
      </c>
      <c r="G2076" t="s">
        <v>230</v>
      </c>
      <c r="H2076" t="s">
        <v>234</v>
      </c>
      <c r="J2076" t="s">
        <v>52</v>
      </c>
      <c r="K2076" s="15">
        <v>200000</v>
      </c>
      <c r="M2076">
        <v>45323</v>
      </c>
      <c r="N2076" t="s">
        <v>1018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7481.2429906541656</v>
      </c>
      <c r="Y2076">
        <v>7481.2429906541656</v>
      </c>
      <c r="Z2076">
        <v>523.68700934579169</v>
      </c>
      <c r="AA2076">
        <v>8004.9299999999575</v>
      </c>
      <c r="AB2076" t="s">
        <v>242</v>
      </c>
      <c r="AC2076">
        <v>3</v>
      </c>
      <c r="AD2076">
        <v>240000</v>
      </c>
      <c r="AE2076">
        <v>0</v>
      </c>
      <c r="AF2076">
        <v>0</v>
      </c>
      <c r="AG2076">
        <v>15700.93457943925</v>
      </c>
      <c r="AH2076" t="s">
        <v>58</v>
      </c>
      <c r="AK2076" t="s">
        <v>798</v>
      </c>
      <c r="AL2076">
        <v>4302300042</v>
      </c>
      <c r="AM2076">
        <v>901012024750</v>
      </c>
      <c r="AN2076" t="s">
        <v>227</v>
      </c>
      <c r="AO2076" t="s">
        <v>447</v>
      </c>
      <c r="AP2076" t="s">
        <v>433</v>
      </c>
      <c r="AQ2076" t="s">
        <v>82</v>
      </c>
      <c r="AR2076" t="s">
        <v>83</v>
      </c>
      <c r="AT2076" t="s">
        <v>52</v>
      </c>
      <c r="AU2076">
        <v>2000</v>
      </c>
      <c r="AW2076">
        <v>45323</v>
      </c>
      <c r="AX2076" t="s">
        <v>1029</v>
      </c>
      <c r="AY2076">
        <v>0</v>
      </c>
      <c r="AZ2076">
        <v>0</v>
      </c>
      <c r="BA2076">
        <v>38064.225911553462</v>
      </c>
      <c r="BB2076">
        <v>37265.26</v>
      </c>
      <c r="BC2076">
        <v>94154.475316305165</v>
      </c>
      <c r="BD2076">
        <v>0</v>
      </c>
      <c r="BE2076">
        <v>0</v>
      </c>
      <c r="BF2076">
        <v>553789.81999999995</v>
      </c>
      <c r="BG2076">
        <v>0</v>
      </c>
      <c r="BH2076">
        <v>0</v>
      </c>
      <c r="BI2076">
        <v>723273.7812278585</v>
      </c>
      <c r="BJ2076">
        <v>45356.100672141365</v>
      </c>
      <c r="BK2076">
        <v>768629.88189999992</v>
      </c>
      <c r="BL2076" t="s">
        <v>242</v>
      </c>
      <c r="BM2076">
        <v>2</v>
      </c>
      <c r="BN2076">
        <v>4000</v>
      </c>
      <c r="BO2076">
        <v>0</v>
      </c>
      <c r="BP2076">
        <v>0</v>
      </c>
      <c r="BQ2076">
        <v>234.42122785863808</v>
      </c>
      <c r="BR2076" t="s">
        <v>58</v>
      </c>
    </row>
    <row r="2077" spans="1:70" x14ac:dyDescent="0.3">
      <c r="A2077" t="s">
        <v>798</v>
      </c>
      <c r="B2077">
        <v>4142300779</v>
      </c>
      <c r="C2077">
        <v>10355108</v>
      </c>
      <c r="D2077" t="s">
        <v>208</v>
      </c>
      <c r="E2077" t="s">
        <v>445</v>
      </c>
      <c r="F2077" t="s">
        <v>430</v>
      </c>
      <c r="G2077" t="s">
        <v>230</v>
      </c>
      <c r="H2077" t="s">
        <v>234</v>
      </c>
      <c r="J2077" t="s">
        <v>416</v>
      </c>
      <c r="K2077" s="15">
        <v>0.1014</v>
      </c>
      <c r="M2077">
        <v>45323</v>
      </c>
      <c r="N2077" t="s">
        <v>1016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6722.6449514018332</v>
      </c>
      <c r="Y2077">
        <v>6722.6449514018332</v>
      </c>
      <c r="Z2077">
        <v>470.58514659812835</v>
      </c>
      <c r="AA2077">
        <v>7193.2300979999618</v>
      </c>
      <c r="AB2077" t="s">
        <v>242</v>
      </c>
      <c r="AC2077">
        <v>3</v>
      </c>
      <c r="AD2077">
        <v>240000</v>
      </c>
      <c r="AE2077">
        <v>0</v>
      </c>
      <c r="AF2077">
        <v>0</v>
      </c>
      <c r="AG2077">
        <v>15700.93457943925</v>
      </c>
      <c r="AH2077" t="s">
        <v>58</v>
      </c>
      <c r="AK2077" t="s">
        <v>798</v>
      </c>
      <c r="AL2077">
        <v>4302300043</v>
      </c>
      <c r="AM2077">
        <v>901012030332</v>
      </c>
      <c r="AN2077" t="s">
        <v>227</v>
      </c>
      <c r="AO2077" t="s">
        <v>447</v>
      </c>
      <c r="AP2077" t="s">
        <v>433</v>
      </c>
      <c r="AQ2077" t="s">
        <v>82</v>
      </c>
      <c r="AR2077" t="s">
        <v>83</v>
      </c>
      <c r="AT2077" t="s">
        <v>52</v>
      </c>
      <c r="AU2077">
        <v>2000</v>
      </c>
      <c r="AW2077">
        <v>45323</v>
      </c>
      <c r="AX2077" t="s">
        <v>1029</v>
      </c>
      <c r="AY2077">
        <v>0</v>
      </c>
      <c r="AZ2077">
        <v>0</v>
      </c>
      <c r="BA2077">
        <v>48252.168738862463</v>
      </c>
      <c r="BB2077">
        <v>41417.75</v>
      </c>
      <c r="BC2077">
        <v>103573.85473003509</v>
      </c>
      <c r="BD2077">
        <v>0</v>
      </c>
      <c r="BE2077">
        <v>0</v>
      </c>
      <c r="BF2077">
        <v>706553.99</v>
      </c>
      <c r="BG2077">
        <v>0</v>
      </c>
      <c r="BH2077">
        <v>0</v>
      </c>
      <c r="BI2077">
        <v>899797.76346889755</v>
      </c>
      <c r="BJ2077">
        <v>56708.949131102461</v>
      </c>
      <c r="BK2077">
        <v>956506.71259999997</v>
      </c>
      <c r="BL2077" t="s">
        <v>242</v>
      </c>
      <c r="BM2077">
        <v>3</v>
      </c>
      <c r="BN2077">
        <v>11000</v>
      </c>
      <c r="BO2077">
        <v>0</v>
      </c>
      <c r="BP2077">
        <v>0</v>
      </c>
      <c r="BQ2077">
        <v>647.87346889754372</v>
      </c>
      <c r="BR2077" t="s">
        <v>58</v>
      </c>
    </row>
    <row r="2078" spans="1:70" x14ac:dyDescent="0.3">
      <c r="A2078" t="s">
        <v>798</v>
      </c>
      <c r="B2078">
        <v>4142300793</v>
      </c>
      <c r="C2078">
        <v>10386799</v>
      </c>
      <c r="D2078" t="s">
        <v>742</v>
      </c>
      <c r="E2078" t="s">
        <v>445</v>
      </c>
      <c r="F2078" t="s">
        <v>430</v>
      </c>
      <c r="G2078" t="s">
        <v>230</v>
      </c>
      <c r="H2078" t="s">
        <v>234</v>
      </c>
      <c r="J2078" t="s">
        <v>52</v>
      </c>
      <c r="K2078" s="15">
        <v>5000</v>
      </c>
      <c r="M2078">
        <v>45323</v>
      </c>
      <c r="N2078" t="s">
        <v>1013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426062.43925233645</v>
      </c>
      <c r="Y2078">
        <v>426062.43925233645</v>
      </c>
      <c r="Z2078">
        <v>29824.370747663554</v>
      </c>
      <c r="AA2078">
        <v>455886.81</v>
      </c>
      <c r="AB2078" t="s">
        <v>242</v>
      </c>
      <c r="AC2078">
        <v>1</v>
      </c>
      <c r="AD2078">
        <v>5000</v>
      </c>
      <c r="AE2078">
        <v>0</v>
      </c>
      <c r="AF2078">
        <v>0</v>
      </c>
      <c r="AG2078">
        <v>327.10280373831756</v>
      </c>
      <c r="AH2078" t="s">
        <v>72</v>
      </c>
      <c r="AK2078" t="s">
        <v>798</v>
      </c>
      <c r="AL2078">
        <v>4302300044</v>
      </c>
      <c r="AM2078">
        <v>901012030496</v>
      </c>
      <c r="AN2078" t="s">
        <v>227</v>
      </c>
      <c r="AO2078" t="s">
        <v>447</v>
      </c>
      <c r="AP2078" t="s">
        <v>433</v>
      </c>
      <c r="AQ2078" t="s">
        <v>82</v>
      </c>
      <c r="AR2078" t="s">
        <v>83</v>
      </c>
      <c r="AT2078" t="s">
        <v>52</v>
      </c>
      <c r="AU2078">
        <v>2000</v>
      </c>
      <c r="AW2078">
        <v>45323</v>
      </c>
      <c r="AX2078" t="s">
        <v>1029</v>
      </c>
      <c r="AY2078">
        <v>0</v>
      </c>
      <c r="AZ2078">
        <v>0</v>
      </c>
      <c r="BA2078">
        <v>50205.615098841801</v>
      </c>
      <c r="BB2078">
        <v>42434.2</v>
      </c>
      <c r="BC2078">
        <v>115522.32467397962</v>
      </c>
      <c r="BD2078">
        <v>0</v>
      </c>
      <c r="BE2078">
        <v>0</v>
      </c>
      <c r="BF2078">
        <v>725754.44</v>
      </c>
      <c r="BG2078">
        <v>0</v>
      </c>
      <c r="BH2078">
        <v>0</v>
      </c>
      <c r="BI2078">
        <v>933916.57977282139</v>
      </c>
      <c r="BJ2078">
        <v>58889.373527178577</v>
      </c>
      <c r="BK2078">
        <v>992805.95329999994</v>
      </c>
      <c r="BL2078" t="s">
        <v>242</v>
      </c>
      <c r="BM2078">
        <v>2</v>
      </c>
      <c r="BN2078">
        <v>4000</v>
      </c>
      <c r="BO2078">
        <v>0</v>
      </c>
      <c r="BP2078">
        <v>0</v>
      </c>
      <c r="BQ2078">
        <v>235.71977282142643</v>
      </c>
      <c r="BR2078" t="s">
        <v>58</v>
      </c>
    </row>
    <row r="2079" spans="1:70" x14ac:dyDescent="0.3">
      <c r="A2079" t="s">
        <v>798</v>
      </c>
      <c r="B2079">
        <v>4142300798</v>
      </c>
      <c r="C2079">
        <v>10364170</v>
      </c>
      <c r="D2079" t="s">
        <v>210</v>
      </c>
      <c r="E2079" t="s">
        <v>445</v>
      </c>
      <c r="F2079" t="s">
        <v>430</v>
      </c>
      <c r="G2079" t="s">
        <v>230</v>
      </c>
      <c r="H2079" t="s">
        <v>234</v>
      </c>
      <c r="J2079" t="s">
        <v>52</v>
      </c>
      <c r="K2079" s="15">
        <v>30000</v>
      </c>
      <c r="M2079">
        <v>45323</v>
      </c>
      <c r="N2079" t="s">
        <v>1013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737576.64729228022</v>
      </c>
      <c r="Y2079">
        <v>737576.64729228022</v>
      </c>
      <c r="Z2079">
        <v>51630.365310459623</v>
      </c>
      <c r="AA2079">
        <v>789207.01260273985</v>
      </c>
      <c r="AB2079" t="s">
        <v>242</v>
      </c>
      <c r="AC2079">
        <v>5</v>
      </c>
      <c r="AD2079">
        <v>182000</v>
      </c>
      <c r="AE2079">
        <v>0</v>
      </c>
      <c r="AF2079">
        <v>0</v>
      </c>
      <c r="AG2079">
        <v>11906.542056074772</v>
      </c>
      <c r="AH2079" t="s">
        <v>58</v>
      </c>
      <c r="AK2079" t="s">
        <v>798</v>
      </c>
      <c r="AL2079">
        <v>4302300045</v>
      </c>
      <c r="AM2079">
        <v>901012030501</v>
      </c>
      <c r="AN2079" t="s">
        <v>227</v>
      </c>
      <c r="AO2079" t="s">
        <v>447</v>
      </c>
      <c r="AP2079" t="s">
        <v>433</v>
      </c>
      <c r="AQ2079" t="s">
        <v>82</v>
      </c>
      <c r="AR2079" t="s">
        <v>83</v>
      </c>
      <c r="AT2079" t="s">
        <v>52</v>
      </c>
      <c r="AU2079">
        <v>2000</v>
      </c>
      <c r="AW2079">
        <v>45323</v>
      </c>
      <c r="AX2079" t="s">
        <v>1029</v>
      </c>
      <c r="AY2079">
        <v>0</v>
      </c>
      <c r="AZ2079">
        <v>0</v>
      </c>
      <c r="BA2079">
        <v>49852.768246258456</v>
      </c>
      <c r="BB2079">
        <v>42537.96</v>
      </c>
      <c r="BC2079">
        <v>115688.87967639398</v>
      </c>
      <c r="BD2079">
        <v>0</v>
      </c>
      <c r="BE2079">
        <v>0</v>
      </c>
      <c r="BF2079">
        <v>727221.82</v>
      </c>
      <c r="BG2079">
        <v>0</v>
      </c>
      <c r="BH2079">
        <v>0</v>
      </c>
      <c r="BI2079">
        <v>935301.42792265234</v>
      </c>
      <c r="BJ2079">
        <v>59003.748977347575</v>
      </c>
      <c r="BK2079">
        <v>994305.17689999996</v>
      </c>
      <c r="BL2079" t="s">
        <v>242</v>
      </c>
      <c r="BM2079">
        <v>2</v>
      </c>
      <c r="BN2079">
        <v>4000</v>
      </c>
      <c r="BO2079">
        <v>0</v>
      </c>
      <c r="BP2079">
        <v>0</v>
      </c>
      <c r="BQ2079">
        <v>235.8279226524221</v>
      </c>
      <c r="BR2079" t="s">
        <v>58</v>
      </c>
    </row>
    <row r="2080" spans="1:70" x14ac:dyDescent="0.3">
      <c r="A2080" t="s">
        <v>798</v>
      </c>
      <c r="B2080">
        <v>4142300833</v>
      </c>
      <c r="C2080">
        <v>10386254</v>
      </c>
      <c r="D2080" t="s">
        <v>743</v>
      </c>
      <c r="E2080" t="s">
        <v>445</v>
      </c>
      <c r="F2080" t="s">
        <v>430</v>
      </c>
      <c r="G2080" t="s">
        <v>230</v>
      </c>
      <c r="H2080" t="s">
        <v>234</v>
      </c>
      <c r="J2080" t="s">
        <v>52</v>
      </c>
      <c r="K2080" s="15">
        <v>5000</v>
      </c>
      <c r="M2080">
        <v>45323</v>
      </c>
      <c r="N2080" t="s">
        <v>1013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412950.71028037387</v>
      </c>
      <c r="Y2080">
        <v>412950.71028037387</v>
      </c>
      <c r="Z2080">
        <v>28906.549719626175</v>
      </c>
      <c r="AA2080">
        <v>441857.26000000007</v>
      </c>
      <c r="AB2080" t="s">
        <v>242</v>
      </c>
      <c r="AC2080">
        <v>2</v>
      </c>
      <c r="AD2080">
        <v>10000</v>
      </c>
      <c r="AE2080">
        <v>0</v>
      </c>
      <c r="AF2080">
        <v>0</v>
      </c>
      <c r="AG2080">
        <v>654.20560747663512</v>
      </c>
      <c r="AH2080" t="s">
        <v>58</v>
      </c>
      <c r="AK2080" t="s">
        <v>798</v>
      </c>
      <c r="AL2080">
        <v>4302300046</v>
      </c>
      <c r="AM2080">
        <v>901012034713</v>
      </c>
      <c r="AN2080" t="s">
        <v>227</v>
      </c>
      <c r="AO2080" t="s">
        <v>447</v>
      </c>
      <c r="AP2080" t="s">
        <v>433</v>
      </c>
      <c r="AQ2080" t="s">
        <v>82</v>
      </c>
      <c r="AR2080" t="s">
        <v>83</v>
      </c>
      <c r="AT2080" t="s">
        <v>52</v>
      </c>
      <c r="AU2080">
        <v>3000</v>
      </c>
      <c r="AW2080">
        <v>45323</v>
      </c>
      <c r="AX2080" t="s">
        <v>1029</v>
      </c>
      <c r="AY2080">
        <v>0</v>
      </c>
      <c r="AZ2080">
        <v>0</v>
      </c>
      <c r="BA2080">
        <v>51157.177572236513</v>
      </c>
      <c r="BB2080">
        <v>46050.97</v>
      </c>
      <c r="BC2080">
        <v>107357.31311005935</v>
      </c>
      <c r="BD2080">
        <v>0</v>
      </c>
      <c r="BE2080">
        <v>0</v>
      </c>
      <c r="BF2080">
        <v>750980.5</v>
      </c>
      <c r="BG2080">
        <v>0</v>
      </c>
      <c r="BH2080">
        <v>0</v>
      </c>
      <c r="BI2080">
        <v>955545.96068229584</v>
      </c>
      <c r="BJ2080">
        <v>60083.646917704158</v>
      </c>
      <c r="BK2080">
        <v>1015629.6076</v>
      </c>
      <c r="BL2080" t="s">
        <v>242</v>
      </c>
      <c r="BM2080">
        <v>3</v>
      </c>
      <c r="BN2080">
        <v>13000</v>
      </c>
      <c r="BO2080">
        <v>0</v>
      </c>
      <c r="BP2080">
        <v>0</v>
      </c>
      <c r="BQ2080">
        <v>763.90068229584676</v>
      </c>
      <c r="BR2080" t="s">
        <v>58</v>
      </c>
    </row>
    <row r="2081" spans="1:70" x14ac:dyDescent="0.3">
      <c r="A2081" t="s">
        <v>798</v>
      </c>
      <c r="B2081">
        <v>4142301290</v>
      </c>
      <c r="C2081">
        <v>10276970</v>
      </c>
      <c r="D2081" t="s">
        <v>751</v>
      </c>
      <c r="E2081" t="s">
        <v>446</v>
      </c>
      <c r="F2081" t="s">
        <v>430</v>
      </c>
      <c r="G2081" t="s">
        <v>230</v>
      </c>
      <c r="H2081" t="s">
        <v>234</v>
      </c>
      <c r="J2081" t="s">
        <v>52</v>
      </c>
      <c r="K2081" s="15">
        <v>8000</v>
      </c>
      <c r="M2081">
        <v>45323</v>
      </c>
      <c r="N2081" t="s">
        <v>1013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558490.18429906538</v>
      </c>
      <c r="Y2081">
        <v>558490.18429906538</v>
      </c>
      <c r="Z2081">
        <v>39094.312900934579</v>
      </c>
      <c r="AA2081">
        <v>597584.49719999998</v>
      </c>
      <c r="AB2081" t="s">
        <v>242</v>
      </c>
      <c r="AC2081">
        <v>1</v>
      </c>
      <c r="AD2081">
        <v>8000</v>
      </c>
      <c r="AE2081">
        <v>0</v>
      </c>
      <c r="AF2081">
        <v>0</v>
      </c>
      <c r="AG2081">
        <v>523.36448598130846</v>
      </c>
      <c r="AH2081" t="s">
        <v>72</v>
      </c>
      <c r="AK2081" t="s">
        <v>798</v>
      </c>
      <c r="AL2081">
        <v>4302300047</v>
      </c>
      <c r="AM2081">
        <v>901012034728</v>
      </c>
      <c r="AN2081" t="s">
        <v>227</v>
      </c>
      <c r="AO2081" t="s">
        <v>447</v>
      </c>
      <c r="AP2081" t="s">
        <v>433</v>
      </c>
      <c r="AQ2081" t="s">
        <v>82</v>
      </c>
      <c r="AR2081" t="s">
        <v>83</v>
      </c>
      <c r="AT2081" t="s">
        <v>52</v>
      </c>
      <c r="AU2081">
        <v>3000</v>
      </c>
      <c r="AW2081">
        <v>45323</v>
      </c>
      <c r="AX2081" t="s">
        <v>1029</v>
      </c>
      <c r="AY2081">
        <v>0</v>
      </c>
      <c r="AZ2081">
        <v>0</v>
      </c>
      <c r="BA2081">
        <v>50701.632500410007</v>
      </c>
      <c r="BB2081">
        <v>45094.06</v>
      </c>
      <c r="BC2081">
        <v>106608.32906503737</v>
      </c>
      <c r="BD2081">
        <v>0</v>
      </c>
      <c r="BE2081">
        <v>0</v>
      </c>
      <c r="BF2081">
        <v>745073.02</v>
      </c>
      <c r="BG2081">
        <v>0</v>
      </c>
      <c r="BH2081">
        <v>0</v>
      </c>
      <c r="BI2081">
        <v>947477.04156544735</v>
      </c>
      <c r="BJ2081">
        <v>59617.694434552628</v>
      </c>
      <c r="BK2081">
        <v>1007094.736</v>
      </c>
      <c r="BL2081" t="s">
        <v>242</v>
      </c>
      <c r="BM2081">
        <v>3</v>
      </c>
      <c r="BN2081">
        <v>13000</v>
      </c>
      <c r="BO2081">
        <v>0</v>
      </c>
      <c r="BP2081">
        <v>0</v>
      </c>
      <c r="BQ2081">
        <v>764.43156544738395</v>
      </c>
      <c r="BR2081" t="s">
        <v>58</v>
      </c>
    </row>
    <row r="2082" spans="1:70" x14ac:dyDescent="0.3">
      <c r="A2082" t="s">
        <v>798</v>
      </c>
      <c r="B2082">
        <v>4142301469</v>
      </c>
      <c r="C2082">
        <v>10516523</v>
      </c>
      <c r="D2082" t="s">
        <v>756</v>
      </c>
      <c r="E2082" t="s">
        <v>446</v>
      </c>
      <c r="F2082" t="s">
        <v>430</v>
      </c>
      <c r="G2082" t="s">
        <v>237</v>
      </c>
      <c r="H2082" t="s">
        <v>234</v>
      </c>
      <c r="J2082" t="s">
        <v>52</v>
      </c>
      <c r="K2082" s="15">
        <v>2000</v>
      </c>
      <c r="M2082">
        <v>45323</v>
      </c>
      <c r="N2082" t="s">
        <v>1013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74796.999999999985</v>
      </c>
      <c r="Y2082">
        <v>74796.999999999985</v>
      </c>
      <c r="Z2082">
        <v>5235.7899999999991</v>
      </c>
      <c r="AA2082">
        <v>80032.789999999979</v>
      </c>
      <c r="AB2082" t="s">
        <v>242</v>
      </c>
      <c r="AC2082">
        <v>1</v>
      </c>
      <c r="AD2082">
        <v>2000</v>
      </c>
      <c r="AE2082">
        <v>0</v>
      </c>
      <c r="AF2082">
        <v>0</v>
      </c>
      <c r="AG2082">
        <v>130.84112149532712</v>
      </c>
      <c r="AH2082" t="s">
        <v>72</v>
      </c>
      <c r="AK2082" t="s">
        <v>798</v>
      </c>
      <c r="AL2082">
        <v>4312300012</v>
      </c>
      <c r="AM2082" t="s">
        <v>61</v>
      </c>
      <c r="AN2082" t="s">
        <v>963</v>
      </c>
      <c r="AO2082" t="s">
        <v>448</v>
      </c>
      <c r="AP2082" t="s">
        <v>433</v>
      </c>
      <c r="AQ2082" t="s">
        <v>82</v>
      </c>
      <c r="AR2082" t="s">
        <v>71</v>
      </c>
      <c r="AT2082" t="s">
        <v>52</v>
      </c>
      <c r="AU2082">
        <v>20000</v>
      </c>
      <c r="AW2082">
        <v>45323</v>
      </c>
      <c r="AX2082" t="s">
        <v>1029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1852247.9252336449</v>
      </c>
      <c r="BI2082">
        <v>1852247.9252336449</v>
      </c>
      <c r="BJ2082">
        <v>129657.35476635516</v>
      </c>
      <c r="BK2082">
        <v>1981905.28</v>
      </c>
      <c r="BL2082" t="s">
        <v>242</v>
      </c>
      <c r="BM2082">
        <v>9</v>
      </c>
      <c r="BN2082">
        <v>130165</v>
      </c>
      <c r="BO2082">
        <v>0</v>
      </c>
      <c r="BP2082">
        <v>0</v>
      </c>
      <c r="BQ2082">
        <v>8515.4672897196269</v>
      </c>
      <c r="BR2082" t="s">
        <v>58</v>
      </c>
    </row>
    <row r="2083" spans="1:70" x14ac:dyDescent="0.3">
      <c r="A2083" t="s">
        <v>798</v>
      </c>
      <c r="B2083">
        <v>4142301482</v>
      </c>
      <c r="C2083">
        <v>10529902</v>
      </c>
      <c r="D2083" t="s">
        <v>757</v>
      </c>
      <c r="E2083" t="s">
        <v>446</v>
      </c>
      <c r="F2083" t="s">
        <v>430</v>
      </c>
      <c r="G2083" t="s">
        <v>237</v>
      </c>
      <c r="H2083" t="s">
        <v>234</v>
      </c>
      <c r="J2083" t="s">
        <v>52</v>
      </c>
      <c r="K2083" s="15">
        <v>1000</v>
      </c>
      <c r="M2083">
        <v>45323</v>
      </c>
      <c r="N2083" t="s">
        <v>1013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50800.140186915887</v>
      </c>
      <c r="Y2083">
        <v>50800.140186915887</v>
      </c>
      <c r="Z2083">
        <v>3556.0098130841125</v>
      </c>
      <c r="AA2083">
        <v>54356.15</v>
      </c>
      <c r="AB2083" t="s">
        <v>242</v>
      </c>
      <c r="AC2083">
        <v>1</v>
      </c>
      <c r="AD2083">
        <v>1000</v>
      </c>
      <c r="AE2083">
        <v>0</v>
      </c>
      <c r="AF2083">
        <v>0</v>
      </c>
      <c r="AG2083">
        <v>65.420560747663558</v>
      </c>
      <c r="AH2083" t="s">
        <v>72</v>
      </c>
      <c r="AK2083" t="s">
        <v>798</v>
      </c>
      <c r="AL2083">
        <v>22200010</v>
      </c>
      <c r="AM2083">
        <v>18928437</v>
      </c>
      <c r="AN2083" t="s">
        <v>85</v>
      </c>
      <c r="AO2083" t="s">
        <v>435</v>
      </c>
      <c r="AP2083" t="s">
        <v>428</v>
      </c>
      <c r="AQ2083" t="s">
        <v>82</v>
      </c>
      <c r="AR2083" t="s">
        <v>82</v>
      </c>
      <c r="AT2083" t="s">
        <v>52</v>
      </c>
      <c r="AU2083">
        <v>500</v>
      </c>
      <c r="AW2083">
        <v>45323</v>
      </c>
      <c r="AX2083" t="s">
        <v>1013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16069.751865506852</v>
      </c>
      <c r="BG2083">
        <v>0</v>
      </c>
      <c r="BH2083">
        <v>0</v>
      </c>
      <c r="BI2083">
        <v>16069.751865506852</v>
      </c>
      <c r="BJ2083">
        <v>0</v>
      </c>
      <c r="BK2083">
        <v>16069.751865506852</v>
      </c>
      <c r="BL2083" t="s">
        <v>242</v>
      </c>
      <c r="BM2083">
        <v>17</v>
      </c>
      <c r="BN2083">
        <v>12000</v>
      </c>
      <c r="BO2083">
        <v>0</v>
      </c>
      <c r="BP2083">
        <v>0</v>
      </c>
      <c r="BQ2083">
        <v>0</v>
      </c>
      <c r="BR2083" t="s">
        <v>58</v>
      </c>
    </row>
    <row r="2084" spans="1:70" x14ac:dyDescent="0.3">
      <c r="A2084" t="s">
        <v>798</v>
      </c>
      <c r="B2084">
        <v>4302300019</v>
      </c>
      <c r="C2084">
        <v>901019008726</v>
      </c>
      <c r="D2084" t="s">
        <v>224</v>
      </c>
      <c r="E2084" t="s">
        <v>447</v>
      </c>
      <c r="F2084" t="s">
        <v>433</v>
      </c>
      <c r="G2084" t="s">
        <v>82</v>
      </c>
      <c r="H2084" t="s">
        <v>83</v>
      </c>
      <c r="J2084" t="s">
        <v>52</v>
      </c>
      <c r="K2084" s="15">
        <v>50000</v>
      </c>
      <c r="M2084">
        <v>45323</v>
      </c>
      <c r="N2084" t="s">
        <v>1013</v>
      </c>
      <c r="O2084">
        <v>0</v>
      </c>
      <c r="P2084">
        <v>0</v>
      </c>
      <c r="Q2084">
        <v>28062.957564271856</v>
      </c>
      <c r="R2084">
        <v>1621.7399999999998</v>
      </c>
      <c r="S2084">
        <v>0</v>
      </c>
      <c r="T2084">
        <v>0</v>
      </c>
      <c r="U2084">
        <v>0</v>
      </c>
      <c r="V2084">
        <v>449012.712930587</v>
      </c>
      <c r="W2084">
        <v>0</v>
      </c>
      <c r="X2084">
        <v>0</v>
      </c>
      <c r="Y2084">
        <v>478697.41049485886</v>
      </c>
      <c r="Z2084">
        <v>31430.889905141092</v>
      </c>
      <c r="AA2084">
        <v>510128.30039999995</v>
      </c>
      <c r="AB2084" t="s">
        <v>242</v>
      </c>
      <c r="AC2084">
        <v>2</v>
      </c>
      <c r="AD2084">
        <v>100000</v>
      </c>
      <c r="AE2084">
        <v>0</v>
      </c>
      <c r="AF2084">
        <v>0</v>
      </c>
      <c r="AG2084">
        <v>6132.5604948589098</v>
      </c>
      <c r="AH2084" t="s">
        <v>58</v>
      </c>
      <c r="AK2084" t="s">
        <v>798</v>
      </c>
      <c r="AL2084">
        <v>42200856</v>
      </c>
      <c r="AM2084">
        <v>2757002330</v>
      </c>
      <c r="AN2084" t="s">
        <v>934</v>
      </c>
      <c r="AO2084" t="s">
        <v>439</v>
      </c>
      <c r="AP2084" t="s">
        <v>430</v>
      </c>
      <c r="AQ2084" t="s">
        <v>233</v>
      </c>
      <c r="AR2084" t="s">
        <v>234</v>
      </c>
      <c r="AT2084" t="s">
        <v>52</v>
      </c>
      <c r="AU2084">
        <v>500</v>
      </c>
      <c r="AW2084">
        <v>45323</v>
      </c>
      <c r="AX2084" t="s">
        <v>1013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33965.859813084106</v>
      </c>
      <c r="BI2084">
        <v>33965.859813084106</v>
      </c>
      <c r="BJ2084">
        <v>2377.6101869158874</v>
      </c>
      <c r="BK2084">
        <v>36343.469999999994</v>
      </c>
      <c r="BL2084" t="s">
        <v>242</v>
      </c>
      <c r="BM2084">
        <v>8</v>
      </c>
      <c r="BN2084">
        <v>4000</v>
      </c>
      <c r="BO2084">
        <v>0</v>
      </c>
      <c r="BP2084">
        <v>0</v>
      </c>
      <c r="BQ2084">
        <v>261.68224299065423</v>
      </c>
      <c r="BR2084" t="s">
        <v>58</v>
      </c>
    </row>
    <row r="2085" spans="1:70" x14ac:dyDescent="0.3">
      <c r="A2085" t="s">
        <v>798</v>
      </c>
      <c r="B2085">
        <v>4302300042</v>
      </c>
      <c r="C2085">
        <v>901012024750</v>
      </c>
      <c r="D2085" t="s">
        <v>227</v>
      </c>
      <c r="E2085" t="s">
        <v>447</v>
      </c>
      <c r="F2085" t="s">
        <v>433</v>
      </c>
      <c r="G2085" t="s">
        <v>82</v>
      </c>
      <c r="H2085" t="s">
        <v>83</v>
      </c>
      <c r="J2085" t="s">
        <v>52</v>
      </c>
      <c r="K2085" s="15">
        <v>2000</v>
      </c>
      <c r="M2085">
        <v>45323</v>
      </c>
      <c r="N2085" t="s">
        <v>1029</v>
      </c>
      <c r="O2085">
        <v>0</v>
      </c>
      <c r="P2085">
        <v>0</v>
      </c>
      <c r="Q2085">
        <v>38064.225911553462</v>
      </c>
      <c r="R2085">
        <v>37265.26</v>
      </c>
      <c r="S2085">
        <v>94154.475316305165</v>
      </c>
      <c r="T2085">
        <v>0</v>
      </c>
      <c r="U2085">
        <v>0</v>
      </c>
      <c r="V2085">
        <v>553789.81999999995</v>
      </c>
      <c r="W2085">
        <v>0</v>
      </c>
      <c r="X2085">
        <v>0</v>
      </c>
      <c r="Y2085">
        <v>723273.7812278585</v>
      </c>
      <c r="Z2085">
        <v>45356.100672141365</v>
      </c>
      <c r="AA2085">
        <v>768629.88189999992</v>
      </c>
      <c r="AB2085" t="s">
        <v>242</v>
      </c>
      <c r="AC2085">
        <v>2</v>
      </c>
      <c r="AD2085">
        <v>4000</v>
      </c>
      <c r="AE2085">
        <v>0</v>
      </c>
      <c r="AF2085">
        <v>0</v>
      </c>
      <c r="AG2085">
        <v>234.42122785863808</v>
      </c>
      <c r="AH2085" t="s">
        <v>58</v>
      </c>
      <c r="AK2085" t="s">
        <v>798</v>
      </c>
      <c r="AL2085">
        <v>52200315</v>
      </c>
      <c r="AM2085">
        <v>25381712</v>
      </c>
      <c r="AN2085" t="s">
        <v>730</v>
      </c>
      <c r="AO2085" t="s">
        <v>436</v>
      </c>
      <c r="AP2085" t="s">
        <v>431</v>
      </c>
      <c r="AQ2085" t="s">
        <v>82</v>
      </c>
      <c r="AR2085" t="s">
        <v>83</v>
      </c>
      <c r="AT2085" t="s">
        <v>52</v>
      </c>
      <c r="AU2085">
        <v>1500</v>
      </c>
      <c r="AW2085">
        <v>45323</v>
      </c>
      <c r="AX2085" t="s">
        <v>1013</v>
      </c>
      <c r="AY2085">
        <v>0</v>
      </c>
      <c r="AZ2085">
        <v>0</v>
      </c>
      <c r="BA2085">
        <v>0</v>
      </c>
      <c r="BB2085">
        <v>869.73978464891786</v>
      </c>
      <c r="BC2085">
        <v>10561.354777208189</v>
      </c>
      <c r="BD2085">
        <v>0</v>
      </c>
      <c r="BE2085">
        <v>0</v>
      </c>
      <c r="BF2085">
        <v>50029.54298716045</v>
      </c>
      <c r="BG2085">
        <v>0</v>
      </c>
      <c r="BH2085">
        <v>0</v>
      </c>
      <c r="BI2085">
        <v>61460.637549017556</v>
      </c>
      <c r="BJ2085">
        <v>4241.3628435058054</v>
      </c>
      <c r="BK2085">
        <v>65702.000392523361</v>
      </c>
      <c r="BL2085" t="s">
        <v>242</v>
      </c>
      <c r="BM2085">
        <v>1</v>
      </c>
      <c r="BN2085">
        <v>1500</v>
      </c>
      <c r="BO2085">
        <v>0</v>
      </c>
      <c r="BP2085">
        <v>0</v>
      </c>
      <c r="BQ2085">
        <v>96.739985911611484</v>
      </c>
      <c r="BR2085" t="s">
        <v>72</v>
      </c>
    </row>
    <row r="2086" spans="1:70" x14ac:dyDescent="0.3">
      <c r="A2086" t="s">
        <v>798</v>
      </c>
      <c r="B2086">
        <v>4302300043</v>
      </c>
      <c r="C2086">
        <v>901012030332</v>
      </c>
      <c r="D2086" t="s">
        <v>227</v>
      </c>
      <c r="E2086" t="s">
        <v>447</v>
      </c>
      <c r="F2086" t="s">
        <v>433</v>
      </c>
      <c r="G2086" t="s">
        <v>82</v>
      </c>
      <c r="H2086" t="s">
        <v>83</v>
      </c>
      <c r="J2086" t="s">
        <v>52</v>
      </c>
      <c r="K2086" s="15">
        <v>2000</v>
      </c>
      <c r="M2086">
        <v>45323</v>
      </c>
      <c r="N2086" t="s">
        <v>1029</v>
      </c>
      <c r="O2086">
        <v>0</v>
      </c>
      <c r="P2086">
        <v>0</v>
      </c>
      <c r="Q2086">
        <v>48252.168738862463</v>
      </c>
      <c r="R2086">
        <v>41417.75</v>
      </c>
      <c r="S2086">
        <v>103573.85473003509</v>
      </c>
      <c r="T2086">
        <v>0</v>
      </c>
      <c r="U2086">
        <v>0</v>
      </c>
      <c r="V2086">
        <v>706553.99</v>
      </c>
      <c r="W2086">
        <v>0</v>
      </c>
      <c r="X2086">
        <v>0</v>
      </c>
      <c r="Y2086">
        <v>899797.76346889755</v>
      </c>
      <c r="Z2086">
        <v>56708.949131102461</v>
      </c>
      <c r="AA2086">
        <v>956506.71259999997</v>
      </c>
      <c r="AB2086" t="s">
        <v>242</v>
      </c>
      <c r="AC2086">
        <v>3</v>
      </c>
      <c r="AD2086">
        <v>11000</v>
      </c>
      <c r="AE2086">
        <v>0</v>
      </c>
      <c r="AF2086">
        <v>0</v>
      </c>
      <c r="AG2086">
        <v>647.87346889754372</v>
      </c>
      <c r="AH2086" t="s">
        <v>58</v>
      </c>
      <c r="AK2086" t="s">
        <v>798</v>
      </c>
      <c r="AL2086">
        <v>52201039</v>
      </c>
      <c r="AM2086">
        <v>29379502</v>
      </c>
      <c r="AN2086" t="s">
        <v>146</v>
      </c>
      <c r="AO2086" t="s">
        <v>438</v>
      </c>
      <c r="AP2086" t="s">
        <v>431</v>
      </c>
      <c r="AQ2086" t="s">
        <v>82</v>
      </c>
      <c r="AR2086" t="s">
        <v>83</v>
      </c>
      <c r="AT2086" t="s">
        <v>52</v>
      </c>
      <c r="AU2086">
        <v>2500</v>
      </c>
      <c r="AW2086">
        <v>45323</v>
      </c>
      <c r="AX2086" t="s">
        <v>1013</v>
      </c>
      <c r="AY2086">
        <v>0</v>
      </c>
      <c r="AZ2086">
        <v>0</v>
      </c>
      <c r="BA2086">
        <v>0</v>
      </c>
      <c r="BB2086">
        <v>790.73690293885818</v>
      </c>
      <c r="BC2086">
        <v>10088.235095017893</v>
      </c>
      <c r="BD2086">
        <v>0</v>
      </c>
      <c r="BE2086">
        <v>0</v>
      </c>
      <c r="BF2086">
        <v>49170.889355899591</v>
      </c>
      <c r="BG2086">
        <v>0</v>
      </c>
      <c r="BH2086">
        <v>0</v>
      </c>
      <c r="BI2086">
        <v>60049.861353856344</v>
      </c>
      <c r="BJ2086">
        <v>4148.1387115642246</v>
      </c>
      <c r="BK2086">
        <v>64198.000065420565</v>
      </c>
      <c r="BL2086" t="s">
        <v>242</v>
      </c>
      <c r="BM2086">
        <v>7</v>
      </c>
      <c r="BN2086">
        <v>15000</v>
      </c>
      <c r="BO2086">
        <v>0</v>
      </c>
      <c r="BP2086">
        <v>0</v>
      </c>
      <c r="BQ2086">
        <v>968.27250766889756</v>
      </c>
      <c r="BR2086" t="s">
        <v>58</v>
      </c>
    </row>
    <row r="2087" spans="1:70" x14ac:dyDescent="0.3">
      <c r="A2087" t="s">
        <v>798</v>
      </c>
      <c r="B2087">
        <v>4302300044</v>
      </c>
      <c r="C2087">
        <v>901012030496</v>
      </c>
      <c r="D2087" t="s">
        <v>227</v>
      </c>
      <c r="E2087" t="s">
        <v>447</v>
      </c>
      <c r="F2087" t="s">
        <v>433</v>
      </c>
      <c r="G2087" t="s">
        <v>82</v>
      </c>
      <c r="H2087" t="s">
        <v>83</v>
      </c>
      <c r="J2087" t="s">
        <v>52</v>
      </c>
      <c r="K2087" s="15">
        <v>2000</v>
      </c>
      <c r="M2087">
        <v>45323</v>
      </c>
      <c r="N2087" t="s">
        <v>1029</v>
      </c>
      <c r="O2087">
        <v>0</v>
      </c>
      <c r="P2087">
        <v>0</v>
      </c>
      <c r="Q2087">
        <v>50205.615098841801</v>
      </c>
      <c r="R2087">
        <v>42434.2</v>
      </c>
      <c r="S2087">
        <v>115522.32467397962</v>
      </c>
      <c r="T2087">
        <v>0</v>
      </c>
      <c r="U2087">
        <v>0</v>
      </c>
      <c r="V2087">
        <v>725754.44</v>
      </c>
      <c r="W2087">
        <v>0</v>
      </c>
      <c r="X2087">
        <v>0</v>
      </c>
      <c r="Y2087">
        <v>933916.57977282139</v>
      </c>
      <c r="Z2087">
        <v>58889.373527178577</v>
      </c>
      <c r="AA2087">
        <v>992805.95329999994</v>
      </c>
      <c r="AB2087" t="s">
        <v>242</v>
      </c>
      <c r="AC2087">
        <v>2</v>
      </c>
      <c r="AD2087">
        <v>4000</v>
      </c>
      <c r="AE2087">
        <v>0</v>
      </c>
      <c r="AF2087">
        <v>0</v>
      </c>
      <c r="AG2087">
        <v>235.71977282142643</v>
      </c>
      <c r="AH2087" t="s">
        <v>58</v>
      </c>
      <c r="AK2087" t="s">
        <v>798</v>
      </c>
      <c r="AL2087">
        <v>4142300107</v>
      </c>
      <c r="AM2087">
        <v>96093</v>
      </c>
      <c r="AN2087" t="s">
        <v>931</v>
      </c>
      <c r="AO2087" t="s">
        <v>444</v>
      </c>
      <c r="AP2087" t="s">
        <v>430</v>
      </c>
      <c r="AQ2087" t="s">
        <v>230</v>
      </c>
      <c r="AR2087" t="s">
        <v>231</v>
      </c>
      <c r="AT2087" t="s">
        <v>52</v>
      </c>
      <c r="AU2087">
        <v>32000</v>
      </c>
      <c r="AW2087">
        <v>45323</v>
      </c>
      <c r="AX2087" t="s">
        <v>1013</v>
      </c>
      <c r="AY2087">
        <v>0</v>
      </c>
      <c r="AZ2087">
        <v>2183.0898938153146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85217.672996434296</v>
      </c>
      <c r="BH2087">
        <v>0</v>
      </c>
      <c r="BI2087">
        <v>87400.762890249607</v>
      </c>
      <c r="BJ2087">
        <v>5965.237109750401</v>
      </c>
      <c r="BK2087">
        <v>93366.000000000015</v>
      </c>
      <c r="BL2087" t="s">
        <v>242</v>
      </c>
      <c r="BM2087">
        <v>3</v>
      </c>
      <c r="BN2087">
        <v>144320</v>
      </c>
      <c r="BO2087">
        <v>0</v>
      </c>
      <c r="BP2087">
        <v>0</v>
      </c>
      <c r="BQ2087">
        <v>9191.7909276327809</v>
      </c>
      <c r="BR2087" t="s">
        <v>58</v>
      </c>
    </row>
    <row r="2088" spans="1:70" x14ac:dyDescent="0.3">
      <c r="A2088" t="s">
        <v>798</v>
      </c>
      <c r="B2088">
        <v>4302300045</v>
      </c>
      <c r="C2088">
        <v>901012030501</v>
      </c>
      <c r="D2088" t="s">
        <v>227</v>
      </c>
      <c r="E2088" t="s">
        <v>447</v>
      </c>
      <c r="F2088" t="s">
        <v>433</v>
      </c>
      <c r="G2088" t="s">
        <v>82</v>
      </c>
      <c r="H2088" t="s">
        <v>83</v>
      </c>
      <c r="J2088" t="s">
        <v>52</v>
      </c>
      <c r="K2088" s="15">
        <v>2000</v>
      </c>
      <c r="M2088">
        <v>45323</v>
      </c>
      <c r="N2088" t="s">
        <v>1029</v>
      </c>
      <c r="O2088">
        <v>0</v>
      </c>
      <c r="P2088">
        <v>0</v>
      </c>
      <c r="Q2088">
        <v>49852.768246258456</v>
      </c>
      <c r="R2088">
        <v>42537.96</v>
      </c>
      <c r="S2088">
        <v>115688.87967639398</v>
      </c>
      <c r="T2088">
        <v>0</v>
      </c>
      <c r="U2088">
        <v>0</v>
      </c>
      <c r="V2088">
        <v>727221.82</v>
      </c>
      <c r="W2088">
        <v>0</v>
      </c>
      <c r="X2088">
        <v>0</v>
      </c>
      <c r="Y2088">
        <v>935301.42792265234</v>
      </c>
      <c r="Z2088">
        <v>59003.748977347575</v>
      </c>
      <c r="AA2088">
        <v>994305.17689999996</v>
      </c>
      <c r="AB2088" t="s">
        <v>242</v>
      </c>
      <c r="AC2088">
        <v>2</v>
      </c>
      <c r="AD2088">
        <v>4000</v>
      </c>
      <c r="AE2088">
        <v>0</v>
      </c>
      <c r="AF2088">
        <v>0</v>
      </c>
      <c r="AG2088">
        <v>235.8279226524221</v>
      </c>
      <c r="AH2088" t="s">
        <v>58</v>
      </c>
      <c r="AK2088" t="s">
        <v>798</v>
      </c>
      <c r="AL2088">
        <v>4142300160</v>
      </c>
      <c r="AM2088">
        <v>10044677</v>
      </c>
      <c r="AN2088" t="s">
        <v>190</v>
      </c>
      <c r="AO2088" t="s">
        <v>445</v>
      </c>
      <c r="AP2088" t="s">
        <v>430</v>
      </c>
      <c r="AQ2088" t="s">
        <v>230</v>
      </c>
      <c r="AR2088" t="s">
        <v>234</v>
      </c>
      <c r="AT2088" t="s">
        <v>52</v>
      </c>
      <c r="AU2088">
        <v>1000</v>
      </c>
      <c r="AW2088">
        <v>45323</v>
      </c>
      <c r="AX2088" t="s">
        <v>1013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33519.261682243006</v>
      </c>
      <c r="BI2088">
        <v>33519.261682243006</v>
      </c>
      <c r="BJ2088">
        <v>2346.3483177570106</v>
      </c>
      <c r="BK2088">
        <v>35865.610000000015</v>
      </c>
      <c r="BL2088" t="s">
        <v>242</v>
      </c>
      <c r="BM2088">
        <v>9</v>
      </c>
      <c r="BN2088">
        <v>51000</v>
      </c>
      <c r="BO2088">
        <v>0</v>
      </c>
      <c r="BP2088">
        <v>0</v>
      </c>
      <c r="BQ2088">
        <v>3336.4485981308426</v>
      </c>
      <c r="BR2088" t="s">
        <v>58</v>
      </c>
    </row>
    <row r="2089" spans="1:70" x14ac:dyDescent="0.3">
      <c r="A2089" t="s">
        <v>798</v>
      </c>
      <c r="B2089">
        <v>4302300046</v>
      </c>
      <c r="C2089">
        <v>901012034713</v>
      </c>
      <c r="D2089" t="s">
        <v>227</v>
      </c>
      <c r="E2089" t="s">
        <v>447</v>
      </c>
      <c r="F2089" t="s">
        <v>433</v>
      </c>
      <c r="G2089" t="s">
        <v>82</v>
      </c>
      <c r="H2089" t="s">
        <v>83</v>
      </c>
      <c r="J2089" t="s">
        <v>52</v>
      </c>
      <c r="K2089" s="15">
        <v>3000</v>
      </c>
      <c r="M2089">
        <v>45323</v>
      </c>
      <c r="N2089" t="s">
        <v>1029</v>
      </c>
      <c r="O2089">
        <v>0</v>
      </c>
      <c r="P2089">
        <v>0</v>
      </c>
      <c r="Q2089">
        <v>51157.177572236513</v>
      </c>
      <c r="R2089">
        <v>46050.97</v>
      </c>
      <c r="S2089">
        <v>107357.31311005935</v>
      </c>
      <c r="T2089">
        <v>0</v>
      </c>
      <c r="U2089">
        <v>0</v>
      </c>
      <c r="V2089">
        <v>750980.5</v>
      </c>
      <c r="W2089">
        <v>0</v>
      </c>
      <c r="X2089">
        <v>0</v>
      </c>
      <c r="Y2089">
        <v>955545.96068229584</v>
      </c>
      <c r="Z2089">
        <v>60083.646917704158</v>
      </c>
      <c r="AA2089">
        <v>1015629.6076</v>
      </c>
      <c r="AB2089" t="s">
        <v>242</v>
      </c>
      <c r="AC2089">
        <v>3</v>
      </c>
      <c r="AD2089">
        <v>13000</v>
      </c>
      <c r="AE2089">
        <v>0</v>
      </c>
      <c r="AF2089">
        <v>0</v>
      </c>
      <c r="AG2089">
        <v>763.90068229584676</v>
      </c>
      <c r="AH2089" t="s">
        <v>58</v>
      </c>
      <c r="AK2089" t="s">
        <v>798</v>
      </c>
      <c r="AL2089">
        <v>4142300652</v>
      </c>
      <c r="AM2089">
        <v>10289270</v>
      </c>
      <c r="AN2089" t="s">
        <v>203</v>
      </c>
      <c r="AO2089" t="s">
        <v>445</v>
      </c>
      <c r="AP2089" t="s">
        <v>430</v>
      </c>
      <c r="AQ2089" t="s">
        <v>237</v>
      </c>
      <c r="AR2089" t="s">
        <v>234</v>
      </c>
      <c r="AT2089" t="s">
        <v>52</v>
      </c>
      <c r="AU2089">
        <v>2000</v>
      </c>
      <c r="AW2089">
        <v>45323</v>
      </c>
      <c r="AX2089" t="s">
        <v>1013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42310.280373831782</v>
      </c>
      <c r="BI2089">
        <v>42310.280373831782</v>
      </c>
      <c r="BJ2089">
        <v>2961.7196261682252</v>
      </c>
      <c r="BK2089">
        <v>45272.000000000007</v>
      </c>
      <c r="BL2089" t="s">
        <v>242</v>
      </c>
      <c r="BM2089">
        <v>6</v>
      </c>
      <c r="BN2089">
        <v>17000</v>
      </c>
      <c r="BO2089">
        <v>0</v>
      </c>
      <c r="BP2089">
        <v>0</v>
      </c>
      <c r="BQ2089">
        <v>1112.14953271028</v>
      </c>
      <c r="BR2089" t="s">
        <v>58</v>
      </c>
    </row>
    <row r="2090" spans="1:70" x14ac:dyDescent="0.3">
      <c r="A2090" t="s">
        <v>798</v>
      </c>
      <c r="B2090">
        <v>4302300047</v>
      </c>
      <c r="C2090">
        <v>901012034728</v>
      </c>
      <c r="D2090" t="s">
        <v>227</v>
      </c>
      <c r="E2090" t="s">
        <v>447</v>
      </c>
      <c r="F2090" t="s">
        <v>433</v>
      </c>
      <c r="G2090" t="s">
        <v>82</v>
      </c>
      <c r="H2090" t="s">
        <v>83</v>
      </c>
      <c r="J2090" t="s">
        <v>52</v>
      </c>
      <c r="K2090" s="15">
        <v>3000</v>
      </c>
      <c r="M2090">
        <v>45323</v>
      </c>
      <c r="N2090" t="s">
        <v>1029</v>
      </c>
      <c r="O2090">
        <v>0</v>
      </c>
      <c r="P2090">
        <v>0</v>
      </c>
      <c r="Q2090">
        <v>50701.632500410007</v>
      </c>
      <c r="R2090">
        <v>45094.06</v>
      </c>
      <c r="S2090">
        <v>106608.32906503737</v>
      </c>
      <c r="T2090">
        <v>0</v>
      </c>
      <c r="U2090">
        <v>0</v>
      </c>
      <c r="V2090">
        <v>745073.02</v>
      </c>
      <c r="W2090">
        <v>0</v>
      </c>
      <c r="X2090">
        <v>0</v>
      </c>
      <c r="Y2090">
        <v>947477.04156544735</v>
      </c>
      <c r="Z2090">
        <v>59617.694434552628</v>
      </c>
      <c r="AA2090">
        <v>1007094.736</v>
      </c>
      <c r="AB2090" t="s">
        <v>242</v>
      </c>
      <c r="AC2090">
        <v>3</v>
      </c>
      <c r="AD2090">
        <v>13000</v>
      </c>
      <c r="AE2090">
        <v>0</v>
      </c>
      <c r="AF2090">
        <v>0</v>
      </c>
      <c r="AG2090">
        <v>764.43156544738395</v>
      </c>
      <c r="AH2090" t="s">
        <v>58</v>
      </c>
      <c r="AK2090" t="s">
        <v>798</v>
      </c>
      <c r="AL2090">
        <v>4142301469</v>
      </c>
      <c r="AM2090">
        <v>10516523</v>
      </c>
      <c r="AN2090" t="s">
        <v>756</v>
      </c>
      <c r="AO2090" t="s">
        <v>446</v>
      </c>
      <c r="AP2090" t="s">
        <v>430</v>
      </c>
      <c r="AQ2090" t="s">
        <v>237</v>
      </c>
      <c r="AR2090" t="s">
        <v>234</v>
      </c>
      <c r="AT2090" t="s">
        <v>52</v>
      </c>
      <c r="AU2090">
        <v>2000</v>
      </c>
      <c r="AW2090">
        <v>45323</v>
      </c>
      <c r="AX2090" t="s">
        <v>1013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74796.999999999985</v>
      </c>
      <c r="BI2090">
        <v>74796.999999999985</v>
      </c>
      <c r="BJ2090">
        <v>5235.7899999999991</v>
      </c>
      <c r="BK2090">
        <v>80032.789999999979</v>
      </c>
      <c r="BL2090" t="s">
        <v>242</v>
      </c>
      <c r="BM2090">
        <v>1</v>
      </c>
      <c r="BN2090">
        <v>2000</v>
      </c>
      <c r="BO2090">
        <v>0</v>
      </c>
      <c r="BP2090">
        <v>0</v>
      </c>
      <c r="BQ2090">
        <v>130.84112149532712</v>
      </c>
      <c r="BR2090" t="s">
        <v>72</v>
      </c>
    </row>
    <row r="2091" spans="1:70" x14ac:dyDescent="0.3">
      <c r="A2091" t="s">
        <v>798</v>
      </c>
      <c r="B2091">
        <v>4312300012</v>
      </c>
      <c r="C2091" t="s">
        <v>61</v>
      </c>
      <c r="D2091" t="s">
        <v>963</v>
      </c>
      <c r="E2091" t="s">
        <v>448</v>
      </c>
      <c r="F2091" t="s">
        <v>433</v>
      </c>
      <c r="G2091" t="s">
        <v>82</v>
      </c>
      <c r="H2091" t="s">
        <v>71</v>
      </c>
      <c r="J2091" t="s">
        <v>52</v>
      </c>
      <c r="K2091" s="15">
        <v>20000</v>
      </c>
      <c r="M2091">
        <v>45323</v>
      </c>
      <c r="N2091" t="s">
        <v>1029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1852247.9252336449</v>
      </c>
      <c r="Y2091">
        <v>1852247.9252336449</v>
      </c>
      <c r="Z2091">
        <v>129657.35476635516</v>
      </c>
      <c r="AA2091">
        <v>1981905.28</v>
      </c>
      <c r="AB2091" t="s">
        <v>242</v>
      </c>
      <c r="AC2091">
        <v>9</v>
      </c>
      <c r="AD2091">
        <v>130165</v>
      </c>
      <c r="AE2091">
        <v>0</v>
      </c>
      <c r="AF2091">
        <v>0</v>
      </c>
      <c r="AG2091">
        <v>8515.4672897196269</v>
      </c>
      <c r="AH2091" t="s">
        <v>58</v>
      </c>
      <c r="AK2091" t="s">
        <v>798</v>
      </c>
      <c r="AL2091">
        <v>4142301482</v>
      </c>
      <c r="AM2091">
        <v>10529902</v>
      </c>
      <c r="AN2091" t="s">
        <v>757</v>
      </c>
      <c r="AO2091" t="s">
        <v>446</v>
      </c>
      <c r="AP2091" t="s">
        <v>430</v>
      </c>
      <c r="AQ2091" t="s">
        <v>237</v>
      </c>
      <c r="AR2091" t="s">
        <v>234</v>
      </c>
      <c r="AT2091" t="s">
        <v>52</v>
      </c>
      <c r="AU2091">
        <v>1000</v>
      </c>
      <c r="AW2091">
        <v>45323</v>
      </c>
      <c r="AX2091" t="s">
        <v>1013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50800.140186915887</v>
      </c>
      <c r="BI2091">
        <v>50800.140186915887</v>
      </c>
      <c r="BJ2091">
        <v>3556.0098130841125</v>
      </c>
      <c r="BK2091">
        <v>54356.15</v>
      </c>
      <c r="BL2091" t="s">
        <v>242</v>
      </c>
      <c r="BM2091">
        <v>1</v>
      </c>
      <c r="BN2091">
        <v>1000</v>
      </c>
      <c r="BO2091">
        <v>0</v>
      </c>
      <c r="BP2091">
        <v>0</v>
      </c>
      <c r="BQ2091">
        <v>65.420560747663558</v>
      </c>
      <c r="BR2091" t="s">
        <v>72</v>
      </c>
    </row>
    <row r="2092" spans="1:70" x14ac:dyDescent="0.3">
      <c r="A2092" t="s">
        <v>798</v>
      </c>
      <c r="B2092">
        <v>52201823</v>
      </c>
      <c r="C2092">
        <v>26207055</v>
      </c>
      <c r="D2092" t="s">
        <v>165</v>
      </c>
      <c r="E2092" t="s">
        <v>438</v>
      </c>
      <c r="F2092" t="s">
        <v>431</v>
      </c>
      <c r="G2092" t="s">
        <v>82</v>
      </c>
      <c r="H2092" t="s">
        <v>83</v>
      </c>
      <c r="J2092" t="s">
        <v>52</v>
      </c>
      <c r="K2092" s="15">
        <v>1000</v>
      </c>
      <c r="M2092">
        <v>45324</v>
      </c>
      <c r="N2092" t="s">
        <v>1013</v>
      </c>
      <c r="O2092">
        <v>0</v>
      </c>
      <c r="P2092">
        <v>0</v>
      </c>
      <c r="Q2092">
        <v>0</v>
      </c>
      <c r="R2092">
        <v>839.14331332991287</v>
      </c>
      <c r="S2092">
        <v>30083.306818339493</v>
      </c>
      <c r="T2092">
        <v>0</v>
      </c>
      <c r="U2092">
        <v>0</v>
      </c>
      <c r="V2092">
        <v>82604.409809083882</v>
      </c>
      <c r="W2092">
        <v>0</v>
      </c>
      <c r="X2092">
        <v>0</v>
      </c>
      <c r="Y2092">
        <v>113526.85994075329</v>
      </c>
      <c r="Z2092">
        <v>7888.1401639196374</v>
      </c>
      <c r="AA2092">
        <v>121415.00010467293</v>
      </c>
      <c r="AB2092" t="s">
        <v>242</v>
      </c>
      <c r="AC2092">
        <v>8</v>
      </c>
      <c r="AD2092">
        <v>7000</v>
      </c>
      <c r="AE2092">
        <v>0</v>
      </c>
      <c r="AF2092">
        <v>0</v>
      </c>
      <c r="AG2092">
        <v>454.55143171317184</v>
      </c>
      <c r="AH2092" t="s">
        <v>58</v>
      </c>
      <c r="AK2092" t="s">
        <v>798</v>
      </c>
      <c r="AL2092">
        <v>4142300005</v>
      </c>
      <c r="AM2092">
        <v>121675</v>
      </c>
      <c r="AN2092" t="s">
        <v>983</v>
      </c>
      <c r="AO2092" t="s">
        <v>444</v>
      </c>
      <c r="AP2092" t="s">
        <v>430</v>
      </c>
      <c r="AQ2092" t="s">
        <v>237</v>
      </c>
      <c r="AR2092" t="s">
        <v>231</v>
      </c>
      <c r="AT2092" t="s">
        <v>416</v>
      </c>
      <c r="AU2092">
        <v>0.21594782722260064</v>
      </c>
      <c r="AW2092">
        <v>45324</v>
      </c>
      <c r="AX2092" t="s">
        <v>1016</v>
      </c>
      <c r="AY2092">
        <v>0</v>
      </c>
      <c r="AZ2092">
        <v>2352.1565183321982</v>
      </c>
      <c r="BA2092">
        <v>0</v>
      </c>
      <c r="BB2092">
        <v>0</v>
      </c>
      <c r="BC2092">
        <v>0</v>
      </c>
      <c r="BD2092">
        <v>66045.968395357006</v>
      </c>
      <c r="BE2092">
        <v>59793.137662276444</v>
      </c>
      <c r="BF2092">
        <v>0</v>
      </c>
      <c r="BG2092">
        <v>0</v>
      </c>
      <c r="BH2092">
        <v>0</v>
      </c>
      <c r="BI2092">
        <v>128191.26257596564</v>
      </c>
      <c r="BJ2092">
        <v>8808.7374240343415</v>
      </c>
      <c r="BK2092">
        <v>136999.99999999997</v>
      </c>
      <c r="BL2092" t="s">
        <v>242</v>
      </c>
      <c r="BM2092">
        <v>0</v>
      </c>
      <c r="BN2092">
        <v>0</v>
      </c>
      <c r="BO2092">
        <v>0</v>
      </c>
      <c r="BP2092">
        <v>0</v>
      </c>
      <c r="BQ2092">
        <v>0</v>
      </c>
      <c r="BR2092" t="s">
        <v>72</v>
      </c>
    </row>
    <row r="2093" spans="1:70" x14ac:dyDescent="0.3">
      <c r="A2093" t="s">
        <v>798</v>
      </c>
      <c r="B2093">
        <v>62200092</v>
      </c>
      <c r="C2093">
        <v>18575408</v>
      </c>
      <c r="D2093" t="s">
        <v>658</v>
      </c>
      <c r="E2093" t="s">
        <v>435</v>
      </c>
      <c r="F2093" t="s">
        <v>432</v>
      </c>
      <c r="G2093" t="s">
        <v>235</v>
      </c>
      <c r="H2093" t="s">
        <v>235</v>
      </c>
      <c r="J2093" t="s">
        <v>52</v>
      </c>
      <c r="K2093" s="15">
        <v>3000</v>
      </c>
      <c r="M2093">
        <v>45324</v>
      </c>
      <c r="N2093" t="s">
        <v>1013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33618.739999999991</v>
      </c>
      <c r="W2093">
        <v>0</v>
      </c>
      <c r="X2093">
        <v>0</v>
      </c>
      <c r="Y2093">
        <v>33618.739999999991</v>
      </c>
      <c r="Z2093">
        <v>0</v>
      </c>
      <c r="AA2093">
        <v>33618.739999999991</v>
      </c>
      <c r="AB2093" t="s">
        <v>242</v>
      </c>
      <c r="AC2093">
        <v>10</v>
      </c>
      <c r="AD2093">
        <v>30000</v>
      </c>
      <c r="AE2093">
        <v>0</v>
      </c>
      <c r="AF2093">
        <v>0</v>
      </c>
      <c r="AG2093">
        <v>0</v>
      </c>
      <c r="AH2093" t="s">
        <v>58</v>
      </c>
      <c r="AK2093" t="s">
        <v>798</v>
      </c>
      <c r="AL2093">
        <v>52201823</v>
      </c>
      <c r="AM2093">
        <v>26207055</v>
      </c>
      <c r="AN2093" t="s">
        <v>165</v>
      </c>
      <c r="AO2093" t="s">
        <v>438</v>
      </c>
      <c r="AP2093" t="s">
        <v>431</v>
      </c>
      <c r="AQ2093" t="s">
        <v>82</v>
      </c>
      <c r="AR2093" t="s">
        <v>83</v>
      </c>
      <c r="AT2093" t="s">
        <v>52</v>
      </c>
      <c r="AU2093">
        <v>1000</v>
      </c>
      <c r="AW2093">
        <v>45324</v>
      </c>
      <c r="AX2093" t="s">
        <v>1013</v>
      </c>
      <c r="AY2093">
        <v>0</v>
      </c>
      <c r="AZ2093">
        <v>0</v>
      </c>
      <c r="BA2093">
        <v>0</v>
      </c>
      <c r="BB2093">
        <v>839.14331332991287</v>
      </c>
      <c r="BC2093">
        <v>30083.306818339493</v>
      </c>
      <c r="BD2093">
        <v>0</v>
      </c>
      <c r="BE2093">
        <v>0</v>
      </c>
      <c r="BF2093">
        <v>82604.409809083882</v>
      </c>
      <c r="BG2093">
        <v>0</v>
      </c>
      <c r="BH2093">
        <v>0</v>
      </c>
      <c r="BI2093">
        <v>113526.85994075329</v>
      </c>
      <c r="BJ2093">
        <v>7888.1401639196374</v>
      </c>
      <c r="BK2093">
        <v>121415.00010467293</v>
      </c>
      <c r="BL2093" t="s">
        <v>242</v>
      </c>
      <c r="BM2093">
        <v>8</v>
      </c>
      <c r="BN2093">
        <v>7000</v>
      </c>
      <c r="BO2093">
        <v>0</v>
      </c>
      <c r="BP2093">
        <v>0</v>
      </c>
      <c r="BQ2093">
        <v>454.55143171317184</v>
      </c>
      <c r="BR2093" t="s">
        <v>58</v>
      </c>
    </row>
    <row r="2094" spans="1:70" x14ac:dyDescent="0.3">
      <c r="A2094" t="s">
        <v>798</v>
      </c>
      <c r="B2094">
        <v>82200037</v>
      </c>
      <c r="C2094">
        <v>901015008112</v>
      </c>
      <c r="D2094" t="s">
        <v>979</v>
      </c>
      <c r="E2094" t="s">
        <v>440</v>
      </c>
      <c r="F2094" t="s">
        <v>433</v>
      </c>
      <c r="G2094" t="s">
        <v>235</v>
      </c>
      <c r="H2094" t="s">
        <v>236</v>
      </c>
      <c r="J2094" t="s">
        <v>52</v>
      </c>
      <c r="K2094" s="15">
        <v>10000</v>
      </c>
      <c r="M2094">
        <v>45324</v>
      </c>
      <c r="N2094" t="s">
        <v>1029</v>
      </c>
      <c r="O2094">
        <v>0</v>
      </c>
      <c r="P2094">
        <v>11482.271319423056</v>
      </c>
      <c r="Q2094">
        <v>16080.9</v>
      </c>
      <c r="R2094">
        <v>0</v>
      </c>
      <c r="S2094">
        <v>112285.19647363288</v>
      </c>
      <c r="T2094">
        <v>0</v>
      </c>
      <c r="U2094">
        <v>604927.78381362336</v>
      </c>
      <c r="V2094">
        <v>354602.17999999988</v>
      </c>
      <c r="W2094">
        <v>0</v>
      </c>
      <c r="X2094">
        <v>0</v>
      </c>
      <c r="Y2094">
        <v>1099378.3316066791</v>
      </c>
      <c r="Z2094">
        <v>67167.097466953623</v>
      </c>
      <c r="AA2094">
        <v>1166545.4290736327</v>
      </c>
      <c r="AB2094" t="s">
        <v>242</v>
      </c>
      <c r="AC2094">
        <v>1</v>
      </c>
      <c r="AD2094">
        <v>10000</v>
      </c>
      <c r="AE2094">
        <v>0</v>
      </c>
      <c r="AF2094">
        <v>0</v>
      </c>
      <c r="AG2094">
        <v>570.94298351365796</v>
      </c>
      <c r="AH2094" t="s">
        <v>72</v>
      </c>
      <c r="AK2094" t="s">
        <v>798</v>
      </c>
      <c r="AL2094">
        <v>82200037</v>
      </c>
      <c r="AM2094">
        <v>901015008112</v>
      </c>
      <c r="AN2094" t="s">
        <v>979</v>
      </c>
      <c r="AO2094" t="s">
        <v>440</v>
      </c>
      <c r="AP2094" t="s">
        <v>433</v>
      </c>
      <c r="AQ2094" t="s">
        <v>235</v>
      </c>
      <c r="AR2094" t="s">
        <v>236</v>
      </c>
      <c r="AT2094" t="s">
        <v>52</v>
      </c>
      <c r="AU2094">
        <v>10000</v>
      </c>
      <c r="AW2094">
        <v>45324</v>
      </c>
      <c r="AX2094" t="s">
        <v>1029</v>
      </c>
      <c r="AY2094">
        <v>0</v>
      </c>
      <c r="AZ2094">
        <v>11482.271319423056</v>
      </c>
      <c r="BA2094">
        <v>16080.9</v>
      </c>
      <c r="BB2094">
        <v>0</v>
      </c>
      <c r="BC2094">
        <v>112285.19647363288</v>
      </c>
      <c r="BD2094">
        <v>0</v>
      </c>
      <c r="BE2094">
        <v>604927.78381362336</v>
      </c>
      <c r="BF2094">
        <v>354602.17999999988</v>
      </c>
      <c r="BG2094">
        <v>0</v>
      </c>
      <c r="BH2094">
        <v>0</v>
      </c>
      <c r="BI2094">
        <v>1099378.3316066791</v>
      </c>
      <c r="BJ2094">
        <v>67167.097466953623</v>
      </c>
      <c r="BK2094">
        <v>1166545.4290736327</v>
      </c>
      <c r="BL2094" t="s">
        <v>242</v>
      </c>
      <c r="BM2094">
        <v>1</v>
      </c>
      <c r="BN2094">
        <v>10000</v>
      </c>
      <c r="BO2094">
        <v>0</v>
      </c>
      <c r="BP2094">
        <v>0</v>
      </c>
      <c r="BQ2094">
        <v>570.94298351365796</v>
      </c>
      <c r="BR2094" t="s">
        <v>72</v>
      </c>
    </row>
    <row r="2095" spans="1:70" x14ac:dyDescent="0.3">
      <c r="A2095" t="s">
        <v>798</v>
      </c>
      <c r="B2095">
        <v>4132300193</v>
      </c>
      <c r="C2095">
        <v>1010588096</v>
      </c>
      <c r="D2095" t="s">
        <v>705</v>
      </c>
      <c r="E2095" t="s">
        <v>441</v>
      </c>
      <c r="F2095" t="s">
        <v>430</v>
      </c>
      <c r="G2095" t="s">
        <v>237</v>
      </c>
      <c r="H2095" t="s">
        <v>231</v>
      </c>
      <c r="J2095" t="s">
        <v>425</v>
      </c>
      <c r="K2095" s="15">
        <v>75000</v>
      </c>
      <c r="M2095">
        <v>45324</v>
      </c>
      <c r="N2095" t="s">
        <v>1023</v>
      </c>
      <c r="O2095">
        <v>0</v>
      </c>
      <c r="P2095">
        <v>4100</v>
      </c>
      <c r="Q2095">
        <v>0</v>
      </c>
      <c r="R2095">
        <v>0</v>
      </c>
      <c r="S2095">
        <v>72419.178082191778</v>
      </c>
      <c r="T2095">
        <v>182242.99065420561</v>
      </c>
      <c r="U2095">
        <v>0</v>
      </c>
      <c r="V2095">
        <v>0</v>
      </c>
      <c r="W2095">
        <v>0</v>
      </c>
      <c r="X2095">
        <v>0</v>
      </c>
      <c r="Y2095">
        <v>258762.16873639741</v>
      </c>
      <c r="Z2095">
        <v>12757.009345794395</v>
      </c>
      <c r="AA2095">
        <v>271519.17808219179</v>
      </c>
      <c r="AB2095" t="s">
        <v>594</v>
      </c>
      <c r="AC2095">
        <v>0</v>
      </c>
      <c r="AD2095">
        <v>0</v>
      </c>
      <c r="AE2095">
        <v>0</v>
      </c>
      <c r="AF2095">
        <v>80250</v>
      </c>
      <c r="AG2095">
        <v>5250</v>
      </c>
      <c r="AH2095" t="s">
        <v>72</v>
      </c>
      <c r="AK2095" t="s">
        <v>798</v>
      </c>
      <c r="AL2095">
        <v>4132301706</v>
      </c>
      <c r="AM2095" t="s">
        <v>683</v>
      </c>
      <c r="AN2095" t="s">
        <v>980</v>
      </c>
      <c r="AO2095" t="s">
        <v>442</v>
      </c>
      <c r="AP2095" t="s">
        <v>430</v>
      </c>
      <c r="AQ2095" t="s">
        <v>230</v>
      </c>
      <c r="AR2095" t="s">
        <v>231</v>
      </c>
      <c r="AT2095" t="s">
        <v>52</v>
      </c>
      <c r="AU2095">
        <v>3000</v>
      </c>
      <c r="AW2095">
        <v>45324</v>
      </c>
      <c r="AX2095" t="s">
        <v>1013</v>
      </c>
      <c r="AY2095">
        <v>0</v>
      </c>
      <c r="AZ2095">
        <v>14109.029756265736</v>
      </c>
      <c r="BA2095">
        <v>0</v>
      </c>
      <c r="BB2095">
        <v>0</v>
      </c>
      <c r="BC2095">
        <v>12681.38</v>
      </c>
      <c r="BD2095">
        <v>11433.28060162082</v>
      </c>
      <c r="BE2095">
        <v>42056.074766355137</v>
      </c>
      <c r="BF2095">
        <v>0</v>
      </c>
      <c r="BG2095">
        <v>299065.42056074768</v>
      </c>
      <c r="BH2095">
        <v>0</v>
      </c>
      <c r="BI2095">
        <v>379345.18568498938</v>
      </c>
      <c r="BJ2095">
        <v>24678.834315010656</v>
      </c>
      <c r="BK2095">
        <v>404024.02</v>
      </c>
      <c r="BL2095" t="s">
        <v>242</v>
      </c>
      <c r="BM2095">
        <v>1</v>
      </c>
      <c r="BN2095">
        <v>3000</v>
      </c>
      <c r="BO2095">
        <v>0</v>
      </c>
      <c r="BP2095">
        <v>0</v>
      </c>
      <c r="BQ2095">
        <v>182.3944700360762</v>
      </c>
      <c r="BR2095" t="s">
        <v>72</v>
      </c>
    </row>
    <row r="2096" spans="1:70" x14ac:dyDescent="0.3">
      <c r="A2096" t="s">
        <v>798</v>
      </c>
      <c r="B2096">
        <v>4132301274</v>
      </c>
      <c r="C2096">
        <v>1120071714</v>
      </c>
      <c r="D2096" t="s">
        <v>707</v>
      </c>
      <c r="E2096" t="s">
        <v>441</v>
      </c>
      <c r="F2096" t="s">
        <v>430</v>
      </c>
      <c r="G2096" t="s">
        <v>237</v>
      </c>
      <c r="H2096" t="s">
        <v>231</v>
      </c>
      <c r="J2096" t="s">
        <v>425</v>
      </c>
      <c r="K2096" s="15">
        <v>50000</v>
      </c>
      <c r="M2096">
        <v>45324</v>
      </c>
      <c r="N2096" t="s">
        <v>1023</v>
      </c>
      <c r="O2096">
        <v>0</v>
      </c>
      <c r="P2096">
        <v>10366</v>
      </c>
      <c r="Q2096">
        <v>0</v>
      </c>
      <c r="R2096">
        <v>0</v>
      </c>
      <c r="S2096">
        <v>15959.589041095891</v>
      </c>
      <c r="T2096">
        <v>112149.53271028037</v>
      </c>
      <c r="U2096">
        <v>0</v>
      </c>
      <c r="V2096">
        <v>0</v>
      </c>
      <c r="W2096">
        <v>146456.07476635513</v>
      </c>
      <c r="X2096">
        <v>0</v>
      </c>
      <c r="Y2096">
        <v>284931.19651773141</v>
      </c>
      <c r="Z2096">
        <v>18102.392523364484</v>
      </c>
      <c r="AA2096">
        <v>303033.58904109593</v>
      </c>
      <c r="AB2096" t="s">
        <v>331</v>
      </c>
      <c r="AC2096">
        <v>0</v>
      </c>
      <c r="AD2096">
        <v>0</v>
      </c>
      <c r="AE2096">
        <v>0</v>
      </c>
      <c r="AF2096">
        <v>53500</v>
      </c>
      <c r="AG2096">
        <v>3500</v>
      </c>
      <c r="AH2096" t="s">
        <v>72</v>
      </c>
      <c r="AK2096" t="s">
        <v>798</v>
      </c>
      <c r="AL2096">
        <v>4132301762</v>
      </c>
      <c r="AM2096" t="s">
        <v>688</v>
      </c>
      <c r="AN2096" t="s">
        <v>981</v>
      </c>
      <c r="AO2096" t="s">
        <v>442</v>
      </c>
      <c r="AP2096" t="s">
        <v>430</v>
      </c>
      <c r="AQ2096" t="s">
        <v>230</v>
      </c>
      <c r="AR2096" t="s">
        <v>231</v>
      </c>
      <c r="AT2096" t="s">
        <v>52</v>
      </c>
      <c r="AU2096">
        <v>1000</v>
      </c>
      <c r="AW2096">
        <v>45324</v>
      </c>
      <c r="AX2096" t="s">
        <v>1013</v>
      </c>
      <c r="AY2096">
        <v>0</v>
      </c>
      <c r="AZ2096">
        <v>19025.619322060003</v>
      </c>
      <c r="BA2096">
        <v>0</v>
      </c>
      <c r="BB2096">
        <v>0</v>
      </c>
      <c r="BC2096">
        <v>18809.34</v>
      </c>
      <c r="BD2096">
        <v>35587.271661626168</v>
      </c>
      <c r="BE2096">
        <v>16822.429906542056</v>
      </c>
      <c r="BF2096">
        <v>0</v>
      </c>
      <c r="BG2096">
        <v>392523.36448598129</v>
      </c>
      <c r="BH2096">
        <v>0</v>
      </c>
      <c r="BI2096">
        <v>482768.02537620952</v>
      </c>
      <c r="BJ2096">
        <v>31145.314623790469</v>
      </c>
      <c r="BK2096">
        <v>513913.33999999997</v>
      </c>
      <c r="BL2096" t="s">
        <v>242</v>
      </c>
      <c r="BM2096">
        <v>1</v>
      </c>
      <c r="BN2096">
        <v>1000</v>
      </c>
      <c r="BO2096">
        <v>0</v>
      </c>
      <c r="BP2096">
        <v>0</v>
      </c>
      <c r="BQ2096">
        <v>60.292852845046923</v>
      </c>
      <c r="BR2096" t="s">
        <v>72</v>
      </c>
    </row>
    <row r="2097" spans="1:70" x14ac:dyDescent="0.3">
      <c r="A2097" t="s">
        <v>798</v>
      </c>
      <c r="B2097">
        <v>4132301706</v>
      </c>
      <c r="C2097" t="s">
        <v>683</v>
      </c>
      <c r="D2097" t="s">
        <v>980</v>
      </c>
      <c r="E2097" t="s">
        <v>442</v>
      </c>
      <c r="F2097" t="s">
        <v>430</v>
      </c>
      <c r="G2097" t="s">
        <v>230</v>
      </c>
      <c r="H2097" t="s">
        <v>231</v>
      </c>
      <c r="J2097" t="s">
        <v>52</v>
      </c>
      <c r="K2097" s="15">
        <v>3000</v>
      </c>
      <c r="M2097">
        <v>45324</v>
      </c>
      <c r="N2097" t="s">
        <v>1013</v>
      </c>
      <c r="O2097">
        <v>0</v>
      </c>
      <c r="P2097">
        <v>14109.029756265736</v>
      </c>
      <c r="Q2097">
        <v>0</v>
      </c>
      <c r="R2097">
        <v>0</v>
      </c>
      <c r="S2097">
        <v>12681.38</v>
      </c>
      <c r="T2097">
        <v>11433.28060162082</v>
      </c>
      <c r="U2097">
        <v>42056.074766355137</v>
      </c>
      <c r="V2097">
        <v>0</v>
      </c>
      <c r="W2097">
        <v>299065.42056074768</v>
      </c>
      <c r="X2097">
        <v>0</v>
      </c>
      <c r="Y2097">
        <v>379345.18568498938</v>
      </c>
      <c r="Z2097">
        <v>24678.834315010656</v>
      </c>
      <c r="AA2097">
        <v>404024.02</v>
      </c>
      <c r="AB2097" t="s">
        <v>242</v>
      </c>
      <c r="AC2097">
        <v>1</v>
      </c>
      <c r="AD2097">
        <v>3000</v>
      </c>
      <c r="AE2097">
        <v>0</v>
      </c>
      <c r="AF2097">
        <v>0</v>
      </c>
      <c r="AG2097">
        <v>182.3944700360762</v>
      </c>
      <c r="AH2097" t="s">
        <v>72</v>
      </c>
      <c r="AK2097" t="s">
        <v>798</v>
      </c>
      <c r="AL2097">
        <v>4142300315</v>
      </c>
      <c r="AM2097">
        <v>10137121</v>
      </c>
      <c r="AN2097" t="s">
        <v>197</v>
      </c>
      <c r="AO2097" t="s">
        <v>445</v>
      </c>
      <c r="AP2097" t="s">
        <v>430</v>
      </c>
      <c r="AQ2097" t="s">
        <v>230</v>
      </c>
      <c r="AR2097" t="s">
        <v>234</v>
      </c>
      <c r="AT2097" t="s">
        <v>52</v>
      </c>
      <c r="AU2097">
        <v>20000</v>
      </c>
      <c r="AW2097">
        <v>45324</v>
      </c>
      <c r="AX2097" t="s">
        <v>1013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1168818.691588785</v>
      </c>
      <c r="BI2097">
        <v>1168818.691588785</v>
      </c>
      <c r="BJ2097">
        <v>81817.308411214966</v>
      </c>
      <c r="BK2097">
        <v>1250636</v>
      </c>
      <c r="BL2097" t="s">
        <v>242</v>
      </c>
      <c r="BM2097">
        <v>2</v>
      </c>
      <c r="BN2097">
        <v>40000</v>
      </c>
      <c r="BO2097">
        <v>0</v>
      </c>
      <c r="BP2097">
        <v>0</v>
      </c>
      <c r="BQ2097">
        <v>2616.8224299065405</v>
      </c>
      <c r="BR2097" t="s">
        <v>58</v>
      </c>
    </row>
    <row r="2098" spans="1:70" x14ac:dyDescent="0.3">
      <c r="A2098" t="s">
        <v>798</v>
      </c>
      <c r="B2098">
        <v>4132301762</v>
      </c>
      <c r="C2098" t="s">
        <v>688</v>
      </c>
      <c r="D2098" t="s">
        <v>981</v>
      </c>
      <c r="E2098" t="s">
        <v>442</v>
      </c>
      <c r="F2098" t="s">
        <v>430</v>
      </c>
      <c r="G2098" t="s">
        <v>230</v>
      </c>
      <c r="H2098" t="s">
        <v>231</v>
      </c>
      <c r="J2098" t="s">
        <v>52</v>
      </c>
      <c r="K2098" s="15">
        <v>1000</v>
      </c>
      <c r="M2098">
        <v>45324</v>
      </c>
      <c r="N2098" t="s">
        <v>1013</v>
      </c>
      <c r="O2098">
        <v>0</v>
      </c>
      <c r="P2098">
        <v>19025.619322060003</v>
      </c>
      <c r="Q2098">
        <v>0</v>
      </c>
      <c r="R2098">
        <v>0</v>
      </c>
      <c r="S2098">
        <v>18809.34</v>
      </c>
      <c r="T2098">
        <v>35587.271661626168</v>
      </c>
      <c r="U2098">
        <v>16822.429906542056</v>
      </c>
      <c r="V2098">
        <v>0</v>
      </c>
      <c r="W2098">
        <v>392523.36448598129</v>
      </c>
      <c r="X2098">
        <v>0</v>
      </c>
      <c r="Y2098">
        <v>482768.02537620952</v>
      </c>
      <c r="Z2098">
        <v>31145.314623790469</v>
      </c>
      <c r="AA2098">
        <v>513913.33999999997</v>
      </c>
      <c r="AB2098" t="s">
        <v>242</v>
      </c>
      <c r="AC2098">
        <v>1</v>
      </c>
      <c r="AD2098">
        <v>1000</v>
      </c>
      <c r="AE2098">
        <v>0</v>
      </c>
      <c r="AF2098">
        <v>0</v>
      </c>
      <c r="AG2098">
        <v>60.292852845046923</v>
      </c>
      <c r="AH2098" t="s">
        <v>72</v>
      </c>
      <c r="AK2098" t="s">
        <v>798</v>
      </c>
      <c r="AL2098">
        <v>4142301334</v>
      </c>
      <c r="AM2098">
        <v>10340473</v>
      </c>
      <c r="AN2098" t="s">
        <v>753</v>
      </c>
      <c r="AO2098" t="s">
        <v>446</v>
      </c>
      <c r="AP2098" t="s">
        <v>430</v>
      </c>
      <c r="AQ2098" t="s">
        <v>230</v>
      </c>
      <c r="AR2098" t="s">
        <v>234</v>
      </c>
      <c r="AT2098" t="s">
        <v>52</v>
      </c>
      <c r="AU2098">
        <v>10000</v>
      </c>
      <c r="AW2098">
        <v>45324</v>
      </c>
      <c r="AX2098" t="s">
        <v>1013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196724.10280373832</v>
      </c>
      <c r="BI2098">
        <v>196724.10280373832</v>
      </c>
      <c r="BJ2098">
        <v>13770.687196261684</v>
      </c>
      <c r="BK2098">
        <v>210494.79</v>
      </c>
      <c r="BL2098" t="s">
        <v>242</v>
      </c>
      <c r="BM2098">
        <v>1</v>
      </c>
      <c r="BN2098">
        <v>10000</v>
      </c>
      <c r="BO2098">
        <v>0</v>
      </c>
      <c r="BP2098">
        <v>0</v>
      </c>
      <c r="BQ2098">
        <v>654.20560747663512</v>
      </c>
      <c r="BR2098" t="s">
        <v>72</v>
      </c>
    </row>
    <row r="2099" spans="1:70" x14ac:dyDescent="0.3">
      <c r="A2099" t="s">
        <v>798</v>
      </c>
      <c r="B2099">
        <v>4132301948</v>
      </c>
      <c r="C2099" t="s">
        <v>677</v>
      </c>
      <c r="D2099" t="s">
        <v>982</v>
      </c>
      <c r="E2099" t="s">
        <v>442</v>
      </c>
      <c r="F2099" t="s">
        <v>430</v>
      </c>
      <c r="G2099" t="s">
        <v>237</v>
      </c>
      <c r="H2099" t="s">
        <v>765</v>
      </c>
      <c r="J2099" t="s">
        <v>425</v>
      </c>
      <c r="K2099" s="15">
        <v>178000</v>
      </c>
      <c r="M2099">
        <v>45324</v>
      </c>
      <c r="N2099" t="s">
        <v>1023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118912.14953271032</v>
      </c>
      <c r="Y2099">
        <v>118912.14953271032</v>
      </c>
      <c r="Z2099">
        <v>8323.8504672897234</v>
      </c>
      <c r="AA2099">
        <v>127236.00000000004</v>
      </c>
      <c r="AB2099" t="s">
        <v>242</v>
      </c>
      <c r="AC2099">
        <v>1</v>
      </c>
      <c r="AD2099">
        <v>178000</v>
      </c>
      <c r="AE2099">
        <v>0</v>
      </c>
      <c r="AF2099">
        <v>0</v>
      </c>
      <c r="AG2099">
        <v>11644.859813084127</v>
      </c>
      <c r="AH2099" t="s">
        <v>72</v>
      </c>
      <c r="AK2099" t="s">
        <v>798</v>
      </c>
      <c r="AL2099">
        <v>4232300098</v>
      </c>
      <c r="AM2099">
        <v>111655</v>
      </c>
      <c r="AN2099" t="s">
        <v>763</v>
      </c>
      <c r="AO2099" t="s">
        <v>443</v>
      </c>
      <c r="AP2099" t="s">
        <v>431</v>
      </c>
      <c r="AQ2099" t="s">
        <v>230</v>
      </c>
      <c r="AR2099" t="s">
        <v>231</v>
      </c>
      <c r="AT2099" t="s">
        <v>52</v>
      </c>
      <c r="AU2099">
        <v>50000</v>
      </c>
      <c r="AW2099">
        <v>45324</v>
      </c>
      <c r="AX2099" t="s">
        <v>1039</v>
      </c>
      <c r="AY2099">
        <v>0</v>
      </c>
      <c r="AZ2099">
        <v>17111.124288165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555341.00533816346</v>
      </c>
      <c r="BH2099">
        <v>0</v>
      </c>
      <c r="BI2099">
        <v>572452.12962632847</v>
      </c>
      <c r="BJ2099">
        <v>38873.870373671445</v>
      </c>
      <c r="BK2099">
        <v>611325.99999999988</v>
      </c>
      <c r="BL2099" t="s">
        <v>242</v>
      </c>
      <c r="BM2099">
        <v>1</v>
      </c>
      <c r="BN2099">
        <v>50000</v>
      </c>
      <c r="BO2099">
        <v>0</v>
      </c>
      <c r="BP2099">
        <v>0</v>
      </c>
      <c r="BQ2099">
        <v>3172.7090655808861</v>
      </c>
      <c r="BR2099" t="s">
        <v>72</v>
      </c>
    </row>
    <row r="2100" spans="1:70" x14ac:dyDescent="0.3">
      <c r="A2100" t="s">
        <v>798</v>
      </c>
      <c r="B2100">
        <v>4142300005</v>
      </c>
      <c r="C2100">
        <v>121675</v>
      </c>
      <c r="D2100" t="s">
        <v>983</v>
      </c>
      <c r="E2100" t="s">
        <v>444</v>
      </c>
      <c r="F2100" t="s">
        <v>430</v>
      </c>
      <c r="G2100" t="s">
        <v>237</v>
      </c>
      <c r="H2100" t="s">
        <v>231</v>
      </c>
      <c r="J2100" t="s">
        <v>416</v>
      </c>
      <c r="K2100" s="15">
        <v>0.21594782722260064</v>
      </c>
      <c r="M2100">
        <v>45324</v>
      </c>
      <c r="N2100" t="s">
        <v>1016</v>
      </c>
      <c r="O2100">
        <v>0</v>
      </c>
      <c r="P2100">
        <v>2352.1565183321982</v>
      </c>
      <c r="Q2100">
        <v>0</v>
      </c>
      <c r="R2100">
        <v>0</v>
      </c>
      <c r="S2100">
        <v>0</v>
      </c>
      <c r="T2100">
        <v>66045.968395357006</v>
      </c>
      <c r="U2100">
        <v>59793.137662276444</v>
      </c>
      <c r="V2100">
        <v>0</v>
      </c>
      <c r="W2100">
        <v>0</v>
      </c>
      <c r="X2100">
        <v>0</v>
      </c>
      <c r="Y2100">
        <v>128191.26257596564</v>
      </c>
      <c r="Z2100">
        <v>8808.7374240343415</v>
      </c>
      <c r="AA2100">
        <v>136999.99999999997</v>
      </c>
      <c r="AB2100" t="s">
        <v>242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 t="s">
        <v>72</v>
      </c>
      <c r="AK2100" t="s">
        <v>798</v>
      </c>
      <c r="AL2100">
        <v>4312300007</v>
      </c>
      <c r="AM2100" t="s">
        <v>692</v>
      </c>
      <c r="AN2100" t="s">
        <v>984</v>
      </c>
      <c r="AO2100" t="s">
        <v>448</v>
      </c>
      <c r="AP2100" t="s">
        <v>433</v>
      </c>
      <c r="AQ2100" t="s">
        <v>82</v>
      </c>
      <c r="AR2100" t="s">
        <v>71</v>
      </c>
      <c r="AT2100" t="s">
        <v>52</v>
      </c>
      <c r="AU2100">
        <v>16000</v>
      </c>
      <c r="AW2100">
        <v>45324</v>
      </c>
      <c r="AX2100" t="s">
        <v>1029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684041.72897196258</v>
      </c>
      <c r="BI2100">
        <v>684041.72897196258</v>
      </c>
      <c r="BJ2100">
        <v>47882.921028037388</v>
      </c>
      <c r="BK2100">
        <v>731924.65</v>
      </c>
      <c r="BL2100" t="s">
        <v>242</v>
      </c>
      <c r="BM2100">
        <v>1</v>
      </c>
      <c r="BN2100">
        <v>16000</v>
      </c>
      <c r="BO2100">
        <v>0</v>
      </c>
      <c r="BP2100">
        <v>0</v>
      </c>
      <c r="BQ2100">
        <v>1046.7289719626169</v>
      </c>
      <c r="BR2100" t="s">
        <v>72</v>
      </c>
    </row>
    <row r="2101" spans="1:70" x14ac:dyDescent="0.3">
      <c r="A2101" t="s">
        <v>798</v>
      </c>
      <c r="B2101">
        <v>4142300221</v>
      </c>
      <c r="C2101">
        <v>10089343</v>
      </c>
      <c r="D2101" t="s">
        <v>194</v>
      </c>
      <c r="E2101" t="s">
        <v>445</v>
      </c>
      <c r="F2101" t="s">
        <v>430</v>
      </c>
      <c r="G2101" t="s">
        <v>230</v>
      </c>
      <c r="H2101" t="s">
        <v>234</v>
      </c>
      <c r="J2101" t="s">
        <v>52</v>
      </c>
      <c r="K2101" s="15">
        <v>15000</v>
      </c>
      <c r="M2101">
        <v>45324</v>
      </c>
      <c r="N2101" t="s">
        <v>1013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88376.635514018708</v>
      </c>
      <c r="Y2101">
        <v>88376.635514018708</v>
      </c>
      <c r="Z2101">
        <v>6186.3644859813103</v>
      </c>
      <c r="AA2101">
        <v>94563.000000000015</v>
      </c>
      <c r="AB2101" t="s">
        <v>242</v>
      </c>
      <c r="AC2101">
        <v>7</v>
      </c>
      <c r="AD2101">
        <v>100000</v>
      </c>
      <c r="AE2101">
        <v>0</v>
      </c>
      <c r="AF2101">
        <v>0</v>
      </c>
      <c r="AG2101">
        <v>6542.0560747663567</v>
      </c>
      <c r="AH2101" t="s">
        <v>58</v>
      </c>
      <c r="AK2101" t="s">
        <v>798</v>
      </c>
      <c r="AL2101">
        <v>4312300008</v>
      </c>
      <c r="AM2101" t="s">
        <v>693</v>
      </c>
      <c r="AN2101" t="s">
        <v>984</v>
      </c>
      <c r="AO2101" t="s">
        <v>448</v>
      </c>
      <c r="AP2101" t="s">
        <v>433</v>
      </c>
      <c r="AQ2101" t="s">
        <v>82</v>
      </c>
      <c r="AR2101" t="s">
        <v>71</v>
      </c>
      <c r="AT2101" t="s">
        <v>52</v>
      </c>
      <c r="AU2101">
        <v>7000</v>
      </c>
      <c r="AW2101">
        <v>45324</v>
      </c>
      <c r="AX2101" t="s">
        <v>1029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288135.51401869161</v>
      </c>
      <c r="BI2101">
        <v>288135.51401869161</v>
      </c>
      <c r="BJ2101">
        <v>20169.485981308415</v>
      </c>
      <c r="BK2101">
        <v>308305</v>
      </c>
      <c r="BL2101" t="s">
        <v>242</v>
      </c>
      <c r="BM2101">
        <v>1</v>
      </c>
      <c r="BN2101">
        <v>7000</v>
      </c>
      <c r="BO2101">
        <v>0</v>
      </c>
      <c r="BP2101">
        <v>0</v>
      </c>
      <c r="BQ2101">
        <v>457.94392523364513</v>
      </c>
      <c r="BR2101" t="s">
        <v>72</v>
      </c>
    </row>
    <row r="2102" spans="1:70" x14ac:dyDescent="0.3">
      <c r="A2102" t="s">
        <v>798</v>
      </c>
      <c r="B2102">
        <v>4142300293</v>
      </c>
      <c r="C2102">
        <v>10128872</v>
      </c>
      <c r="D2102" t="s">
        <v>710</v>
      </c>
      <c r="E2102" t="s">
        <v>445</v>
      </c>
      <c r="F2102" t="s">
        <v>430</v>
      </c>
      <c r="G2102" t="s">
        <v>237</v>
      </c>
      <c r="H2102" t="s">
        <v>234</v>
      </c>
      <c r="J2102" t="s">
        <v>425</v>
      </c>
      <c r="K2102" s="15">
        <v>250000</v>
      </c>
      <c r="M2102">
        <v>45324</v>
      </c>
      <c r="N2102" t="s">
        <v>1023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53949.85046728974</v>
      </c>
      <c r="Y2102">
        <v>53949.85046728974</v>
      </c>
      <c r="Z2102">
        <v>3776.4895327102822</v>
      </c>
      <c r="AA2102">
        <v>57726.340000000026</v>
      </c>
      <c r="AB2102" t="s">
        <v>242</v>
      </c>
      <c r="AC2102">
        <v>0</v>
      </c>
      <c r="AD2102">
        <v>0</v>
      </c>
      <c r="AE2102">
        <v>0</v>
      </c>
      <c r="AF2102">
        <v>267500</v>
      </c>
      <c r="AG2102">
        <v>17500</v>
      </c>
      <c r="AH2102" t="s">
        <v>72</v>
      </c>
      <c r="AK2102" t="s">
        <v>798</v>
      </c>
      <c r="AL2102">
        <v>62200092</v>
      </c>
      <c r="AM2102">
        <v>18575408</v>
      </c>
      <c r="AN2102" t="s">
        <v>658</v>
      </c>
      <c r="AO2102" t="s">
        <v>435</v>
      </c>
      <c r="AP2102" t="s">
        <v>432</v>
      </c>
      <c r="AQ2102" t="s">
        <v>235</v>
      </c>
      <c r="AR2102" t="s">
        <v>235</v>
      </c>
      <c r="AT2102" t="s">
        <v>52</v>
      </c>
      <c r="AU2102">
        <v>3000</v>
      </c>
      <c r="AW2102">
        <v>45324</v>
      </c>
      <c r="AX2102" t="s">
        <v>1013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36618.739999999991</v>
      </c>
      <c r="BG2102">
        <v>0</v>
      </c>
      <c r="BH2102">
        <v>0</v>
      </c>
      <c r="BI2102">
        <v>36618.739999999991</v>
      </c>
      <c r="BJ2102">
        <v>0</v>
      </c>
      <c r="BK2102">
        <v>36618.739999999991</v>
      </c>
      <c r="BL2102" t="s">
        <v>242</v>
      </c>
      <c r="BM2102">
        <v>9</v>
      </c>
      <c r="BN2102">
        <v>27000</v>
      </c>
      <c r="BO2102">
        <v>0</v>
      </c>
      <c r="BP2102">
        <v>0</v>
      </c>
      <c r="BQ2102">
        <v>0</v>
      </c>
      <c r="BR2102" t="s">
        <v>58</v>
      </c>
    </row>
    <row r="2103" spans="1:70" x14ac:dyDescent="0.3">
      <c r="A2103" t="s">
        <v>798</v>
      </c>
      <c r="B2103">
        <v>4142300315</v>
      </c>
      <c r="C2103">
        <v>10137121</v>
      </c>
      <c r="D2103" t="s">
        <v>197</v>
      </c>
      <c r="E2103" t="s">
        <v>445</v>
      </c>
      <c r="F2103" t="s">
        <v>430</v>
      </c>
      <c r="G2103" t="s">
        <v>230</v>
      </c>
      <c r="H2103" t="s">
        <v>234</v>
      </c>
      <c r="J2103" t="s">
        <v>52</v>
      </c>
      <c r="K2103" s="15">
        <v>20000</v>
      </c>
      <c r="M2103">
        <v>45324</v>
      </c>
      <c r="N2103" t="s">
        <v>1013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1168818.691588785</v>
      </c>
      <c r="Y2103">
        <v>1168818.691588785</v>
      </c>
      <c r="Z2103">
        <v>81817.308411214966</v>
      </c>
      <c r="AA2103">
        <v>1250636</v>
      </c>
      <c r="AB2103" t="s">
        <v>242</v>
      </c>
      <c r="AC2103">
        <v>2</v>
      </c>
      <c r="AD2103">
        <v>40000</v>
      </c>
      <c r="AE2103">
        <v>0</v>
      </c>
      <c r="AF2103">
        <v>0</v>
      </c>
      <c r="AG2103">
        <v>2616.8224299065405</v>
      </c>
      <c r="AH2103" t="s">
        <v>58</v>
      </c>
      <c r="AK2103" t="s">
        <v>798</v>
      </c>
      <c r="AL2103">
        <v>4142300221</v>
      </c>
      <c r="AM2103">
        <v>10089343</v>
      </c>
      <c r="AN2103" t="s">
        <v>194</v>
      </c>
      <c r="AO2103" t="s">
        <v>445</v>
      </c>
      <c r="AP2103" t="s">
        <v>430</v>
      </c>
      <c r="AQ2103" t="s">
        <v>230</v>
      </c>
      <c r="AR2103" t="s">
        <v>234</v>
      </c>
      <c r="AT2103" t="s">
        <v>52</v>
      </c>
      <c r="AU2103">
        <v>15000</v>
      </c>
      <c r="AW2103">
        <v>45324</v>
      </c>
      <c r="AX2103" t="s">
        <v>1013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88376.635514018708</v>
      </c>
      <c r="BI2103">
        <v>88376.635514018708</v>
      </c>
      <c r="BJ2103">
        <v>6186.3644859813103</v>
      </c>
      <c r="BK2103">
        <v>94563.000000000015</v>
      </c>
      <c r="BL2103" t="s">
        <v>242</v>
      </c>
      <c r="BM2103">
        <v>7</v>
      </c>
      <c r="BN2103">
        <v>100000</v>
      </c>
      <c r="BO2103">
        <v>0</v>
      </c>
      <c r="BP2103">
        <v>0</v>
      </c>
      <c r="BQ2103">
        <v>6542.0560747663567</v>
      </c>
      <c r="BR2103" t="s">
        <v>58</v>
      </c>
    </row>
    <row r="2104" spans="1:70" x14ac:dyDescent="0.3">
      <c r="A2104" t="s">
        <v>798</v>
      </c>
      <c r="B2104">
        <v>4142300807</v>
      </c>
      <c r="C2104">
        <v>10370582</v>
      </c>
      <c r="D2104" t="s">
        <v>719</v>
      </c>
      <c r="E2104" t="s">
        <v>445</v>
      </c>
      <c r="F2104" t="s">
        <v>430</v>
      </c>
      <c r="G2104" t="s">
        <v>237</v>
      </c>
      <c r="H2104" t="s">
        <v>234</v>
      </c>
      <c r="J2104" t="s">
        <v>425</v>
      </c>
      <c r="K2104" s="15">
        <v>114000</v>
      </c>
      <c r="M2104">
        <v>45324</v>
      </c>
      <c r="N2104" t="s">
        <v>1023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262742.02803738316</v>
      </c>
      <c r="Y2104">
        <v>262742.02803738316</v>
      </c>
      <c r="Z2104">
        <v>18391.941962616824</v>
      </c>
      <c r="AA2104">
        <v>281133.96999999997</v>
      </c>
      <c r="AB2104" t="s">
        <v>242</v>
      </c>
      <c r="AC2104">
        <v>0</v>
      </c>
      <c r="AD2104">
        <v>0</v>
      </c>
      <c r="AE2104">
        <v>0</v>
      </c>
      <c r="AF2104">
        <v>121980</v>
      </c>
      <c r="AG2104">
        <v>7980</v>
      </c>
      <c r="AH2104" t="s">
        <v>72</v>
      </c>
      <c r="AK2104" t="s">
        <v>798</v>
      </c>
      <c r="AL2104">
        <v>4142300293</v>
      </c>
      <c r="AM2104">
        <v>10128872</v>
      </c>
      <c r="AN2104" t="s">
        <v>710</v>
      </c>
      <c r="AO2104" t="s">
        <v>445</v>
      </c>
      <c r="AP2104" t="s">
        <v>430</v>
      </c>
      <c r="AQ2104" t="s">
        <v>237</v>
      </c>
      <c r="AR2104" t="s">
        <v>234</v>
      </c>
      <c r="AT2104" t="s">
        <v>425</v>
      </c>
      <c r="AU2104">
        <v>250000</v>
      </c>
      <c r="AW2104">
        <v>45324</v>
      </c>
      <c r="AX2104" t="s">
        <v>1023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53949.85046728974</v>
      </c>
      <c r="BI2104">
        <v>53949.85046728974</v>
      </c>
      <c r="BJ2104">
        <v>3776.4895327102822</v>
      </c>
      <c r="BK2104">
        <v>57726.340000000026</v>
      </c>
      <c r="BL2104" t="s">
        <v>242</v>
      </c>
      <c r="BM2104">
        <v>0</v>
      </c>
      <c r="BN2104">
        <v>0</v>
      </c>
      <c r="BO2104">
        <v>0</v>
      </c>
      <c r="BP2104">
        <v>267500</v>
      </c>
      <c r="BQ2104">
        <v>17500</v>
      </c>
      <c r="BR2104" t="s">
        <v>72</v>
      </c>
    </row>
    <row r="2105" spans="1:70" x14ac:dyDescent="0.3">
      <c r="A2105" t="s">
        <v>798</v>
      </c>
      <c r="B2105">
        <v>4142301334</v>
      </c>
      <c r="C2105">
        <v>10340473</v>
      </c>
      <c r="D2105" t="s">
        <v>753</v>
      </c>
      <c r="E2105" t="s">
        <v>446</v>
      </c>
      <c r="F2105" t="s">
        <v>430</v>
      </c>
      <c r="G2105" t="s">
        <v>230</v>
      </c>
      <c r="H2105" t="s">
        <v>234</v>
      </c>
      <c r="J2105" t="s">
        <v>52</v>
      </c>
      <c r="K2105" s="15">
        <v>10000</v>
      </c>
      <c r="M2105">
        <v>45324</v>
      </c>
      <c r="N2105" t="s">
        <v>1013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196724.10280373832</v>
      </c>
      <c r="Y2105">
        <v>196724.10280373832</v>
      </c>
      <c r="Z2105">
        <v>13770.687196261684</v>
      </c>
      <c r="AA2105">
        <v>210494.79</v>
      </c>
      <c r="AB2105" t="s">
        <v>242</v>
      </c>
      <c r="AC2105">
        <v>1</v>
      </c>
      <c r="AD2105">
        <v>10000</v>
      </c>
      <c r="AE2105">
        <v>0</v>
      </c>
      <c r="AF2105">
        <v>0</v>
      </c>
      <c r="AG2105">
        <v>654.20560747663512</v>
      </c>
      <c r="AH2105" t="s">
        <v>72</v>
      </c>
      <c r="AK2105" t="s">
        <v>798</v>
      </c>
      <c r="AL2105">
        <v>4132300193</v>
      </c>
      <c r="AM2105">
        <v>1010588096</v>
      </c>
      <c r="AN2105" t="s">
        <v>705</v>
      </c>
      <c r="AO2105" t="s">
        <v>441</v>
      </c>
      <c r="AP2105" t="s">
        <v>430</v>
      </c>
      <c r="AQ2105" t="s">
        <v>237</v>
      </c>
      <c r="AR2105" t="s">
        <v>231</v>
      </c>
      <c r="AT2105" t="s">
        <v>425</v>
      </c>
      <c r="AU2105">
        <v>75000</v>
      </c>
      <c r="AW2105">
        <v>45324</v>
      </c>
      <c r="AX2105" t="s">
        <v>1023</v>
      </c>
      <c r="AY2105">
        <v>0</v>
      </c>
      <c r="AZ2105">
        <v>4100</v>
      </c>
      <c r="BA2105">
        <v>0</v>
      </c>
      <c r="BB2105">
        <v>0</v>
      </c>
      <c r="BC2105">
        <v>72419.178082191778</v>
      </c>
      <c r="BD2105">
        <v>182242.99065420561</v>
      </c>
      <c r="BE2105">
        <v>0</v>
      </c>
      <c r="BF2105">
        <v>0</v>
      </c>
      <c r="BG2105">
        <v>0</v>
      </c>
      <c r="BH2105">
        <v>0</v>
      </c>
      <c r="BI2105">
        <v>258762.16873639741</v>
      </c>
      <c r="BJ2105">
        <v>12757.009345794395</v>
      </c>
      <c r="BK2105">
        <v>271519.17808219179</v>
      </c>
      <c r="BL2105" t="s">
        <v>594</v>
      </c>
      <c r="BM2105">
        <v>0</v>
      </c>
      <c r="BN2105">
        <v>0</v>
      </c>
      <c r="BO2105">
        <v>0</v>
      </c>
      <c r="BP2105">
        <v>80250</v>
      </c>
      <c r="BQ2105">
        <v>5250</v>
      </c>
      <c r="BR2105" t="s">
        <v>72</v>
      </c>
    </row>
    <row r="2106" spans="1:70" x14ac:dyDescent="0.3">
      <c r="A2106" t="s">
        <v>798</v>
      </c>
      <c r="B2106">
        <v>4232300098</v>
      </c>
      <c r="C2106">
        <v>111655</v>
      </c>
      <c r="D2106" t="s">
        <v>763</v>
      </c>
      <c r="E2106" t="s">
        <v>443</v>
      </c>
      <c r="F2106" t="s">
        <v>431</v>
      </c>
      <c r="G2106" t="s">
        <v>230</v>
      </c>
      <c r="H2106" t="s">
        <v>231</v>
      </c>
      <c r="J2106" t="s">
        <v>52</v>
      </c>
      <c r="K2106" s="15">
        <v>50000</v>
      </c>
      <c r="M2106">
        <v>45324</v>
      </c>
      <c r="N2106" t="s">
        <v>1039</v>
      </c>
      <c r="O2106">
        <v>0</v>
      </c>
      <c r="P2106">
        <v>17111.124288165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555341.00533816346</v>
      </c>
      <c r="X2106">
        <v>0</v>
      </c>
      <c r="Y2106">
        <v>572452.12962632847</v>
      </c>
      <c r="Z2106">
        <v>38873.870373671445</v>
      </c>
      <c r="AA2106">
        <v>611325.99999999988</v>
      </c>
      <c r="AB2106" t="s">
        <v>242</v>
      </c>
      <c r="AC2106">
        <v>1</v>
      </c>
      <c r="AD2106">
        <v>50000</v>
      </c>
      <c r="AE2106">
        <v>0</v>
      </c>
      <c r="AF2106">
        <v>0</v>
      </c>
      <c r="AG2106">
        <v>3172.7090655808861</v>
      </c>
      <c r="AH2106" t="s">
        <v>72</v>
      </c>
      <c r="AK2106" t="s">
        <v>798</v>
      </c>
      <c r="AL2106">
        <v>4132301274</v>
      </c>
      <c r="AM2106">
        <v>1120071714</v>
      </c>
      <c r="AN2106" t="s">
        <v>707</v>
      </c>
      <c r="AO2106" t="s">
        <v>441</v>
      </c>
      <c r="AP2106" t="s">
        <v>430</v>
      </c>
      <c r="AQ2106" t="s">
        <v>237</v>
      </c>
      <c r="AR2106" t="s">
        <v>231</v>
      </c>
      <c r="AT2106" t="s">
        <v>425</v>
      </c>
      <c r="AU2106">
        <v>50000</v>
      </c>
      <c r="AW2106">
        <v>45324</v>
      </c>
      <c r="AX2106" t="s">
        <v>1023</v>
      </c>
      <c r="AY2106">
        <v>0</v>
      </c>
      <c r="AZ2106">
        <v>10366</v>
      </c>
      <c r="BA2106">
        <v>0</v>
      </c>
      <c r="BB2106">
        <v>0</v>
      </c>
      <c r="BC2106">
        <v>15959.589041095891</v>
      </c>
      <c r="BD2106">
        <v>112149.53271028037</v>
      </c>
      <c r="BE2106">
        <v>0</v>
      </c>
      <c r="BF2106">
        <v>0</v>
      </c>
      <c r="BG2106">
        <v>146456.07476635513</v>
      </c>
      <c r="BH2106">
        <v>0</v>
      </c>
      <c r="BI2106">
        <v>284931.19651773141</v>
      </c>
      <c r="BJ2106">
        <v>18102.392523364484</v>
      </c>
      <c r="BK2106">
        <v>303033.58904109593</v>
      </c>
      <c r="BL2106" t="s">
        <v>331</v>
      </c>
      <c r="BM2106">
        <v>0</v>
      </c>
      <c r="BN2106">
        <v>0</v>
      </c>
      <c r="BO2106">
        <v>0</v>
      </c>
      <c r="BP2106">
        <v>53500</v>
      </c>
      <c r="BQ2106">
        <v>3500</v>
      </c>
      <c r="BR2106" t="s">
        <v>72</v>
      </c>
    </row>
    <row r="2107" spans="1:70" x14ac:dyDescent="0.3">
      <c r="A2107" t="s">
        <v>798</v>
      </c>
      <c r="B2107">
        <v>4312300007</v>
      </c>
      <c r="C2107" t="s">
        <v>692</v>
      </c>
      <c r="D2107" t="s">
        <v>984</v>
      </c>
      <c r="E2107" t="s">
        <v>448</v>
      </c>
      <c r="F2107" t="s">
        <v>433</v>
      </c>
      <c r="G2107" t="s">
        <v>82</v>
      </c>
      <c r="H2107" t="s">
        <v>71</v>
      </c>
      <c r="J2107" t="s">
        <v>52</v>
      </c>
      <c r="K2107" s="15">
        <v>16000</v>
      </c>
      <c r="M2107">
        <v>45324</v>
      </c>
      <c r="N2107" t="s">
        <v>1029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684041.72897196258</v>
      </c>
      <c r="Y2107">
        <v>684041.72897196258</v>
      </c>
      <c r="Z2107">
        <v>47882.921028037388</v>
      </c>
      <c r="AA2107">
        <v>731924.65</v>
      </c>
      <c r="AB2107" t="s">
        <v>242</v>
      </c>
      <c r="AC2107">
        <v>1</v>
      </c>
      <c r="AD2107">
        <v>16000</v>
      </c>
      <c r="AE2107">
        <v>0</v>
      </c>
      <c r="AF2107">
        <v>0</v>
      </c>
      <c r="AG2107">
        <v>1046.7289719626169</v>
      </c>
      <c r="AH2107" t="s">
        <v>72</v>
      </c>
      <c r="AK2107" t="s">
        <v>798</v>
      </c>
      <c r="AL2107">
        <v>4132301948</v>
      </c>
      <c r="AM2107" t="s">
        <v>677</v>
      </c>
      <c r="AN2107" t="s">
        <v>982</v>
      </c>
      <c r="AO2107" t="s">
        <v>442</v>
      </c>
      <c r="AP2107" t="s">
        <v>430</v>
      </c>
      <c r="AQ2107" t="s">
        <v>237</v>
      </c>
      <c r="AR2107" t="s">
        <v>765</v>
      </c>
      <c r="AT2107" t="s">
        <v>425</v>
      </c>
      <c r="AU2107">
        <v>178000</v>
      </c>
      <c r="AW2107">
        <v>45324</v>
      </c>
      <c r="AX2107" t="s">
        <v>1023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118912.14953271032</v>
      </c>
      <c r="BI2107">
        <v>118912.14953271032</v>
      </c>
      <c r="BJ2107">
        <v>8323.8504672897234</v>
      </c>
      <c r="BK2107">
        <v>127236.00000000004</v>
      </c>
      <c r="BL2107" t="s">
        <v>242</v>
      </c>
      <c r="BM2107">
        <v>1</v>
      </c>
      <c r="BN2107">
        <v>178000</v>
      </c>
      <c r="BO2107">
        <v>0</v>
      </c>
      <c r="BP2107">
        <v>0</v>
      </c>
      <c r="BQ2107">
        <v>11644.859813084127</v>
      </c>
      <c r="BR2107" t="s">
        <v>72</v>
      </c>
    </row>
    <row r="2108" spans="1:70" x14ac:dyDescent="0.3">
      <c r="A2108" t="s">
        <v>798</v>
      </c>
      <c r="B2108">
        <v>4312300008</v>
      </c>
      <c r="C2108" t="s">
        <v>693</v>
      </c>
      <c r="D2108" t="s">
        <v>984</v>
      </c>
      <c r="E2108" t="s">
        <v>448</v>
      </c>
      <c r="F2108" t="s">
        <v>433</v>
      </c>
      <c r="G2108" t="s">
        <v>82</v>
      </c>
      <c r="H2108" t="s">
        <v>71</v>
      </c>
      <c r="J2108" t="s">
        <v>52</v>
      </c>
      <c r="K2108" s="15">
        <v>7000</v>
      </c>
      <c r="M2108">
        <v>45324</v>
      </c>
      <c r="N2108" t="s">
        <v>1029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288135.51401869161</v>
      </c>
      <c r="Y2108">
        <v>288135.51401869161</v>
      </c>
      <c r="Z2108">
        <v>20169.485981308415</v>
      </c>
      <c r="AA2108">
        <v>308305</v>
      </c>
      <c r="AB2108" t="s">
        <v>242</v>
      </c>
      <c r="AC2108">
        <v>1</v>
      </c>
      <c r="AD2108">
        <v>7000</v>
      </c>
      <c r="AE2108">
        <v>0</v>
      </c>
      <c r="AF2108">
        <v>0</v>
      </c>
      <c r="AG2108">
        <v>457.94392523364513</v>
      </c>
      <c r="AH2108" t="s">
        <v>72</v>
      </c>
      <c r="AK2108" t="s">
        <v>798</v>
      </c>
      <c r="AL2108">
        <v>4142300807</v>
      </c>
      <c r="AM2108">
        <v>10370582</v>
      </c>
      <c r="AN2108" t="s">
        <v>719</v>
      </c>
      <c r="AO2108" t="s">
        <v>445</v>
      </c>
      <c r="AP2108" t="s">
        <v>430</v>
      </c>
      <c r="AQ2108" t="s">
        <v>237</v>
      </c>
      <c r="AR2108" t="s">
        <v>234</v>
      </c>
      <c r="AT2108" t="s">
        <v>425</v>
      </c>
      <c r="AU2108">
        <v>114000</v>
      </c>
      <c r="AW2108">
        <v>45324</v>
      </c>
      <c r="AX2108" t="s">
        <v>1023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262742.02803738316</v>
      </c>
      <c r="BI2108">
        <v>262742.02803738316</v>
      </c>
      <c r="BJ2108">
        <v>18391.941962616824</v>
      </c>
      <c r="BK2108">
        <v>281133.96999999997</v>
      </c>
      <c r="BL2108" t="s">
        <v>242</v>
      </c>
      <c r="BM2108">
        <v>0</v>
      </c>
      <c r="BN2108">
        <v>0</v>
      </c>
      <c r="BO2108">
        <v>0</v>
      </c>
      <c r="BP2108">
        <v>121980</v>
      </c>
      <c r="BQ2108">
        <v>7980</v>
      </c>
      <c r="BR2108" t="s">
        <v>72</v>
      </c>
    </row>
    <row r="2109" spans="1:70" x14ac:dyDescent="0.3">
      <c r="A2109" t="s">
        <v>798</v>
      </c>
      <c r="B2109">
        <v>4142300005</v>
      </c>
      <c r="C2109">
        <v>121675</v>
      </c>
      <c r="D2109" t="s">
        <v>983</v>
      </c>
      <c r="E2109" t="s">
        <v>444</v>
      </c>
      <c r="F2109" t="s">
        <v>430</v>
      </c>
      <c r="G2109" t="s">
        <v>237</v>
      </c>
      <c r="H2109" t="s">
        <v>231</v>
      </c>
      <c r="J2109" t="s">
        <v>52</v>
      </c>
      <c r="K2109" s="15">
        <v>137000</v>
      </c>
      <c r="M2109">
        <v>45325</v>
      </c>
      <c r="N2109" t="s">
        <v>1018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 t="s">
        <v>242</v>
      </c>
      <c r="AC2109">
        <v>1</v>
      </c>
      <c r="AD2109">
        <v>137000</v>
      </c>
      <c r="AE2109">
        <v>0</v>
      </c>
      <c r="AF2109">
        <v>0</v>
      </c>
      <c r="AG2109">
        <v>8808.7374240343488</v>
      </c>
      <c r="AH2109" t="s">
        <v>58</v>
      </c>
      <c r="AK2109" t="s">
        <v>798</v>
      </c>
      <c r="AL2109">
        <v>4142300005</v>
      </c>
      <c r="AM2109">
        <v>121675</v>
      </c>
      <c r="AN2109" t="s">
        <v>983</v>
      </c>
      <c r="AO2109" t="s">
        <v>444</v>
      </c>
      <c r="AP2109" t="s">
        <v>430</v>
      </c>
      <c r="AQ2109" t="s">
        <v>237</v>
      </c>
      <c r="AR2109" t="s">
        <v>231</v>
      </c>
      <c r="AT2109" t="s">
        <v>52</v>
      </c>
      <c r="AU2109">
        <v>137000</v>
      </c>
      <c r="AW2109">
        <v>45325</v>
      </c>
      <c r="AX2109" t="s">
        <v>1018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 t="s">
        <v>242</v>
      </c>
      <c r="BM2109">
        <v>1</v>
      </c>
      <c r="BN2109">
        <v>137000</v>
      </c>
      <c r="BO2109">
        <v>0</v>
      </c>
      <c r="BP2109">
        <v>0</v>
      </c>
      <c r="BQ2109">
        <v>8808.7374240343488</v>
      </c>
      <c r="BR2109" t="s">
        <v>58</v>
      </c>
    </row>
    <row r="2110" spans="1:70" x14ac:dyDescent="0.3">
      <c r="A2110" t="s">
        <v>798</v>
      </c>
      <c r="B2110">
        <v>4302300030</v>
      </c>
      <c r="C2110">
        <v>901014009060</v>
      </c>
      <c r="D2110" t="s">
        <v>226</v>
      </c>
      <c r="E2110" t="s">
        <v>447</v>
      </c>
      <c r="F2110" t="s">
        <v>433</v>
      </c>
      <c r="G2110" t="s">
        <v>82</v>
      </c>
      <c r="H2110" t="s">
        <v>83</v>
      </c>
      <c r="J2110" t="s">
        <v>52</v>
      </c>
      <c r="K2110" s="15">
        <v>20000</v>
      </c>
      <c r="M2110">
        <v>45325</v>
      </c>
      <c r="N2110" t="s">
        <v>1013</v>
      </c>
      <c r="O2110">
        <v>0</v>
      </c>
      <c r="P2110">
        <v>0</v>
      </c>
      <c r="Q2110">
        <v>28507.335403323588</v>
      </c>
      <c r="R2110">
        <v>24628.69</v>
      </c>
      <c r="S2110">
        <v>0</v>
      </c>
      <c r="T2110">
        <v>0</v>
      </c>
      <c r="U2110">
        <v>0</v>
      </c>
      <c r="V2110">
        <v>576614.02037072566</v>
      </c>
      <c r="W2110">
        <v>0</v>
      </c>
      <c r="X2110">
        <v>0</v>
      </c>
      <c r="Y2110">
        <v>629750.04577404924</v>
      </c>
      <c r="Z2110">
        <v>40362.981425950798</v>
      </c>
      <c r="AA2110">
        <v>670113.02720000001</v>
      </c>
      <c r="AB2110" t="s">
        <v>242</v>
      </c>
      <c r="AC2110">
        <v>9</v>
      </c>
      <c r="AD2110">
        <v>167000</v>
      </c>
      <c r="AE2110">
        <v>0</v>
      </c>
      <c r="AF2110">
        <v>0</v>
      </c>
      <c r="AG2110">
        <v>9995.7157740492075</v>
      </c>
      <c r="AH2110" t="s">
        <v>58</v>
      </c>
      <c r="AK2110" t="s">
        <v>798</v>
      </c>
      <c r="AL2110">
        <v>4302300030</v>
      </c>
      <c r="AM2110">
        <v>901014009060</v>
      </c>
      <c r="AN2110" t="s">
        <v>226</v>
      </c>
      <c r="AO2110" t="s">
        <v>447</v>
      </c>
      <c r="AP2110" t="s">
        <v>433</v>
      </c>
      <c r="AQ2110" t="s">
        <v>82</v>
      </c>
      <c r="AR2110" t="s">
        <v>83</v>
      </c>
      <c r="AT2110" t="s">
        <v>52</v>
      </c>
      <c r="AU2110">
        <v>20000</v>
      </c>
      <c r="AW2110">
        <v>45325</v>
      </c>
      <c r="AX2110" t="s">
        <v>1013</v>
      </c>
      <c r="AY2110">
        <v>0</v>
      </c>
      <c r="AZ2110">
        <v>0</v>
      </c>
      <c r="BA2110">
        <v>28507.335403323588</v>
      </c>
      <c r="BB2110">
        <v>24628.69</v>
      </c>
      <c r="BC2110">
        <v>0</v>
      </c>
      <c r="BD2110">
        <v>0</v>
      </c>
      <c r="BE2110">
        <v>0</v>
      </c>
      <c r="BF2110">
        <v>576614.02037072566</v>
      </c>
      <c r="BG2110">
        <v>0</v>
      </c>
      <c r="BH2110">
        <v>0</v>
      </c>
      <c r="BI2110">
        <v>629750.04577404924</v>
      </c>
      <c r="BJ2110">
        <v>40362.981425950798</v>
      </c>
      <c r="BK2110">
        <v>670113.02720000001</v>
      </c>
      <c r="BL2110" t="s">
        <v>242</v>
      </c>
      <c r="BM2110">
        <v>9</v>
      </c>
      <c r="BN2110">
        <v>167000</v>
      </c>
      <c r="BO2110">
        <v>0</v>
      </c>
      <c r="BP2110">
        <v>0</v>
      </c>
      <c r="BQ2110">
        <v>9995.7157740492075</v>
      </c>
      <c r="BR2110" t="s">
        <v>58</v>
      </c>
    </row>
    <row r="2111" spans="1:70" x14ac:dyDescent="0.3">
      <c r="A2111" t="s">
        <v>798</v>
      </c>
      <c r="B2111">
        <v>4302300036</v>
      </c>
      <c r="C2111">
        <v>901015004180</v>
      </c>
      <c r="D2111" t="s">
        <v>226</v>
      </c>
      <c r="E2111" t="s">
        <v>447</v>
      </c>
      <c r="F2111" t="s">
        <v>433</v>
      </c>
      <c r="G2111" t="s">
        <v>82</v>
      </c>
      <c r="H2111" t="s">
        <v>83</v>
      </c>
      <c r="J2111" t="s">
        <v>52</v>
      </c>
      <c r="K2111" s="15">
        <v>20000</v>
      </c>
      <c r="M2111">
        <v>45325</v>
      </c>
      <c r="N2111" t="s">
        <v>1013</v>
      </c>
      <c r="O2111">
        <v>0</v>
      </c>
      <c r="P2111">
        <v>0</v>
      </c>
      <c r="Q2111">
        <v>62827.839267867646</v>
      </c>
      <c r="R2111">
        <v>32364.02</v>
      </c>
      <c r="S2111">
        <v>64233.664235637683</v>
      </c>
      <c r="T2111">
        <v>0</v>
      </c>
      <c r="U2111">
        <v>0</v>
      </c>
      <c r="V2111">
        <v>1054424.3799999999</v>
      </c>
      <c r="W2111">
        <v>0</v>
      </c>
      <c r="X2111">
        <v>0</v>
      </c>
      <c r="Y2111">
        <v>1213849.9035035053</v>
      </c>
      <c r="Z2111">
        <v>78306.063096494647</v>
      </c>
      <c r="AA2111">
        <v>1292155.9665999999</v>
      </c>
      <c r="AB2111" t="s">
        <v>242</v>
      </c>
      <c r="AC2111">
        <v>9</v>
      </c>
      <c r="AD2111">
        <v>173000</v>
      </c>
      <c r="AE2111">
        <v>0</v>
      </c>
      <c r="AF2111">
        <v>0</v>
      </c>
      <c r="AG2111">
        <v>10426.103503505361</v>
      </c>
      <c r="AH2111" t="s">
        <v>58</v>
      </c>
      <c r="AK2111" t="s">
        <v>798</v>
      </c>
      <c r="AL2111">
        <v>4302300036</v>
      </c>
      <c r="AM2111">
        <v>901015004180</v>
      </c>
      <c r="AN2111" t="s">
        <v>226</v>
      </c>
      <c r="AO2111" t="s">
        <v>447</v>
      </c>
      <c r="AP2111" t="s">
        <v>433</v>
      </c>
      <c r="AQ2111" t="s">
        <v>82</v>
      </c>
      <c r="AR2111" t="s">
        <v>83</v>
      </c>
      <c r="AT2111" t="s">
        <v>52</v>
      </c>
      <c r="AU2111">
        <v>20000</v>
      </c>
      <c r="AW2111">
        <v>45325</v>
      </c>
      <c r="AX2111" t="s">
        <v>1013</v>
      </c>
      <c r="AY2111">
        <v>0</v>
      </c>
      <c r="AZ2111">
        <v>0</v>
      </c>
      <c r="BA2111">
        <v>62827.839267867646</v>
      </c>
      <c r="BB2111">
        <v>32364.02</v>
      </c>
      <c r="BC2111">
        <v>64233.664235637683</v>
      </c>
      <c r="BD2111">
        <v>0</v>
      </c>
      <c r="BE2111">
        <v>0</v>
      </c>
      <c r="BF2111">
        <v>1054424.3799999999</v>
      </c>
      <c r="BG2111">
        <v>0</v>
      </c>
      <c r="BH2111">
        <v>0</v>
      </c>
      <c r="BI2111">
        <v>1213849.9035035053</v>
      </c>
      <c r="BJ2111">
        <v>78306.063096494647</v>
      </c>
      <c r="BK2111">
        <v>1292155.9665999999</v>
      </c>
      <c r="BL2111" t="s">
        <v>242</v>
      </c>
      <c r="BM2111">
        <v>9</v>
      </c>
      <c r="BN2111">
        <v>173000</v>
      </c>
      <c r="BO2111">
        <v>0</v>
      </c>
      <c r="BP2111">
        <v>0</v>
      </c>
      <c r="BQ2111">
        <v>10426.103503505361</v>
      </c>
      <c r="BR2111" t="s">
        <v>58</v>
      </c>
    </row>
    <row r="2112" spans="1:70" x14ac:dyDescent="0.3">
      <c r="A2112" t="s">
        <v>798</v>
      </c>
      <c r="B2112">
        <v>2200002</v>
      </c>
      <c r="C2112">
        <v>22961666</v>
      </c>
      <c r="D2112" t="s">
        <v>407</v>
      </c>
      <c r="E2112" t="s">
        <v>435</v>
      </c>
      <c r="F2112" t="s">
        <v>426</v>
      </c>
      <c r="G2112" t="s">
        <v>235</v>
      </c>
      <c r="H2112" t="s">
        <v>235</v>
      </c>
      <c r="J2112" t="s">
        <v>52</v>
      </c>
      <c r="K2112" s="15">
        <v>5000</v>
      </c>
      <c r="M2112">
        <v>45327</v>
      </c>
      <c r="N2112" t="s">
        <v>1013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78625</v>
      </c>
      <c r="W2112">
        <v>0</v>
      </c>
      <c r="X2112">
        <v>0</v>
      </c>
      <c r="Y2112">
        <v>78625</v>
      </c>
      <c r="Z2112">
        <v>0</v>
      </c>
      <c r="AA2112">
        <v>78625</v>
      </c>
      <c r="AB2112" t="s">
        <v>242</v>
      </c>
      <c r="AC2112">
        <v>10</v>
      </c>
      <c r="AD2112">
        <v>50000</v>
      </c>
      <c r="AE2112">
        <v>0</v>
      </c>
      <c r="AF2112">
        <v>0</v>
      </c>
      <c r="AG2112">
        <v>0</v>
      </c>
      <c r="AH2112" t="s">
        <v>58</v>
      </c>
      <c r="AK2112" t="s">
        <v>798</v>
      </c>
      <c r="AL2112">
        <v>4302300004</v>
      </c>
      <c r="AM2112">
        <v>901019009305</v>
      </c>
      <c r="AN2112" t="s">
        <v>221</v>
      </c>
      <c r="AO2112" t="s">
        <v>447</v>
      </c>
      <c r="AP2112" t="s">
        <v>433</v>
      </c>
      <c r="AQ2112" t="s">
        <v>82</v>
      </c>
      <c r="AR2112" t="s">
        <v>83</v>
      </c>
      <c r="AT2112" t="s">
        <v>52</v>
      </c>
      <c r="AU2112">
        <v>30000</v>
      </c>
      <c r="AW2112">
        <v>45327</v>
      </c>
      <c r="AX2112" t="s">
        <v>1013</v>
      </c>
      <c r="AY2112">
        <v>0</v>
      </c>
      <c r="AZ2112">
        <v>0</v>
      </c>
      <c r="BA2112">
        <v>163874.64843549323</v>
      </c>
      <c r="BB2112">
        <v>7341.0099999999993</v>
      </c>
      <c r="BC2112">
        <v>302213.31921916519</v>
      </c>
      <c r="BD2112">
        <v>0</v>
      </c>
      <c r="BE2112">
        <v>0</v>
      </c>
      <c r="BF2112">
        <v>2333526.79</v>
      </c>
      <c r="BG2112">
        <v>0</v>
      </c>
      <c r="BH2112">
        <v>0</v>
      </c>
      <c r="BI2112">
        <v>2806955.7676546583</v>
      </c>
      <c r="BJ2112">
        <v>184501.80764534159</v>
      </c>
      <c r="BK2112">
        <v>2991457.5752999997</v>
      </c>
      <c r="BL2112" t="s">
        <v>242</v>
      </c>
      <c r="BM2112">
        <v>2</v>
      </c>
      <c r="BN2112">
        <v>55000</v>
      </c>
      <c r="BO2112">
        <v>0</v>
      </c>
      <c r="BP2112">
        <v>0</v>
      </c>
      <c r="BQ2112">
        <v>3378.4576546584358</v>
      </c>
      <c r="BR2112" t="s">
        <v>58</v>
      </c>
    </row>
    <row r="2113" spans="1:70" x14ac:dyDescent="0.3">
      <c r="A2113" t="s">
        <v>798</v>
      </c>
      <c r="B2113">
        <v>2200003</v>
      </c>
      <c r="C2113">
        <v>22961796</v>
      </c>
      <c r="D2113" t="s">
        <v>407</v>
      </c>
      <c r="E2113" t="s">
        <v>435</v>
      </c>
      <c r="F2113" t="s">
        <v>426</v>
      </c>
      <c r="G2113" t="s">
        <v>235</v>
      </c>
      <c r="H2113" t="s">
        <v>235</v>
      </c>
      <c r="J2113" t="s">
        <v>52</v>
      </c>
      <c r="K2113" s="15">
        <v>5000</v>
      </c>
      <c r="M2113">
        <v>45327</v>
      </c>
      <c r="N2113" t="s">
        <v>1013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88250</v>
      </c>
      <c r="W2113">
        <v>0</v>
      </c>
      <c r="X2113">
        <v>0</v>
      </c>
      <c r="Y2113">
        <v>88250</v>
      </c>
      <c r="Z2113">
        <v>0</v>
      </c>
      <c r="AA2113">
        <v>88250</v>
      </c>
      <c r="AB2113" t="s">
        <v>242</v>
      </c>
      <c r="AC2113">
        <v>10</v>
      </c>
      <c r="AD2113">
        <v>50000</v>
      </c>
      <c r="AE2113">
        <v>0</v>
      </c>
      <c r="AF2113">
        <v>0</v>
      </c>
      <c r="AG2113">
        <v>0</v>
      </c>
      <c r="AH2113" t="s">
        <v>58</v>
      </c>
      <c r="AK2113" t="s">
        <v>798</v>
      </c>
      <c r="AL2113">
        <v>2200002</v>
      </c>
      <c r="AM2113">
        <v>22961666</v>
      </c>
      <c r="AN2113" t="s">
        <v>407</v>
      </c>
      <c r="AO2113" t="s">
        <v>435</v>
      </c>
      <c r="AP2113" t="s">
        <v>426</v>
      </c>
      <c r="AQ2113" t="s">
        <v>235</v>
      </c>
      <c r="AR2113" t="s">
        <v>235</v>
      </c>
      <c r="AT2113" t="s">
        <v>52</v>
      </c>
      <c r="AU2113">
        <v>5000</v>
      </c>
      <c r="AW2113">
        <v>45327</v>
      </c>
      <c r="AX2113" t="s">
        <v>1013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78625</v>
      </c>
      <c r="BG2113">
        <v>0</v>
      </c>
      <c r="BH2113">
        <v>0</v>
      </c>
      <c r="BI2113">
        <v>78625</v>
      </c>
      <c r="BJ2113">
        <v>0</v>
      </c>
      <c r="BK2113">
        <v>78625</v>
      </c>
      <c r="BL2113" t="s">
        <v>242</v>
      </c>
      <c r="BM2113">
        <v>10</v>
      </c>
      <c r="BN2113">
        <v>50000</v>
      </c>
      <c r="BO2113">
        <v>0</v>
      </c>
      <c r="BP2113">
        <v>0</v>
      </c>
      <c r="BQ2113">
        <v>0</v>
      </c>
      <c r="BR2113" t="s">
        <v>58</v>
      </c>
    </row>
    <row r="2114" spans="1:70" x14ac:dyDescent="0.3">
      <c r="A2114" t="s">
        <v>798</v>
      </c>
      <c r="B2114">
        <v>52200012</v>
      </c>
      <c r="C2114">
        <v>26851674</v>
      </c>
      <c r="D2114" t="s">
        <v>637</v>
      </c>
      <c r="E2114" t="s">
        <v>435</v>
      </c>
      <c r="F2114" t="s">
        <v>431</v>
      </c>
      <c r="G2114" t="s">
        <v>230</v>
      </c>
      <c r="H2114" t="s">
        <v>231</v>
      </c>
      <c r="J2114" t="s">
        <v>52</v>
      </c>
      <c r="K2114" s="15">
        <v>2500</v>
      </c>
      <c r="M2114">
        <v>45327</v>
      </c>
      <c r="N2114" t="s">
        <v>1013</v>
      </c>
      <c r="O2114">
        <v>3878.6752546237062</v>
      </c>
      <c r="P2114">
        <v>0</v>
      </c>
      <c r="Q2114">
        <v>0</v>
      </c>
      <c r="R2114">
        <v>0</v>
      </c>
      <c r="S2114">
        <v>0</v>
      </c>
      <c r="T2114">
        <v>12113.387612501201</v>
      </c>
      <c r="U2114">
        <v>0</v>
      </c>
      <c r="V2114">
        <v>0</v>
      </c>
      <c r="W2114">
        <v>42990.654205607476</v>
      </c>
      <c r="X2114">
        <v>0</v>
      </c>
      <c r="Y2114">
        <v>58982.717072732383</v>
      </c>
      <c r="Z2114">
        <v>3857.2829272676081</v>
      </c>
      <c r="AA2114">
        <v>62839.999999999993</v>
      </c>
      <c r="AB2114" t="s">
        <v>242</v>
      </c>
      <c r="AC2114">
        <v>12</v>
      </c>
      <c r="AD2114">
        <v>28800</v>
      </c>
      <c r="AE2114">
        <v>0</v>
      </c>
      <c r="AF2114">
        <v>0</v>
      </c>
      <c r="AG2114">
        <v>1758.4180073118314</v>
      </c>
      <c r="AH2114" t="s">
        <v>58</v>
      </c>
      <c r="AK2114" t="s">
        <v>798</v>
      </c>
      <c r="AL2114">
        <v>2200003</v>
      </c>
      <c r="AM2114">
        <v>22961796</v>
      </c>
      <c r="AN2114" t="s">
        <v>407</v>
      </c>
      <c r="AO2114" t="s">
        <v>435</v>
      </c>
      <c r="AP2114" t="s">
        <v>426</v>
      </c>
      <c r="AQ2114" t="s">
        <v>235</v>
      </c>
      <c r="AR2114" t="s">
        <v>235</v>
      </c>
      <c r="AT2114" t="s">
        <v>52</v>
      </c>
      <c r="AU2114">
        <v>5000</v>
      </c>
      <c r="AW2114">
        <v>45327</v>
      </c>
      <c r="AX2114" t="s">
        <v>1013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88250</v>
      </c>
      <c r="BG2114">
        <v>0</v>
      </c>
      <c r="BH2114">
        <v>0</v>
      </c>
      <c r="BI2114">
        <v>88250</v>
      </c>
      <c r="BJ2114">
        <v>0</v>
      </c>
      <c r="BK2114">
        <v>88250</v>
      </c>
      <c r="BL2114" t="s">
        <v>242</v>
      </c>
      <c r="BM2114">
        <v>10</v>
      </c>
      <c r="BN2114">
        <v>50000</v>
      </c>
      <c r="BO2114">
        <v>0</v>
      </c>
      <c r="BP2114">
        <v>0</v>
      </c>
      <c r="BQ2114">
        <v>0</v>
      </c>
      <c r="BR2114" t="s">
        <v>58</v>
      </c>
    </row>
    <row r="2115" spans="1:70" x14ac:dyDescent="0.3">
      <c r="A2115" t="s">
        <v>798</v>
      </c>
      <c r="B2115">
        <v>52200258</v>
      </c>
      <c r="C2115">
        <v>24848292</v>
      </c>
      <c r="D2115" t="s">
        <v>660</v>
      </c>
      <c r="E2115" t="s">
        <v>436</v>
      </c>
      <c r="F2115" t="s">
        <v>431</v>
      </c>
      <c r="G2115" t="s">
        <v>235</v>
      </c>
      <c r="H2115" t="s">
        <v>236</v>
      </c>
      <c r="J2115" t="s">
        <v>672</v>
      </c>
      <c r="M2115">
        <v>45327</v>
      </c>
      <c r="N2115" t="s">
        <v>1024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213631.77570093458</v>
      </c>
      <c r="W2115">
        <v>0</v>
      </c>
      <c r="X2115">
        <v>0</v>
      </c>
      <c r="Y2115">
        <v>213631.77570093458</v>
      </c>
      <c r="Z2115">
        <v>14954.224299065421</v>
      </c>
      <c r="AA2115">
        <v>228586</v>
      </c>
      <c r="AB2115" t="s">
        <v>242</v>
      </c>
      <c r="AC2115">
        <v>3</v>
      </c>
      <c r="AD2115">
        <v>5000</v>
      </c>
      <c r="AE2115">
        <v>0</v>
      </c>
      <c r="AF2115">
        <v>0</v>
      </c>
      <c r="AG2115">
        <v>324.75770164929349</v>
      </c>
      <c r="AH2115" t="s">
        <v>58</v>
      </c>
      <c r="AK2115" t="s">
        <v>798</v>
      </c>
      <c r="AL2115">
        <v>52200012</v>
      </c>
      <c r="AM2115">
        <v>26851674</v>
      </c>
      <c r="AN2115" t="s">
        <v>637</v>
      </c>
      <c r="AO2115" t="s">
        <v>435</v>
      </c>
      <c r="AP2115" t="s">
        <v>431</v>
      </c>
      <c r="AQ2115" t="s">
        <v>230</v>
      </c>
      <c r="AR2115" t="s">
        <v>231</v>
      </c>
      <c r="AT2115" t="s">
        <v>52</v>
      </c>
      <c r="AU2115">
        <v>2500</v>
      </c>
      <c r="AW2115">
        <v>45327</v>
      </c>
      <c r="AX2115" t="s">
        <v>1013</v>
      </c>
      <c r="AY2115">
        <v>3878.6752546237062</v>
      </c>
      <c r="AZ2115">
        <v>0</v>
      </c>
      <c r="BA2115">
        <v>0</v>
      </c>
      <c r="BB2115">
        <v>0</v>
      </c>
      <c r="BC2115">
        <v>0</v>
      </c>
      <c r="BD2115">
        <v>12113.387612501201</v>
      </c>
      <c r="BE2115">
        <v>0</v>
      </c>
      <c r="BF2115">
        <v>0</v>
      </c>
      <c r="BG2115">
        <v>42990.654205607476</v>
      </c>
      <c r="BH2115">
        <v>0</v>
      </c>
      <c r="BI2115">
        <v>58982.717072732383</v>
      </c>
      <c r="BJ2115">
        <v>3857.2829272676081</v>
      </c>
      <c r="BK2115">
        <v>62839.999999999993</v>
      </c>
      <c r="BL2115" t="s">
        <v>242</v>
      </c>
      <c r="BM2115">
        <v>12</v>
      </c>
      <c r="BN2115">
        <v>28800</v>
      </c>
      <c r="BO2115">
        <v>0</v>
      </c>
      <c r="BP2115">
        <v>0</v>
      </c>
      <c r="BQ2115">
        <v>1758.4180073118314</v>
      </c>
      <c r="BR2115" t="s">
        <v>58</v>
      </c>
    </row>
    <row r="2116" spans="1:70" x14ac:dyDescent="0.3">
      <c r="A2116" t="s">
        <v>798</v>
      </c>
      <c r="B2116">
        <v>52201351</v>
      </c>
      <c r="C2116">
        <v>22940816</v>
      </c>
      <c r="D2116" t="s">
        <v>155</v>
      </c>
      <c r="E2116" t="s">
        <v>438</v>
      </c>
      <c r="F2116" t="s">
        <v>431</v>
      </c>
      <c r="G2116" t="s">
        <v>82</v>
      </c>
      <c r="H2116" t="s">
        <v>83</v>
      </c>
      <c r="J2116" t="s">
        <v>52</v>
      </c>
      <c r="K2116" s="15">
        <v>800</v>
      </c>
      <c r="M2116">
        <v>45327</v>
      </c>
      <c r="N2116" t="s">
        <v>1013</v>
      </c>
      <c r="O2116">
        <v>0</v>
      </c>
      <c r="P2116">
        <v>0</v>
      </c>
      <c r="Q2116">
        <v>0</v>
      </c>
      <c r="R2116">
        <v>774.97918247591247</v>
      </c>
      <c r="S2116">
        <v>18031.025854436033</v>
      </c>
      <c r="T2116">
        <v>0</v>
      </c>
      <c r="U2116">
        <v>0</v>
      </c>
      <c r="V2116">
        <v>73829.741339665459</v>
      </c>
      <c r="W2116">
        <v>0</v>
      </c>
      <c r="X2116">
        <v>0</v>
      </c>
      <c r="Y2116">
        <v>92635.746376577401</v>
      </c>
      <c r="Z2116">
        <v>6430.2537035871055</v>
      </c>
      <c r="AA2116">
        <v>99066.000080164507</v>
      </c>
      <c r="AB2116" t="s">
        <v>242</v>
      </c>
      <c r="AC2116">
        <v>18</v>
      </c>
      <c r="AD2116">
        <v>13800</v>
      </c>
      <c r="AE2116">
        <v>0</v>
      </c>
      <c r="AF2116">
        <v>0</v>
      </c>
      <c r="AG2116">
        <v>895.213591376929</v>
      </c>
      <c r="AH2116" t="s">
        <v>58</v>
      </c>
      <c r="AK2116" t="s">
        <v>798</v>
      </c>
      <c r="AL2116">
        <v>52201351</v>
      </c>
      <c r="AM2116">
        <v>22940816</v>
      </c>
      <c r="AN2116" t="s">
        <v>155</v>
      </c>
      <c r="AO2116" t="s">
        <v>438</v>
      </c>
      <c r="AP2116" t="s">
        <v>431</v>
      </c>
      <c r="AQ2116" t="s">
        <v>82</v>
      </c>
      <c r="AR2116" t="s">
        <v>83</v>
      </c>
      <c r="AT2116" t="s">
        <v>52</v>
      </c>
      <c r="AU2116">
        <v>800</v>
      </c>
      <c r="AW2116">
        <v>45327</v>
      </c>
      <c r="AX2116" t="s">
        <v>1013</v>
      </c>
      <c r="AY2116">
        <v>0</v>
      </c>
      <c r="AZ2116">
        <v>0</v>
      </c>
      <c r="BA2116">
        <v>0</v>
      </c>
      <c r="BB2116">
        <v>774.97918247591247</v>
      </c>
      <c r="BC2116">
        <v>18031.025854436033</v>
      </c>
      <c r="BD2116">
        <v>0</v>
      </c>
      <c r="BE2116">
        <v>0</v>
      </c>
      <c r="BF2116">
        <v>73829.741339665459</v>
      </c>
      <c r="BG2116">
        <v>0</v>
      </c>
      <c r="BH2116">
        <v>0</v>
      </c>
      <c r="BI2116">
        <v>92635.746376577401</v>
      </c>
      <c r="BJ2116">
        <v>6430.2537035871055</v>
      </c>
      <c r="BK2116">
        <v>99066.000080164507</v>
      </c>
      <c r="BL2116" t="s">
        <v>242</v>
      </c>
      <c r="BM2116">
        <v>18</v>
      </c>
      <c r="BN2116">
        <v>13800</v>
      </c>
      <c r="BO2116">
        <v>0</v>
      </c>
      <c r="BP2116">
        <v>0</v>
      </c>
      <c r="BQ2116">
        <v>895.213591376929</v>
      </c>
      <c r="BR2116" t="s">
        <v>58</v>
      </c>
    </row>
    <row r="2117" spans="1:70" x14ac:dyDescent="0.3">
      <c r="A2117" t="s">
        <v>798</v>
      </c>
      <c r="B2117">
        <v>62200095</v>
      </c>
      <c r="C2117">
        <v>16244612</v>
      </c>
      <c r="D2117" t="s">
        <v>639</v>
      </c>
      <c r="E2117" t="s">
        <v>435</v>
      </c>
      <c r="F2117" t="s">
        <v>432</v>
      </c>
      <c r="G2117" t="s">
        <v>235</v>
      </c>
      <c r="H2117" t="s">
        <v>235</v>
      </c>
      <c r="J2117" t="s">
        <v>52</v>
      </c>
      <c r="K2117" s="15">
        <v>2000</v>
      </c>
      <c r="M2117">
        <v>45327</v>
      </c>
      <c r="N2117" t="s">
        <v>1013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34352.790000000008</v>
      </c>
      <c r="W2117">
        <v>0</v>
      </c>
      <c r="X2117">
        <v>0</v>
      </c>
      <c r="Y2117">
        <v>34352.790000000008</v>
      </c>
      <c r="Z2117">
        <v>0</v>
      </c>
      <c r="AA2117">
        <v>34352.790000000008</v>
      </c>
      <c r="AB2117" t="s">
        <v>242</v>
      </c>
      <c r="AC2117">
        <v>11</v>
      </c>
      <c r="AD2117">
        <v>22000</v>
      </c>
      <c r="AE2117">
        <v>0</v>
      </c>
      <c r="AF2117">
        <v>0</v>
      </c>
      <c r="AG2117">
        <v>0</v>
      </c>
      <c r="AH2117" t="s">
        <v>58</v>
      </c>
      <c r="AK2117" t="s">
        <v>798</v>
      </c>
      <c r="AL2117">
        <v>62200095</v>
      </c>
      <c r="AM2117">
        <v>16244612</v>
      </c>
      <c r="AN2117" t="s">
        <v>639</v>
      </c>
      <c r="AO2117" t="s">
        <v>435</v>
      </c>
      <c r="AP2117" t="s">
        <v>432</v>
      </c>
      <c r="AQ2117" t="s">
        <v>235</v>
      </c>
      <c r="AR2117" t="s">
        <v>235</v>
      </c>
      <c r="AT2117" t="s">
        <v>52</v>
      </c>
      <c r="AU2117">
        <v>2000</v>
      </c>
      <c r="AW2117">
        <v>45327</v>
      </c>
      <c r="AX2117" t="s">
        <v>1013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34352.790000000008</v>
      </c>
      <c r="BG2117">
        <v>0</v>
      </c>
      <c r="BH2117">
        <v>0</v>
      </c>
      <c r="BI2117">
        <v>34352.790000000008</v>
      </c>
      <c r="BJ2117">
        <v>0</v>
      </c>
      <c r="BK2117">
        <v>34352.790000000008</v>
      </c>
      <c r="BL2117" t="s">
        <v>242</v>
      </c>
      <c r="BM2117">
        <v>11</v>
      </c>
      <c r="BN2117">
        <v>22000</v>
      </c>
      <c r="BO2117">
        <v>0</v>
      </c>
      <c r="BP2117">
        <v>0</v>
      </c>
      <c r="BQ2117">
        <v>0</v>
      </c>
      <c r="BR2117" t="s">
        <v>58</v>
      </c>
    </row>
    <row r="2118" spans="1:70" x14ac:dyDescent="0.3">
      <c r="A2118" t="s">
        <v>798</v>
      </c>
      <c r="B2118">
        <v>4302300004</v>
      </c>
      <c r="C2118">
        <v>901019009305</v>
      </c>
      <c r="D2118" t="s">
        <v>221</v>
      </c>
      <c r="E2118" t="s">
        <v>447</v>
      </c>
      <c r="F2118" t="s">
        <v>433</v>
      </c>
      <c r="G2118" t="s">
        <v>82</v>
      </c>
      <c r="H2118" t="s">
        <v>83</v>
      </c>
      <c r="J2118" t="s">
        <v>52</v>
      </c>
      <c r="K2118" s="15">
        <v>30000</v>
      </c>
      <c r="M2118">
        <v>45327</v>
      </c>
      <c r="N2118" t="s">
        <v>1013</v>
      </c>
      <c r="O2118">
        <v>0</v>
      </c>
      <c r="P2118">
        <v>0</v>
      </c>
      <c r="Q2118">
        <v>163874.64843549323</v>
      </c>
      <c r="R2118">
        <v>7341.0099999999993</v>
      </c>
      <c r="S2118">
        <v>302213.31921916519</v>
      </c>
      <c r="T2118">
        <v>0</v>
      </c>
      <c r="U2118">
        <v>0</v>
      </c>
      <c r="V2118">
        <v>2333526.79</v>
      </c>
      <c r="W2118">
        <v>0</v>
      </c>
      <c r="X2118">
        <v>0</v>
      </c>
      <c r="Y2118">
        <v>2806955.7676546583</v>
      </c>
      <c r="Z2118">
        <v>184501.80764534159</v>
      </c>
      <c r="AA2118">
        <v>2991457.5752999997</v>
      </c>
      <c r="AB2118" t="s">
        <v>242</v>
      </c>
      <c r="AC2118">
        <v>2</v>
      </c>
      <c r="AD2118">
        <v>55000</v>
      </c>
      <c r="AE2118">
        <v>0</v>
      </c>
      <c r="AF2118">
        <v>0</v>
      </c>
      <c r="AG2118">
        <v>3378.4576546584358</v>
      </c>
      <c r="AH2118" t="s">
        <v>58</v>
      </c>
      <c r="AK2118" t="s">
        <v>798</v>
      </c>
      <c r="AL2118">
        <v>52200258</v>
      </c>
      <c r="AM2118">
        <v>24848292</v>
      </c>
      <c r="AN2118" t="s">
        <v>660</v>
      </c>
      <c r="AO2118" t="s">
        <v>436</v>
      </c>
      <c r="AP2118" t="s">
        <v>431</v>
      </c>
      <c r="AQ2118" t="s">
        <v>235</v>
      </c>
      <c r="AR2118" t="s">
        <v>236</v>
      </c>
      <c r="AT2118" t="s">
        <v>672</v>
      </c>
      <c r="AW2118">
        <v>45327</v>
      </c>
      <c r="AX2118" t="s">
        <v>1024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213631.77570093458</v>
      </c>
      <c r="BG2118">
        <v>0</v>
      </c>
      <c r="BH2118">
        <v>0</v>
      </c>
      <c r="BI2118">
        <v>213631.77570093458</v>
      </c>
      <c r="BJ2118">
        <v>14954.224299065421</v>
      </c>
      <c r="BK2118">
        <v>228586</v>
      </c>
      <c r="BL2118" t="s">
        <v>242</v>
      </c>
      <c r="BM2118">
        <v>3</v>
      </c>
      <c r="BN2118">
        <v>5000</v>
      </c>
      <c r="BO2118">
        <v>0</v>
      </c>
      <c r="BP2118">
        <v>0</v>
      </c>
      <c r="BQ2118">
        <v>324.75770164929349</v>
      </c>
      <c r="BR2118" t="s">
        <v>58</v>
      </c>
    </row>
    <row r="2119" spans="1:70" x14ac:dyDescent="0.3">
      <c r="A2119" t="s">
        <v>798</v>
      </c>
      <c r="B2119">
        <v>52200619</v>
      </c>
      <c r="C2119">
        <v>6102060118</v>
      </c>
      <c r="D2119" t="s">
        <v>138</v>
      </c>
      <c r="E2119" t="s">
        <v>437</v>
      </c>
      <c r="F2119" t="s">
        <v>431</v>
      </c>
      <c r="G2119" t="s">
        <v>82</v>
      </c>
      <c r="H2119" t="s">
        <v>83</v>
      </c>
      <c r="J2119" t="s">
        <v>52</v>
      </c>
      <c r="K2119" s="15">
        <v>800</v>
      </c>
      <c r="M2119">
        <v>45328</v>
      </c>
      <c r="N2119" t="s">
        <v>1013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4800.1682242990682</v>
      </c>
      <c r="W2119">
        <v>0</v>
      </c>
      <c r="X2119">
        <v>0</v>
      </c>
      <c r="Y2119">
        <v>4800.1682242990682</v>
      </c>
      <c r="Z2119">
        <v>336.01177570093483</v>
      </c>
      <c r="AA2119">
        <v>5136.180000000003</v>
      </c>
      <c r="AB2119" t="s">
        <v>242</v>
      </c>
      <c r="AC2119">
        <v>19</v>
      </c>
      <c r="AD2119">
        <v>12800</v>
      </c>
      <c r="AE2119">
        <v>0</v>
      </c>
      <c r="AF2119">
        <v>0</v>
      </c>
      <c r="AG2119">
        <v>837.38317757009349</v>
      </c>
      <c r="AH2119" t="s">
        <v>58</v>
      </c>
      <c r="AK2119" t="s">
        <v>798</v>
      </c>
      <c r="AL2119">
        <v>82200037</v>
      </c>
      <c r="AM2119">
        <v>901015008112</v>
      </c>
      <c r="AN2119" t="s">
        <v>979</v>
      </c>
      <c r="AO2119" t="s">
        <v>440</v>
      </c>
      <c r="AP2119" t="s">
        <v>433</v>
      </c>
      <c r="AQ2119" t="s">
        <v>235</v>
      </c>
      <c r="AR2119" t="s">
        <v>236</v>
      </c>
      <c r="AT2119" t="s">
        <v>52</v>
      </c>
      <c r="AU2119">
        <v>40000</v>
      </c>
      <c r="AW2119">
        <v>45328</v>
      </c>
      <c r="AX2119" t="s">
        <v>1013</v>
      </c>
      <c r="AY2119">
        <v>0</v>
      </c>
      <c r="AZ2119">
        <v>6394.0004749840737</v>
      </c>
      <c r="BA2119">
        <v>16080.9</v>
      </c>
      <c r="BB2119">
        <v>0</v>
      </c>
      <c r="BC2119">
        <v>112285.19647363288</v>
      </c>
      <c r="BD2119">
        <v>0</v>
      </c>
      <c r="BE2119">
        <v>572299.99955608975</v>
      </c>
      <c r="BF2119">
        <v>354602.17999999988</v>
      </c>
      <c r="BG2119">
        <v>0</v>
      </c>
      <c r="BH2119">
        <v>0</v>
      </c>
      <c r="BI2119">
        <v>1061662.2765047066</v>
      </c>
      <c r="BJ2119">
        <v>64883.152568926285</v>
      </c>
      <c r="BK2119">
        <v>1126545.4290736329</v>
      </c>
      <c r="BL2119" t="s">
        <v>242</v>
      </c>
      <c r="BM2119">
        <v>2</v>
      </c>
      <c r="BN2119">
        <v>50000</v>
      </c>
      <c r="BO2119">
        <v>0</v>
      </c>
      <c r="BP2119">
        <v>0</v>
      </c>
      <c r="BQ2119">
        <v>2854.8878815410135</v>
      </c>
      <c r="BR2119" t="s">
        <v>58</v>
      </c>
    </row>
    <row r="2120" spans="1:70" x14ac:dyDescent="0.3">
      <c r="A2120" t="s">
        <v>798</v>
      </c>
      <c r="B2120">
        <v>82200037</v>
      </c>
      <c r="C2120">
        <v>901015008112</v>
      </c>
      <c r="D2120" t="s">
        <v>979</v>
      </c>
      <c r="E2120" t="s">
        <v>440</v>
      </c>
      <c r="F2120" t="s">
        <v>433</v>
      </c>
      <c r="G2120" t="s">
        <v>235</v>
      </c>
      <c r="H2120" t="s">
        <v>236</v>
      </c>
      <c r="J2120" t="s">
        <v>52</v>
      </c>
      <c r="K2120" s="15">
        <v>40000</v>
      </c>
      <c r="M2120">
        <v>45328</v>
      </c>
      <c r="N2120" t="s">
        <v>1013</v>
      </c>
      <c r="O2120">
        <v>0</v>
      </c>
      <c r="P2120">
        <v>6394.0004749840737</v>
      </c>
      <c r="Q2120">
        <v>16080.9</v>
      </c>
      <c r="R2120">
        <v>0</v>
      </c>
      <c r="S2120">
        <v>112285.19647363288</v>
      </c>
      <c r="T2120">
        <v>0</v>
      </c>
      <c r="U2120">
        <v>572299.99955608975</v>
      </c>
      <c r="V2120">
        <v>354602.17999999988</v>
      </c>
      <c r="W2120">
        <v>0</v>
      </c>
      <c r="X2120">
        <v>0</v>
      </c>
      <c r="Y2120">
        <v>1061662.2765047066</v>
      </c>
      <c r="Z2120">
        <v>64883.152568926285</v>
      </c>
      <c r="AA2120">
        <v>1126545.4290736329</v>
      </c>
      <c r="AB2120" t="s">
        <v>242</v>
      </c>
      <c r="AC2120">
        <v>2</v>
      </c>
      <c r="AD2120">
        <v>50000</v>
      </c>
      <c r="AE2120">
        <v>0</v>
      </c>
      <c r="AF2120">
        <v>0</v>
      </c>
      <c r="AG2120">
        <v>2854.8878815410135</v>
      </c>
      <c r="AH2120" t="s">
        <v>58</v>
      </c>
      <c r="AK2120" t="s">
        <v>798</v>
      </c>
      <c r="AL2120">
        <v>52200619</v>
      </c>
      <c r="AM2120">
        <v>6102060118</v>
      </c>
      <c r="AN2120" t="s">
        <v>138</v>
      </c>
      <c r="AO2120" t="s">
        <v>437</v>
      </c>
      <c r="AP2120" t="s">
        <v>431</v>
      </c>
      <c r="AQ2120" t="s">
        <v>82</v>
      </c>
      <c r="AR2120" t="s">
        <v>83</v>
      </c>
      <c r="AT2120" t="s">
        <v>52</v>
      </c>
      <c r="AU2120">
        <v>800</v>
      </c>
      <c r="AW2120">
        <v>45328</v>
      </c>
      <c r="AX2120" t="s">
        <v>1013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4800.1682242990682</v>
      </c>
      <c r="BG2120">
        <v>0</v>
      </c>
      <c r="BH2120">
        <v>0</v>
      </c>
      <c r="BI2120">
        <v>4800.1682242990682</v>
      </c>
      <c r="BJ2120">
        <v>336.01177570093483</v>
      </c>
      <c r="BK2120">
        <v>5136.180000000003</v>
      </c>
      <c r="BL2120" t="s">
        <v>242</v>
      </c>
      <c r="BM2120">
        <v>19</v>
      </c>
      <c r="BN2120">
        <v>12800</v>
      </c>
      <c r="BO2120">
        <v>0</v>
      </c>
      <c r="BP2120">
        <v>0</v>
      </c>
      <c r="BQ2120">
        <v>837.38317757009349</v>
      </c>
      <c r="BR2120" t="s">
        <v>58</v>
      </c>
    </row>
    <row r="2121" spans="1:70" x14ac:dyDescent="0.3">
      <c r="A2121" t="s">
        <v>798</v>
      </c>
      <c r="B2121">
        <v>4302300003</v>
      </c>
      <c r="C2121">
        <v>901019011722</v>
      </c>
      <c r="D2121" t="s">
        <v>589</v>
      </c>
      <c r="E2121" t="s">
        <v>447</v>
      </c>
      <c r="F2121" t="s">
        <v>433</v>
      </c>
      <c r="G2121" t="s">
        <v>327</v>
      </c>
      <c r="H2121" t="s">
        <v>83</v>
      </c>
      <c r="J2121" t="s">
        <v>450</v>
      </c>
      <c r="K2121" s="15">
        <v>256800</v>
      </c>
      <c r="M2121">
        <v>45328</v>
      </c>
      <c r="N2121" t="s">
        <v>1031</v>
      </c>
      <c r="O2121">
        <v>0</v>
      </c>
      <c r="P2121">
        <v>0</v>
      </c>
      <c r="Q2121">
        <v>26140.55</v>
      </c>
      <c r="R2121">
        <v>7616.48</v>
      </c>
      <c r="S2121">
        <v>38111.89416150238</v>
      </c>
      <c r="T2121">
        <v>0</v>
      </c>
      <c r="U2121">
        <v>0</v>
      </c>
      <c r="V2121">
        <v>266803.42583849758</v>
      </c>
      <c r="W2121">
        <v>0</v>
      </c>
      <c r="X2121">
        <v>0</v>
      </c>
      <c r="Y2121">
        <v>338672.35</v>
      </c>
      <c r="Z2121">
        <v>21344.072399999997</v>
      </c>
      <c r="AA2121">
        <v>360016.42239999998</v>
      </c>
      <c r="AB2121" t="s">
        <v>242</v>
      </c>
      <c r="AC2121">
        <v>0</v>
      </c>
      <c r="AD2121">
        <v>0</v>
      </c>
      <c r="AE2121">
        <v>0</v>
      </c>
      <c r="AF2121">
        <v>256800</v>
      </c>
      <c r="AG2121">
        <v>16800</v>
      </c>
      <c r="AH2121" t="s">
        <v>72</v>
      </c>
      <c r="AK2121" t="s">
        <v>798</v>
      </c>
      <c r="AL2121">
        <v>4302300003</v>
      </c>
      <c r="AM2121">
        <v>901019011722</v>
      </c>
      <c r="AN2121" t="s">
        <v>589</v>
      </c>
      <c r="AO2121" t="s">
        <v>447</v>
      </c>
      <c r="AP2121" t="s">
        <v>433</v>
      </c>
      <c r="AQ2121" t="s">
        <v>327</v>
      </c>
      <c r="AR2121" t="s">
        <v>83</v>
      </c>
      <c r="AT2121" t="s">
        <v>450</v>
      </c>
      <c r="AU2121">
        <v>256800</v>
      </c>
      <c r="AW2121">
        <v>45328</v>
      </c>
      <c r="AX2121" t="s">
        <v>1031</v>
      </c>
      <c r="AY2121">
        <v>0</v>
      </c>
      <c r="AZ2121">
        <v>0</v>
      </c>
      <c r="BA2121">
        <v>26140.55</v>
      </c>
      <c r="BB2121">
        <v>7616.48</v>
      </c>
      <c r="BC2121">
        <v>38111.89416150238</v>
      </c>
      <c r="BD2121">
        <v>0</v>
      </c>
      <c r="BE2121">
        <v>0</v>
      </c>
      <c r="BF2121">
        <v>266803.42583849758</v>
      </c>
      <c r="BG2121">
        <v>0</v>
      </c>
      <c r="BH2121">
        <v>0</v>
      </c>
      <c r="BI2121">
        <v>338672.35</v>
      </c>
      <c r="BJ2121">
        <v>21344.072399999997</v>
      </c>
      <c r="BK2121">
        <v>360016.42239999998</v>
      </c>
      <c r="BL2121" t="s">
        <v>242</v>
      </c>
      <c r="BM2121">
        <v>0</v>
      </c>
      <c r="BN2121">
        <v>0</v>
      </c>
      <c r="BO2121">
        <v>0</v>
      </c>
      <c r="BP2121">
        <v>256800</v>
      </c>
      <c r="BQ2121">
        <v>16800</v>
      </c>
      <c r="BR2121" t="s">
        <v>72</v>
      </c>
    </row>
    <row r="2122" spans="1:70" x14ac:dyDescent="0.3">
      <c r="A2122" t="s">
        <v>798</v>
      </c>
      <c r="B2122">
        <v>52200247</v>
      </c>
      <c r="C2122">
        <v>23477201</v>
      </c>
      <c r="D2122" t="s">
        <v>135</v>
      </c>
      <c r="E2122" t="s">
        <v>436</v>
      </c>
      <c r="F2122" t="s">
        <v>431</v>
      </c>
      <c r="G2122" t="s">
        <v>82</v>
      </c>
      <c r="H2122" t="s">
        <v>83</v>
      </c>
      <c r="J2122" t="s">
        <v>52</v>
      </c>
      <c r="K2122" s="15">
        <v>1000</v>
      </c>
      <c r="M2122">
        <v>45329</v>
      </c>
      <c r="N2122" t="s">
        <v>1013</v>
      </c>
      <c r="O2122">
        <v>0</v>
      </c>
      <c r="P2122">
        <v>0</v>
      </c>
      <c r="Q2122">
        <v>0</v>
      </c>
      <c r="R2122">
        <v>563.27407287615779</v>
      </c>
      <c r="S2122">
        <v>2891.6442030068251</v>
      </c>
      <c r="T2122">
        <v>0</v>
      </c>
      <c r="U2122">
        <v>0</v>
      </c>
      <c r="V2122">
        <v>46605.297542143431</v>
      </c>
      <c r="W2122">
        <v>0</v>
      </c>
      <c r="X2122">
        <v>0</v>
      </c>
      <c r="Y2122">
        <v>50060.215818026416</v>
      </c>
      <c r="Z2122">
        <v>3464.7859221605186</v>
      </c>
      <c r="AA2122">
        <v>53525.001740186934</v>
      </c>
      <c r="AB2122" t="s">
        <v>242</v>
      </c>
      <c r="AC2122">
        <v>9</v>
      </c>
      <c r="AD2122">
        <v>20000</v>
      </c>
      <c r="AE2122">
        <v>0</v>
      </c>
      <c r="AF2122">
        <v>0</v>
      </c>
      <c r="AG2122">
        <v>1293.4478365433008</v>
      </c>
      <c r="AH2122" t="s">
        <v>58</v>
      </c>
      <c r="AK2122" t="s">
        <v>798</v>
      </c>
      <c r="AL2122">
        <v>4142300300</v>
      </c>
      <c r="AM2122">
        <v>10131172</v>
      </c>
      <c r="AN2122" t="s">
        <v>196</v>
      </c>
      <c r="AO2122" t="s">
        <v>445</v>
      </c>
      <c r="AP2122" t="s">
        <v>430</v>
      </c>
      <c r="AQ2122" t="s">
        <v>230</v>
      </c>
      <c r="AR2122" t="s">
        <v>234</v>
      </c>
      <c r="AT2122" t="s">
        <v>52</v>
      </c>
      <c r="AU2122">
        <v>5000</v>
      </c>
      <c r="AW2122">
        <v>45329</v>
      </c>
      <c r="AX2122" t="s">
        <v>1013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648260.88785046746</v>
      </c>
      <c r="BI2122">
        <v>648260.88785046746</v>
      </c>
      <c r="BJ2122">
        <v>45378.262149532726</v>
      </c>
      <c r="BK2122">
        <v>693639.15000000014</v>
      </c>
      <c r="BL2122" t="s">
        <v>242</v>
      </c>
      <c r="BM2122">
        <v>9</v>
      </c>
      <c r="BN2122">
        <v>115000</v>
      </c>
      <c r="BO2122">
        <v>0</v>
      </c>
      <c r="BP2122">
        <v>0</v>
      </c>
      <c r="BQ2122">
        <v>7523.3644859813076</v>
      </c>
      <c r="BR2122" t="s">
        <v>58</v>
      </c>
    </row>
    <row r="2123" spans="1:70" x14ac:dyDescent="0.3">
      <c r="A2123" t="s">
        <v>798</v>
      </c>
      <c r="B2123">
        <v>52201226</v>
      </c>
      <c r="C2123">
        <v>25511663</v>
      </c>
      <c r="D2123" t="s">
        <v>667</v>
      </c>
      <c r="E2123" t="s">
        <v>438</v>
      </c>
      <c r="F2123" t="s">
        <v>431</v>
      </c>
      <c r="G2123" t="s">
        <v>235</v>
      </c>
      <c r="H2123" t="s">
        <v>236</v>
      </c>
      <c r="J2123" t="s">
        <v>672</v>
      </c>
      <c r="M2123">
        <v>45329</v>
      </c>
      <c r="N2123" t="s">
        <v>1024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215149.53271028039</v>
      </c>
      <c r="W2123">
        <v>0</v>
      </c>
      <c r="X2123">
        <v>0</v>
      </c>
      <c r="Y2123">
        <v>215149.53271028039</v>
      </c>
      <c r="Z2123">
        <v>15060.467289719629</v>
      </c>
      <c r="AA2123">
        <v>230210</v>
      </c>
      <c r="AB2123" t="s">
        <v>242</v>
      </c>
      <c r="AC2123">
        <v>1</v>
      </c>
      <c r="AD2123">
        <v>1000</v>
      </c>
      <c r="AE2123">
        <v>0</v>
      </c>
      <c r="AF2123">
        <v>0</v>
      </c>
      <c r="AG2123">
        <v>64.569201081310439</v>
      </c>
      <c r="AH2123" t="s">
        <v>58</v>
      </c>
      <c r="AK2123" t="s">
        <v>798</v>
      </c>
      <c r="AL2123">
        <v>52200247</v>
      </c>
      <c r="AM2123">
        <v>23477201</v>
      </c>
      <c r="AN2123" t="s">
        <v>135</v>
      </c>
      <c r="AO2123" t="s">
        <v>436</v>
      </c>
      <c r="AP2123" t="s">
        <v>431</v>
      </c>
      <c r="AQ2123" t="s">
        <v>82</v>
      </c>
      <c r="AR2123" t="s">
        <v>83</v>
      </c>
      <c r="AT2123" t="s">
        <v>52</v>
      </c>
      <c r="AU2123">
        <v>1000</v>
      </c>
      <c r="AW2123">
        <v>45329</v>
      </c>
      <c r="AX2123" t="s">
        <v>1013</v>
      </c>
      <c r="AY2123">
        <v>0</v>
      </c>
      <c r="AZ2123">
        <v>0</v>
      </c>
      <c r="BA2123">
        <v>0</v>
      </c>
      <c r="BB2123">
        <v>563.27407287615779</v>
      </c>
      <c r="BC2123">
        <v>2891.6442030068251</v>
      </c>
      <c r="BD2123">
        <v>0</v>
      </c>
      <c r="BE2123">
        <v>0</v>
      </c>
      <c r="BF2123">
        <v>46605.297542143431</v>
      </c>
      <c r="BG2123">
        <v>0</v>
      </c>
      <c r="BH2123">
        <v>0</v>
      </c>
      <c r="BI2123">
        <v>50060.215818026416</v>
      </c>
      <c r="BJ2123">
        <v>3464.7859221605186</v>
      </c>
      <c r="BK2123">
        <v>53525.001740186934</v>
      </c>
      <c r="BL2123" t="s">
        <v>242</v>
      </c>
      <c r="BM2123">
        <v>9</v>
      </c>
      <c r="BN2123">
        <v>20000</v>
      </c>
      <c r="BO2123">
        <v>0</v>
      </c>
      <c r="BP2123">
        <v>0</v>
      </c>
      <c r="BQ2123">
        <v>1293.4478365433008</v>
      </c>
      <c r="BR2123" t="s">
        <v>58</v>
      </c>
    </row>
    <row r="2124" spans="1:70" x14ac:dyDescent="0.3">
      <c r="A2124" t="s">
        <v>798</v>
      </c>
      <c r="B2124">
        <v>52201571</v>
      </c>
      <c r="C2124">
        <v>25111736</v>
      </c>
      <c r="D2124" t="s">
        <v>161</v>
      </c>
      <c r="E2124" t="s">
        <v>438</v>
      </c>
      <c r="F2124" t="s">
        <v>431</v>
      </c>
      <c r="G2124" t="s">
        <v>82</v>
      </c>
      <c r="H2124" t="s">
        <v>83</v>
      </c>
      <c r="J2124" t="s">
        <v>52</v>
      </c>
      <c r="K2124" s="15">
        <v>1000</v>
      </c>
      <c r="M2124">
        <v>45329</v>
      </c>
      <c r="N2124" t="s">
        <v>1013</v>
      </c>
      <c r="O2124">
        <v>0</v>
      </c>
      <c r="P2124">
        <v>0</v>
      </c>
      <c r="Q2124">
        <v>0</v>
      </c>
      <c r="R2124">
        <v>829.89451304162719</v>
      </c>
      <c r="S2124">
        <v>28869.755633500812</v>
      </c>
      <c r="T2124">
        <v>0</v>
      </c>
      <c r="U2124">
        <v>0</v>
      </c>
      <c r="V2124">
        <v>52010.71595270362</v>
      </c>
      <c r="W2124">
        <v>0</v>
      </c>
      <c r="X2124">
        <v>0</v>
      </c>
      <c r="Y2124">
        <v>81710.366099246065</v>
      </c>
      <c r="Z2124">
        <v>5661.6330110343106</v>
      </c>
      <c r="AA2124">
        <v>87371.999110280376</v>
      </c>
      <c r="AB2124" t="s">
        <v>242</v>
      </c>
      <c r="AC2124">
        <v>6</v>
      </c>
      <c r="AD2124">
        <v>6000</v>
      </c>
      <c r="AE2124">
        <v>0</v>
      </c>
      <c r="AF2124">
        <v>0</v>
      </c>
      <c r="AG2124">
        <v>388.52580926440567</v>
      </c>
      <c r="AH2124" t="s">
        <v>58</v>
      </c>
      <c r="AK2124" t="s">
        <v>798</v>
      </c>
      <c r="AL2124">
        <v>52201571</v>
      </c>
      <c r="AM2124">
        <v>25111736</v>
      </c>
      <c r="AN2124" t="s">
        <v>161</v>
      </c>
      <c r="AO2124" t="s">
        <v>438</v>
      </c>
      <c r="AP2124" t="s">
        <v>431</v>
      </c>
      <c r="AQ2124" t="s">
        <v>82</v>
      </c>
      <c r="AR2124" t="s">
        <v>83</v>
      </c>
      <c r="AT2124" t="s">
        <v>52</v>
      </c>
      <c r="AU2124">
        <v>1000</v>
      </c>
      <c r="AW2124">
        <v>45329</v>
      </c>
      <c r="AX2124" t="s">
        <v>1013</v>
      </c>
      <c r="AY2124">
        <v>0</v>
      </c>
      <c r="AZ2124">
        <v>0</v>
      </c>
      <c r="BA2124">
        <v>0</v>
      </c>
      <c r="BB2124">
        <v>829.89451304162719</v>
      </c>
      <c r="BC2124">
        <v>28869.755633500812</v>
      </c>
      <c r="BD2124">
        <v>0</v>
      </c>
      <c r="BE2124">
        <v>0</v>
      </c>
      <c r="BF2124">
        <v>52010.71595270362</v>
      </c>
      <c r="BG2124">
        <v>0</v>
      </c>
      <c r="BH2124">
        <v>0</v>
      </c>
      <c r="BI2124">
        <v>81710.366099246065</v>
      </c>
      <c r="BJ2124">
        <v>5661.6330110343106</v>
      </c>
      <c r="BK2124">
        <v>87371.999110280376</v>
      </c>
      <c r="BL2124" t="s">
        <v>242</v>
      </c>
      <c r="BM2124">
        <v>6</v>
      </c>
      <c r="BN2124">
        <v>6000</v>
      </c>
      <c r="BO2124">
        <v>0</v>
      </c>
      <c r="BP2124">
        <v>0</v>
      </c>
      <c r="BQ2124">
        <v>388.52580926440567</v>
      </c>
      <c r="BR2124" t="s">
        <v>58</v>
      </c>
    </row>
    <row r="2125" spans="1:70" x14ac:dyDescent="0.3">
      <c r="A2125" t="s">
        <v>798</v>
      </c>
      <c r="B2125">
        <v>4142300300</v>
      </c>
      <c r="C2125">
        <v>10131172</v>
      </c>
      <c r="D2125" t="s">
        <v>196</v>
      </c>
      <c r="E2125" t="s">
        <v>445</v>
      </c>
      <c r="F2125" t="s">
        <v>430</v>
      </c>
      <c r="G2125" t="s">
        <v>230</v>
      </c>
      <c r="H2125" t="s">
        <v>234</v>
      </c>
      <c r="J2125" t="s">
        <v>52</v>
      </c>
      <c r="K2125" s="15">
        <v>5000</v>
      </c>
      <c r="M2125">
        <v>45329</v>
      </c>
      <c r="N2125" t="s">
        <v>1013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648260.88785046746</v>
      </c>
      <c r="Y2125">
        <v>648260.88785046746</v>
      </c>
      <c r="Z2125">
        <v>45378.262149532726</v>
      </c>
      <c r="AA2125">
        <v>693639.15000000014</v>
      </c>
      <c r="AB2125" t="s">
        <v>242</v>
      </c>
      <c r="AC2125">
        <v>9</v>
      </c>
      <c r="AD2125">
        <v>115000</v>
      </c>
      <c r="AE2125">
        <v>0</v>
      </c>
      <c r="AF2125">
        <v>0</v>
      </c>
      <c r="AG2125">
        <v>7523.3644859813076</v>
      </c>
      <c r="AH2125" t="s">
        <v>58</v>
      </c>
      <c r="AK2125" t="s">
        <v>798</v>
      </c>
      <c r="AL2125">
        <v>52201226</v>
      </c>
      <c r="AM2125">
        <v>25511663</v>
      </c>
      <c r="AN2125" t="s">
        <v>667</v>
      </c>
      <c r="AO2125" t="s">
        <v>438</v>
      </c>
      <c r="AP2125" t="s">
        <v>431</v>
      </c>
      <c r="AQ2125" t="s">
        <v>235</v>
      </c>
      <c r="AR2125" t="s">
        <v>236</v>
      </c>
      <c r="AT2125" t="s">
        <v>672</v>
      </c>
      <c r="AW2125">
        <v>45329</v>
      </c>
      <c r="AX2125" t="s">
        <v>1024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215149.53271028039</v>
      </c>
      <c r="BG2125">
        <v>0</v>
      </c>
      <c r="BH2125">
        <v>0</v>
      </c>
      <c r="BI2125">
        <v>215149.53271028039</v>
      </c>
      <c r="BJ2125">
        <v>15060.467289719629</v>
      </c>
      <c r="BK2125">
        <v>230210</v>
      </c>
      <c r="BL2125" t="s">
        <v>242</v>
      </c>
      <c r="BM2125">
        <v>1</v>
      </c>
      <c r="BN2125">
        <v>1000</v>
      </c>
      <c r="BO2125">
        <v>0</v>
      </c>
      <c r="BP2125">
        <v>0</v>
      </c>
      <c r="BQ2125">
        <v>64.569201081310439</v>
      </c>
      <c r="BR2125" t="s">
        <v>58</v>
      </c>
    </row>
    <row r="2126" spans="1:70" x14ac:dyDescent="0.3">
      <c r="A2126" t="s">
        <v>798</v>
      </c>
      <c r="B2126">
        <v>52200185</v>
      </c>
      <c r="C2126">
        <v>24837727</v>
      </c>
      <c r="D2126" t="s">
        <v>133</v>
      </c>
      <c r="E2126" t="s">
        <v>436</v>
      </c>
      <c r="F2126" t="s">
        <v>431</v>
      </c>
      <c r="G2126" t="s">
        <v>82</v>
      </c>
      <c r="H2126" t="s">
        <v>83</v>
      </c>
      <c r="J2126" t="s">
        <v>52</v>
      </c>
      <c r="K2126" s="15">
        <v>2000</v>
      </c>
      <c r="M2126">
        <v>45330</v>
      </c>
      <c r="N2126" t="s">
        <v>1013</v>
      </c>
      <c r="O2126">
        <v>0</v>
      </c>
      <c r="P2126">
        <v>0</v>
      </c>
      <c r="Q2126">
        <v>0</v>
      </c>
      <c r="R2126">
        <v>804.37513580580855</v>
      </c>
      <c r="S2126">
        <v>8384.334087420546</v>
      </c>
      <c r="T2126">
        <v>0</v>
      </c>
      <c r="U2126">
        <v>0</v>
      </c>
      <c r="V2126">
        <v>51964.847111538125</v>
      </c>
      <c r="W2126">
        <v>0</v>
      </c>
      <c r="X2126">
        <v>0</v>
      </c>
      <c r="Y2126">
        <v>61153.556334764478</v>
      </c>
      <c r="Z2126">
        <v>4224.4426839271073</v>
      </c>
      <c r="AA2126">
        <v>65377.999018691582</v>
      </c>
      <c r="AB2126" t="s">
        <v>242</v>
      </c>
      <c r="AC2126">
        <v>7</v>
      </c>
      <c r="AD2126">
        <v>14000</v>
      </c>
      <c r="AE2126">
        <v>0</v>
      </c>
      <c r="AF2126">
        <v>0</v>
      </c>
      <c r="AG2126">
        <v>903.74416776299677</v>
      </c>
      <c r="AH2126" t="s">
        <v>58</v>
      </c>
      <c r="AK2126" t="s">
        <v>798</v>
      </c>
      <c r="AL2126">
        <v>4342300003</v>
      </c>
      <c r="AM2126" t="s">
        <v>695</v>
      </c>
      <c r="AN2126" t="s">
        <v>985</v>
      </c>
      <c r="AO2126" t="s">
        <v>448</v>
      </c>
      <c r="AP2126" t="s">
        <v>433</v>
      </c>
      <c r="AQ2126" t="s">
        <v>230</v>
      </c>
      <c r="AR2126" t="s">
        <v>231</v>
      </c>
      <c r="AT2126" t="s">
        <v>52</v>
      </c>
      <c r="AU2126">
        <v>10000</v>
      </c>
      <c r="AW2126">
        <v>45330</v>
      </c>
      <c r="AX2126" t="s">
        <v>1013</v>
      </c>
      <c r="AY2126">
        <v>0</v>
      </c>
      <c r="AZ2126">
        <v>2874.376623344604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226580.66670715457</v>
      </c>
      <c r="BH2126">
        <v>0</v>
      </c>
      <c r="BI2126">
        <v>229455.04333049917</v>
      </c>
      <c r="BJ2126">
        <v>15860.646669500822</v>
      </c>
      <c r="BK2126">
        <v>245315.69</v>
      </c>
      <c r="BL2126" t="s">
        <v>242</v>
      </c>
      <c r="BM2126">
        <v>1</v>
      </c>
      <c r="BN2126">
        <v>10000</v>
      </c>
      <c r="BO2126">
        <v>0</v>
      </c>
      <c r="BP2126">
        <v>0</v>
      </c>
      <c r="BQ2126">
        <v>645.98725573282536</v>
      </c>
      <c r="BR2126" t="s">
        <v>72</v>
      </c>
    </row>
    <row r="2127" spans="1:70" x14ac:dyDescent="0.3">
      <c r="A2127" t="s">
        <v>798</v>
      </c>
      <c r="B2127">
        <v>4342300003</v>
      </c>
      <c r="C2127" t="s">
        <v>695</v>
      </c>
      <c r="D2127" t="s">
        <v>985</v>
      </c>
      <c r="E2127" t="s">
        <v>448</v>
      </c>
      <c r="F2127" t="s">
        <v>433</v>
      </c>
      <c r="G2127" t="s">
        <v>230</v>
      </c>
      <c r="H2127" t="s">
        <v>231</v>
      </c>
      <c r="J2127" t="s">
        <v>52</v>
      </c>
      <c r="K2127" s="15">
        <v>10000</v>
      </c>
      <c r="M2127">
        <v>45330</v>
      </c>
      <c r="N2127" t="s">
        <v>1013</v>
      </c>
      <c r="O2127">
        <v>0</v>
      </c>
      <c r="P2127">
        <v>2874.376623344604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226580.66670715457</v>
      </c>
      <c r="X2127">
        <v>0</v>
      </c>
      <c r="Y2127">
        <v>229455.04333049917</v>
      </c>
      <c r="Z2127">
        <v>15860.646669500822</v>
      </c>
      <c r="AA2127">
        <v>245315.69</v>
      </c>
      <c r="AB2127" t="s">
        <v>242</v>
      </c>
      <c r="AC2127">
        <v>1</v>
      </c>
      <c r="AD2127">
        <v>10000</v>
      </c>
      <c r="AE2127">
        <v>0</v>
      </c>
      <c r="AF2127">
        <v>0</v>
      </c>
      <c r="AG2127">
        <v>645.98725573282536</v>
      </c>
      <c r="AH2127" t="s">
        <v>72</v>
      </c>
      <c r="AK2127" t="s">
        <v>798</v>
      </c>
      <c r="AL2127">
        <v>52200185</v>
      </c>
      <c r="AM2127">
        <v>24837727</v>
      </c>
      <c r="AN2127" t="s">
        <v>133</v>
      </c>
      <c r="AO2127" t="s">
        <v>436</v>
      </c>
      <c r="AP2127" t="s">
        <v>431</v>
      </c>
      <c r="AQ2127" t="s">
        <v>82</v>
      </c>
      <c r="AR2127" t="s">
        <v>83</v>
      </c>
      <c r="AT2127" t="s">
        <v>52</v>
      </c>
      <c r="AU2127">
        <v>2000</v>
      </c>
      <c r="AW2127">
        <v>45330</v>
      </c>
      <c r="AX2127" t="s">
        <v>1013</v>
      </c>
      <c r="AY2127">
        <v>0</v>
      </c>
      <c r="AZ2127">
        <v>0</v>
      </c>
      <c r="BA2127">
        <v>0</v>
      </c>
      <c r="BB2127">
        <v>804.37513580580855</v>
      </c>
      <c r="BC2127">
        <v>8384.334087420546</v>
      </c>
      <c r="BD2127">
        <v>0</v>
      </c>
      <c r="BE2127">
        <v>0</v>
      </c>
      <c r="BF2127">
        <v>51964.847111538125</v>
      </c>
      <c r="BG2127">
        <v>0</v>
      </c>
      <c r="BH2127">
        <v>0</v>
      </c>
      <c r="BI2127">
        <v>61153.556334764478</v>
      </c>
      <c r="BJ2127">
        <v>4224.4426839271073</v>
      </c>
      <c r="BK2127">
        <v>65377.999018691582</v>
      </c>
      <c r="BL2127" t="s">
        <v>242</v>
      </c>
      <c r="BM2127">
        <v>7</v>
      </c>
      <c r="BN2127">
        <v>14000</v>
      </c>
      <c r="BO2127">
        <v>0</v>
      </c>
      <c r="BP2127">
        <v>0</v>
      </c>
      <c r="BQ2127">
        <v>903.74416776299677</v>
      </c>
      <c r="BR2127" t="s">
        <v>58</v>
      </c>
    </row>
    <row r="2128" spans="1:70" x14ac:dyDescent="0.3">
      <c r="A2128" t="s">
        <v>798</v>
      </c>
      <c r="B2128">
        <v>52201809</v>
      </c>
      <c r="C2128">
        <v>28380987</v>
      </c>
      <c r="D2128" t="s">
        <v>164</v>
      </c>
      <c r="E2128" t="s">
        <v>438</v>
      </c>
      <c r="F2128" t="s">
        <v>431</v>
      </c>
      <c r="G2128" t="s">
        <v>82</v>
      </c>
      <c r="H2128" t="s">
        <v>83</v>
      </c>
      <c r="J2128" t="s">
        <v>52</v>
      </c>
      <c r="K2128" s="15">
        <v>500</v>
      </c>
      <c r="M2128">
        <v>45331</v>
      </c>
      <c r="N2128" t="s">
        <v>1013</v>
      </c>
      <c r="O2128">
        <v>0</v>
      </c>
      <c r="P2128">
        <v>0</v>
      </c>
      <c r="Q2128">
        <v>0</v>
      </c>
      <c r="R2128">
        <v>931.52121041207272</v>
      </c>
      <c r="S2128">
        <v>28128.173725979577</v>
      </c>
      <c r="T2128">
        <v>0</v>
      </c>
      <c r="U2128">
        <v>0</v>
      </c>
      <c r="V2128">
        <v>51867.600635850336</v>
      </c>
      <c r="W2128">
        <v>0</v>
      </c>
      <c r="X2128">
        <v>0</v>
      </c>
      <c r="Y2128">
        <v>80927.295572241987</v>
      </c>
      <c r="Z2128">
        <v>5599.7042053280948</v>
      </c>
      <c r="AA2128">
        <v>86526.999777570076</v>
      </c>
      <c r="AB2128" t="s">
        <v>242</v>
      </c>
      <c r="AC2128">
        <v>13</v>
      </c>
      <c r="AD2128">
        <v>9300</v>
      </c>
      <c r="AE2128">
        <v>0</v>
      </c>
      <c r="AF2128">
        <v>0</v>
      </c>
      <c r="AG2128">
        <v>601.37989226994875</v>
      </c>
      <c r="AH2128" t="s">
        <v>58</v>
      </c>
      <c r="AK2128" t="s">
        <v>798</v>
      </c>
      <c r="AL2128">
        <v>4132301575</v>
      </c>
      <c r="AM2128" t="s">
        <v>681</v>
      </c>
      <c r="AN2128" t="s">
        <v>943</v>
      </c>
      <c r="AO2128" t="s">
        <v>442</v>
      </c>
      <c r="AP2128" t="s">
        <v>430</v>
      </c>
      <c r="AQ2128" t="s">
        <v>230</v>
      </c>
      <c r="AR2128" t="s">
        <v>231</v>
      </c>
      <c r="AT2128" t="s">
        <v>52</v>
      </c>
      <c r="AU2128">
        <v>1000</v>
      </c>
      <c r="AW2128">
        <v>45331</v>
      </c>
      <c r="AX2128" t="s">
        <v>1013</v>
      </c>
      <c r="AY2128">
        <v>0</v>
      </c>
      <c r="AZ2128">
        <v>14980.073598688145</v>
      </c>
      <c r="BA2128">
        <v>0</v>
      </c>
      <c r="BB2128">
        <v>0</v>
      </c>
      <c r="BC2128">
        <v>0</v>
      </c>
      <c r="BD2128">
        <v>6604.6041133755643</v>
      </c>
      <c r="BE2128">
        <v>33644.859813084113</v>
      </c>
      <c r="BF2128">
        <v>0</v>
      </c>
      <c r="BG2128">
        <v>392523.36448598129</v>
      </c>
      <c r="BH2128">
        <v>0</v>
      </c>
      <c r="BI2128">
        <v>447752.90201112913</v>
      </c>
      <c r="BJ2128">
        <v>30294.097988870868</v>
      </c>
      <c r="BK2128">
        <v>478047</v>
      </c>
      <c r="BL2128" t="s">
        <v>242</v>
      </c>
      <c r="BM2128">
        <v>2</v>
      </c>
      <c r="BN2128">
        <v>2000</v>
      </c>
      <c r="BO2128">
        <v>0</v>
      </c>
      <c r="BP2128">
        <v>0</v>
      </c>
      <c r="BQ2128">
        <v>126.46275879268251</v>
      </c>
      <c r="BR2128" t="s">
        <v>58</v>
      </c>
    </row>
    <row r="2129" spans="1:70" x14ac:dyDescent="0.3">
      <c r="A2129" t="s">
        <v>798</v>
      </c>
      <c r="B2129">
        <v>4132301575</v>
      </c>
      <c r="C2129" t="s">
        <v>681</v>
      </c>
      <c r="D2129" t="s">
        <v>943</v>
      </c>
      <c r="E2129" t="s">
        <v>442</v>
      </c>
      <c r="F2129" t="s">
        <v>430</v>
      </c>
      <c r="G2129" t="s">
        <v>230</v>
      </c>
      <c r="H2129" t="s">
        <v>231</v>
      </c>
      <c r="J2129" t="s">
        <v>52</v>
      </c>
      <c r="K2129" s="15">
        <v>1000</v>
      </c>
      <c r="M2129">
        <v>45331</v>
      </c>
      <c r="N2129" t="s">
        <v>1013</v>
      </c>
      <c r="O2129">
        <v>0</v>
      </c>
      <c r="P2129">
        <v>14980.073598688145</v>
      </c>
      <c r="Q2129">
        <v>0</v>
      </c>
      <c r="R2129">
        <v>0</v>
      </c>
      <c r="S2129">
        <v>0</v>
      </c>
      <c r="T2129">
        <v>6604.6041133755643</v>
      </c>
      <c r="U2129">
        <v>33644.859813084113</v>
      </c>
      <c r="V2129">
        <v>0</v>
      </c>
      <c r="W2129">
        <v>392523.36448598129</v>
      </c>
      <c r="X2129">
        <v>0</v>
      </c>
      <c r="Y2129">
        <v>447752.90201112913</v>
      </c>
      <c r="Z2129">
        <v>30294.097988870868</v>
      </c>
      <c r="AA2129">
        <v>478047</v>
      </c>
      <c r="AB2129" t="s">
        <v>242</v>
      </c>
      <c r="AC2129">
        <v>2</v>
      </c>
      <c r="AD2129">
        <v>2000</v>
      </c>
      <c r="AE2129">
        <v>0</v>
      </c>
      <c r="AF2129">
        <v>0</v>
      </c>
      <c r="AG2129">
        <v>126.46275879268251</v>
      </c>
      <c r="AH2129" t="s">
        <v>58</v>
      </c>
      <c r="AK2129" t="s">
        <v>798</v>
      </c>
      <c r="AL2129">
        <v>4132301757</v>
      </c>
      <c r="AM2129" t="s">
        <v>687</v>
      </c>
      <c r="AN2129" t="s">
        <v>960</v>
      </c>
      <c r="AO2129" t="s">
        <v>442</v>
      </c>
      <c r="AP2129" t="s">
        <v>430</v>
      </c>
      <c r="AQ2129" t="s">
        <v>230</v>
      </c>
      <c r="AR2129" t="s">
        <v>231</v>
      </c>
      <c r="AT2129" t="s">
        <v>52</v>
      </c>
      <c r="AU2129">
        <v>1000</v>
      </c>
      <c r="AW2129">
        <v>45331</v>
      </c>
      <c r="AX2129" t="s">
        <v>1013</v>
      </c>
      <c r="AY2129">
        <v>0</v>
      </c>
      <c r="AZ2129">
        <v>23685.229162355201</v>
      </c>
      <c r="BA2129">
        <v>0</v>
      </c>
      <c r="BB2129">
        <v>0</v>
      </c>
      <c r="BC2129">
        <v>367687.74</v>
      </c>
      <c r="BD2129">
        <v>42982.963399668028</v>
      </c>
      <c r="BE2129">
        <v>69532.710280373838</v>
      </c>
      <c r="BF2129">
        <v>0</v>
      </c>
      <c r="BG2129">
        <v>598130.84112149535</v>
      </c>
      <c r="BH2129">
        <v>0</v>
      </c>
      <c r="BI2129">
        <v>1102019.4839638923</v>
      </c>
      <c r="BJ2129">
        <v>49745.256036107603</v>
      </c>
      <c r="BK2129">
        <v>1151764.74</v>
      </c>
      <c r="BL2129" t="s">
        <v>242</v>
      </c>
      <c r="BM2129">
        <v>3</v>
      </c>
      <c r="BN2129">
        <v>8000</v>
      </c>
      <c r="BO2129">
        <v>0</v>
      </c>
      <c r="BP2129">
        <v>0</v>
      </c>
      <c r="BQ2129">
        <v>337.45424426622833</v>
      </c>
      <c r="BR2129" t="s">
        <v>58</v>
      </c>
    </row>
    <row r="2130" spans="1:70" x14ac:dyDescent="0.3">
      <c r="A2130" t="s">
        <v>798</v>
      </c>
      <c r="B2130">
        <v>4132301757</v>
      </c>
      <c r="C2130" t="s">
        <v>687</v>
      </c>
      <c r="D2130" t="s">
        <v>960</v>
      </c>
      <c r="E2130" t="s">
        <v>442</v>
      </c>
      <c r="F2130" t="s">
        <v>430</v>
      </c>
      <c r="G2130" t="s">
        <v>230</v>
      </c>
      <c r="H2130" t="s">
        <v>231</v>
      </c>
      <c r="J2130" t="s">
        <v>52</v>
      </c>
      <c r="K2130" s="15">
        <v>1000</v>
      </c>
      <c r="M2130">
        <v>45331</v>
      </c>
      <c r="N2130" t="s">
        <v>1013</v>
      </c>
      <c r="O2130">
        <v>0</v>
      </c>
      <c r="P2130">
        <v>23685.229162355201</v>
      </c>
      <c r="Q2130">
        <v>0</v>
      </c>
      <c r="R2130">
        <v>0</v>
      </c>
      <c r="S2130">
        <v>367687.74</v>
      </c>
      <c r="T2130">
        <v>42982.963399668028</v>
      </c>
      <c r="U2130">
        <v>69532.710280373838</v>
      </c>
      <c r="V2130">
        <v>0</v>
      </c>
      <c r="W2130">
        <v>598130.84112149535</v>
      </c>
      <c r="X2130">
        <v>0</v>
      </c>
      <c r="Y2130">
        <v>1102019.4839638923</v>
      </c>
      <c r="Z2130">
        <v>49745.256036107603</v>
      </c>
      <c r="AA2130">
        <v>1151764.74</v>
      </c>
      <c r="AB2130" t="s">
        <v>242</v>
      </c>
      <c r="AC2130">
        <v>3</v>
      </c>
      <c r="AD2130">
        <v>8000</v>
      </c>
      <c r="AE2130">
        <v>0</v>
      </c>
      <c r="AF2130">
        <v>0</v>
      </c>
      <c r="AG2130">
        <v>337.45424426622833</v>
      </c>
      <c r="AH2130" t="s">
        <v>58</v>
      </c>
      <c r="AK2130" t="s">
        <v>798</v>
      </c>
      <c r="AL2130">
        <v>4302300006</v>
      </c>
      <c r="AM2130">
        <v>901021066959</v>
      </c>
      <c r="AN2130" t="s">
        <v>222</v>
      </c>
      <c r="AO2130" t="s">
        <v>447</v>
      </c>
      <c r="AP2130" t="s">
        <v>433</v>
      </c>
      <c r="AQ2130" t="s">
        <v>82</v>
      </c>
      <c r="AR2130" t="s">
        <v>83</v>
      </c>
      <c r="AT2130" t="s">
        <v>52</v>
      </c>
      <c r="AU2130">
        <v>20000</v>
      </c>
      <c r="AW2130">
        <v>45331</v>
      </c>
      <c r="AX2130" t="s">
        <v>1013</v>
      </c>
      <c r="AY2130">
        <v>0</v>
      </c>
      <c r="AZ2130">
        <v>0</v>
      </c>
      <c r="BA2130">
        <v>215204.70128712838</v>
      </c>
      <c r="BB2130">
        <v>2049.62</v>
      </c>
      <c r="BC2130">
        <v>0</v>
      </c>
      <c r="BD2130">
        <v>0</v>
      </c>
      <c r="BE2130">
        <v>0</v>
      </c>
      <c r="BF2130">
        <v>2600398.4933765153</v>
      </c>
      <c r="BG2130">
        <v>0</v>
      </c>
      <c r="BH2130">
        <v>0</v>
      </c>
      <c r="BI2130">
        <v>2817652.8146636439</v>
      </c>
      <c r="BJ2130">
        <v>182027.89453635609</v>
      </c>
      <c r="BK2130">
        <v>2999680.7091999999</v>
      </c>
      <c r="BL2130" t="s">
        <v>242</v>
      </c>
      <c r="BM2130">
        <v>4</v>
      </c>
      <c r="BN2130">
        <v>171851</v>
      </c>
      <c r="BO2130">
        <v>0</v>
      </c>
      <c r="BP2130">
        <v>0</v>
      </c>
      <c r="BQ2130">
        <v>10373.724663643912</v>
      </c>
      <c r="BR2130" t="s">
        <v>58</v>
      </c>
    </row>
    <row r="2131" spans="1:70" x14ac:dyDescent="0.3">
      <c r="A2131" t="s">
        <v>798</v>
      </c>
      <c r="B2131">
        <v>4142300526</v>
      </c>
      <c r="C2131">
        <v>10226962</v>
      </c>
      <c r="D2131" t="s">
        <v>715</v>
      </c>
      <c r="E2131" t="s">
        <v>445</v>
      </c>
      <c r="F2131" t="s">
        <v>430</v>
      </c>
      <c r="G2131" t="s">
        <v>237</v>
      </c>
      <c r="H2131" t="s">
        <v>234</v>
      </c>
      <c r="J2131" t="s">
        <v>450</v>
      </c>
      <c r="K2131" s="15">
        <v>59000</v>
      </c>
      <c r="M2131">
        <v>45331</v>
      </c>
      <c r="N2131" t="s">
        <v>1031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185644.85644859815</v>
      </c>
      <c r="Y2131">
        <v>185644.85644859815</v>
      </c>
      <c r="Z2131">
        <v>12995.139951401872</v>
      </c>
      <c r="AA2131">
        <v>198639.99640000003</v>
      </c>
      <c r="AB2131" t="s">
        <v>242</v>
      </c>
      <c r="AC2131">
        <v>0</v>
      </c>
      <c r="AD2131">
        <v>0</v>
      </c>
      <c r="AE2131">
        <v>0</v>
      </c>
      <c r="AF2131">
        <v>59000</v>
      </c>
      <c r="AG2131">
        <v>3859.8130841121529</v>
      </c>
      <c r="AH2131" t="s">
        <v>72</v>
      </c>
      <c r="AK2131" t="s">
        <v>798</v>
      </c>
      <c r="AL2131">
        <v>52201809</v>
      </c>
      <c r="AM2131">
        <v>28380987</v>
      </c>
      <c r="AN2131" t="s">
        <v>164</v>
      </c>
      <c r="AO2131" t="s">
        <v>438</v>
      </c>
      <c r="AP2131" t="s">
        <v>431</v>
      </c>
      <c r="AQ2131" t="s">
        <v>82</v>
      </c>
      <c r="AR2131" t="s">
        <v>83</v>
      </c>
      <c r="AT2131" t="s">
        <v>52</v>
      </c>
      <c r="AU2131">
        <v>500</v>
      </c>
      <c r="AW2131">
        <v>45331</v>
      </c>
      <c r="AX2131" t="s">
        <v>1013</v>
      </c>
      <c r="AY2131">
        <v>0</v>
      </c>
      <c r="AZ2131">
        <v>0</v>
      </c>
      <c r="BA2131">
        <v>0</v>
      </c>
      <c r="BB2131">
        <v>931.52121041207272</v>
      </c>
      <c r="BC2131">
        <v>28128.173725979577</v>
      </c>
      <c r="BD2131">
        <v>0</v>
      </c>
      <c r="BE2131">
        <v>0</v>
      </c>
      <c r="BF2131">
        <v>51867.600635850336</v>
      </c>
      <c r="BG2131">
        <v>0</v>
      </c>
      <c r="BH2131">
        <v>0</v>
      </c>
      <c r="BI2131">
        <v>80927.295572241987</v>
      </c>
      <c r="BJ2131">
        <v>5599.7042053280948</v>
      </c>
      <c r="BK2131">
        <v>86526.999777570076</v>
      </c>
      <c r="BL2131" t="s">
        <v>242</v>
      </c>
      <c r="BM2131">
        <v>13</v>
      </c>
      <c r="BN2131">
        <v>9300</v>
      </c>
      <c r="BO2131">
        <v>0</v>
      </c>
      <c r="BP2131">
        <v>0</v>
      </c>
      <c r="BQ2131">
        <v>601.37989226994875</v>
      </c>
      <c r="BR2131" t="s">
        <v>58</v>
      </c>
    </row>
    <row r="2132" spans="1:70" x14ac:dyDescent="0.3">
      <c r="A2132" t="s">
        <v>798</v>
      </c>
      <c r="B2132">
        <v>4302300006</v>
      </c>
      <c r="C2132">
        <v>901021066959</v>
      </c>
      <c r="D2132" t="s">
        <v>222</v>
      </c>
      <c r="E2132" t="s">
        <v>447</v>
      </c>
      <c r="F2132" t="s">
        <v>433</v>
      </c>
      <c r="G2132" t="s">
        <v>82</v>
      </c>
      <c r="H2132" t="s">
        <v>83</v>
      </c>
      <c r="J2132" t="s">
        <v>52</v>
      </c>
      <c r="K2132" s="15">
        <v>20000</v>
      </c>
      <c r="M2132">
        <v>45331</v>
      </c>
      <c r="N2132" t="s">
        <v>1013</v>
      </c>
      <c r="O2132">
        <v>0</v>
      </c>
      <c r="P2132">
        <v>0</v>
      </c>
      <c r="Q2132">
        <v>215204.70128712838</v>
      </c>
      <c r="R2132">
        <v>2049.62</v>
      </c>
      <c r="S2132">
        <v>0</v>
      </c>
      <c r="T2132">
        <v>0</v>
      </c>
      <c r="U2132">
        <v>0</v>
      </c>
      <c r="V2132">
        <v>2600398.4933765153</v>
      </c>
      <c r="W2132">
        <v>0</v>
      </c>
      <c r="X2132">
        <v>0</v>
      </c>
      <c r="Y2132">
        <v>2817652.8146636439</v>
      </c>
      <c r="Z2132">
        <v>182027.89453635609</v>
      </c>
      <c r="AA2132">
        <v>2999680.7091999999</v>
      </c>
      <c r="AB2132" t="s">
        <v>242</v>
      </c>
      <c r="AC2132">
        <v>4</v>
      </c>
      <c r="AD2132">
        <v>171851</v>
      </c>
      <c r="AE2132">
        <v>0</v>
      </c>
      <c r="AF2132">
        <v>0</v>
      </c>
      <c r="AG2132">
        <v>10373.724663643912</v>
      </c>
      <c r="AH2132" t="s">
        <v>58</v>
      </c>
      <c r="AK2132" t="s">
        <v>798</v>
      </c>
      <c r="AL2132">
        <v>4142300526</v>
      </c>
      <c r="AM2132">
        <v>10226962</v>
      </c>
      <c r="AN2132" t="s">
        <v>715</v>
      </c>
      <c r="AO2132" t="s">
        <v>445</v>
      </c>
      <c r="AP2132" t="s">
        <v>430</v>
      </c>
      <c r="AQ2132" t="s">
        <v>237</v>
      </c>
      <c r="AR2132" t="s">
        <v>234</v>
      </c>
      <c r="AT2132" t="s">
        <v>450</v>
      </c>
      <c r="AU2132">
        <v>59000</v>
      </c>
      <c r="AW2132">
        <v>45331</v>
      </c>
      <c r="AX2132" t="s">
        <v>1031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185644.85644859815</v>
      </c>
      <c r="BI2132">
        <v>185644.85644859815</v>
      </c>
      <c r="BJ2132">
        <v>12995.139951401872</v>
      </c>
      <c r="BK2132">
        <v>198639.99640000003</v>
      </c>
      <c r="BL2132" t="s">
        <v>242</v>
      </c>
      <c r="BM2132">
        <v>0</v>
      </c>
      <c r="BN2132">
        <v>0</v>
      </c>
      <c r="BO2132">
        <v>0</v>
      </c>
      <c r="BP2132">
        <v>59000</v>
      </c>
      <c r="BQ2132">
        <v>3859.8130841121529</v>
      </c>
      <c r="BR2132" t="s">
        <v>72</v>
      </c>
    </row>
    <row r="2133" spans="1:70" x14ac:dyDescent="0.3">
      <c r="A2133" t="s">
        <v>798</v>
      </c>
      <c r="B2133">
        <v>4142300708</v>
      </c>
      <c r="C2133">
        <v>10316437</v>
      </c>
      <c r="D2133" t="s">
        <v>741</v>
      </c>
      <c r="E2133" t="s">
        <v>445</v>
      </c>
      <c r="F2133" t="s">
        <v>430</v>
      </c>
      <c r="G2133" t="s">
        <v>230</v>
      </c>
      <c r="H2133" t="s">
        <v>234</v>
      </c>
      <c r="J2133" t="s">
        <v>52</v>
      </c>
      <c r="K2133" s="15">
        <v>5000</v>
      </c>
      <c r="M2133">
        <v>45332</v>
      </c>
      <c r="N2133" t="s">
        <v>1013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286285.55140186916</v>
      </c>
      <c r="Y2133">
        <v>286285.55140186916</v>
      </c>
      <c r="Z2133">
        <v>20039.988598130843</v>
      </c>
      <c r="AA2133">
        <v>306325.53999999998</v>
      </c>
      <c r="AB2133" t="s">
        <v>242</v>
      </c>
      <c r="AC2133">
        <v>2</v>
      </c>
      <c r="AD2133">
        <v>10000</v>
      </c>
      <c r="AE2133">
        <v>0</v>
      </c>
      <c r="AF2133">
        <v>0</v>
      </c>
      <c r="AG2133">
        <v>654.20560747663512</v>
      </c>
      <c r="AH2133" t="s">
        <v>58</v>
      </c>
      <c r="AK2133" t="s">
        <v>798</v>
      </c>
      <c r="AL2133">
        <v>4142300708</v>
      </c>
      <c r="AM2133">
        <v>10316437</v>
      </c>
      <c r="AN2133" t="s">
        <v>741</v>
      </c>
      <c r="AO2133" t="s">
        <v>445</v>
      </c>
      <c r="AP2133" t="s">
        <v>430</v>
      </c>
      <c r="AQ2133" t="s">
        <v>230</v>
      </c>
      <c r="AR2133" t="s">
        <v>234</v>
      </c>
      <c r="AT2133" t="s">
        <v>52</v>
      </c>
      <c r="AU2133">
        <v>5000</v>
      </c>
      <c r="AW2133">
        <v>45332</v>
      </c>
      <c r="AX2133" t="s">
        <v>1013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286285.55140186916</v>
      </c>
      <c r="BI2133">
        <v>286285.55140186916</v>
      </c>
      <c r="BJ2133">
        <v>20039.988598130843</v>
      </c>
      <c r="BK2133">
        <v>306325.53999999998</v>
      </c>
      <c r="BL2133" t="s">
        <v>242</v>
      </c>
      <c r="BM2133">
        <v>2</v>
      </c>
      <c r="BN2133">
        <v>10000</v>
      </c>
      <c r="BO2133">
        <v>0</v>
      </c>
      <c r="BP2133">
        <v>0</v>
      </c>
      <c r="BQ2133">
        <v>654.20560747663512</v>
      </c>
      <c r="BR2133" t="s">
        <v>58</v>
      </c>
    </row>
    <row r="2134" spans="1:70" x14ac:dyDescent="0.3">
      <c r="A2134" t="s">
        <v>798</v>
      </c>
      <c r="B2134">
        <v>4142301620</v>
      </c>
      <c r="C2134">
        <v>10665498</v>
      </c>
      <c r="D2134" t="s">
        <v>762</v>
      </c>
      <c r="E2134" t="s">
        <v>446</v>
      </c>
      <c r="F2134" t="s">
        <v>430</v>
      </c>
      <c r="G2134" t="s">
        <v>237</v>
      </c>
      <c r="H2134" t="s">
        <v>234</v>
      </c>
      <c r="J2134" t="s">
        <v>52</v>
      </c>
      <c r="K2134" s="15">
        <v>2000</v>
      </c>
      <c r="M2134">
        <v>45332</v>
      </c>
      <c r="N2134" t="s">
        <v>1013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45682.242990654209</v>
      </c>
      <c r="Y2134">
        <v>45682.242990654209</v>
      </c>
      <c r="Z2134">
        <v>3197.7570093457948</v>
      </c>
      <c r="AA2134">
        <v>48880.000000000007</v>
      </c>
      <c r="AB2134" t="s">
        <v>242</v>
      </c>
      <c r="AC2134">
        <v>1</v>
      </c>
      <c r="AD2134">
        <v>2000</v>
      </c>
      <c r="AE2134">
        <v>0</v>
      </c>
      <c r="AF2134">
        <v>0</v>
      </c>
      <c r="AG2134">
        <v>130.84112149532712</v>
      </c>
      <c r="AH2134" t="s">
        <v>72</v>
      </c>
      <c r="AK2134" t="s">
        <v>798</v>
      </c>
      <c r="AL2134">
        <v>4142301620</v>
      </c>
      <c r="AM2134">
        <v>10665498</v>
      </c>
      <c r="AN2134" t="s">
        <v>762</v>
      </c>
      <c r="AO2134" t="s">
        <v>446</v>
      </c>
      <c r="AP2134" t="s">
        <v>430</v>
      </c>
      <c r="AQ2134" t="s">
        <v>237</v>
      </c>
      <c r="AR2134" t="s">
        <v>234</v>
      </c>
      <c r="AT2134" t="s">
        <v>52</v>
      </c>
      <c r="AU2134">
        <v>2000</v>
      </c>
      <c r="AW2134">
        <v>45332</v>
      </c>
      <c r="AX2134" t="s">
        <v>1013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45682.242990654209</v>
      </c>
      <c r="BI2134">
        <v>45682.242990654209</v>
      </c>
      <c r="BJ2134">
        <v>3197.7570093457948</v>
      </c>
      <c r="BK2134">
        <v>48880.000000000007</v>
      </c>
      <c r="BL2134" t="s">
        <v>242</v>
      </c>
      <c r="BM2134">
        <v>1</v>
      </c>
      <c r="BN2134">
        <v>2000</v>
      </c>
      <c r="BO2134">
        <v>0</v>
      </c>
      <c r="BP2134">
        <v>0</v>
      </c>
      <c r="BQ2134">
        <v>130.84112149532712</v>
      </c>
      <c r="BR2134" t="s">
        <v>72</v>
      </c>
    </row>
    <row r="2135" spans="1:70" x14ac:dyDescent="0.3">
      <c r="A2135" t="s">
        <v>798</v>
      </c>
      <c r="B2135">
        <v>52200750</v>
      </c>
      <c r="C2135">
        <v>26151957</v>
      </c>
      <c r="D2135" t="s">
        <v>141</v>
      </c>
      <c r="E2135" t="s">
        <v>438</v>
      </c>
      <c r="F2135" t="s">
        <v>431</v>
      </c>
      <c r="G2135" t="s">
        <v>82</v>
      </c>
      <c r="H2135" t="s">
        <v>83</v>
      </c>
      <c r="J2135" t="s">
        <v>52</v>
      </c>
      <c r="K2135" s="15">
        <v>1000</v>
      </c>
      <c r="M2135">
        <v>45333</v>
      </c>
      <c r="N2135" t="s">
        <v>1013</v>
      </c>
      <c r="O2135">
        <v>0</v>
      </c>
      <c r="P2135">
        <v>0</v>
      </c>
      <c r="Q2135">
        <v>0</v>
      </c>
      <c r="R2135">
        <v>809.59908857346295</v>
      </c>
      <c r="S2135">
        <v>19239.562492411085</v>
      </c>
      <c r="T2135">
        <v>0</v>
      </c>
      <c r="U2135">
        <v>0</v>
      </c>
      <c r="V2135">
        <v>47756.1392450563</v>
      </c>
      <c r="W2135">
        <v>0</v>
      </c>
      <c r="X2135">
        <v>0</v>
      </c>
      <c r="Y2135">
        <v>67805.300826040853</v>
      </c>
      <c r="Z2135">
        <v>4689.6991216227179</v>
      </c>
      <c r="AA2135">
        <v>72494.999947663571</v>
      </c>
      <c r="AB2135" t="s">
        <v>242</v>
      </c>
      <c r="AC2135">
        <v>14</v>
      </c>
      <c r="AD2135">
        <v>15000</v>
      </c>
      <c r="AE2135">
        <v>0</v>
      </c>
      <c r="AF2135">
        <v>0</v>
      </c>
      <c r="AG2135">
        <v>969.50648243003991</v>
      </c>
      <c r="AH2135" t="s">
        <v>58</v>
      </c>
      <c r="AK2135" t="s">
        <v>798</v>
      </c>
      <c r="AL2135">
        <v>4142300766</v>
      </c>
      <c r="AM2135">
        <v>10354207</v>
      </c>
      <c r="AN2135" t="s">
        <v>207</v>
      </c>
      <c r="AO2135" t="s">
        <v>445</v>
      </c>
      <c r="AP2135" t="s">
        <v>430</v>
      </c>
      <c r="AQ2135" t="s">
        <v>230</v>
      </c>
      <c r="AR2135" t="s">
        <v>234</v>
      </c>
      <c r="AT2135" t="s">
        <v>52</v>
      </c>
      <c r="AU2135">
        <v>5000</v>
      </c>
      <c r="AW2135">
        <v>45333</v>
      </c>
      <c r="AX2135" t="s">
        <v>1013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296525.79439252341</v>
      </c>
      <c r="BI2135">
        <v>296525.79439252341</v>
      </c>
      <c r="BJ2135">
        <v>20756.805607476643</v>
      </c>
      <c r="BK2135">
        <v>317282.60000000003</v>
      </c>
      <c r="BL2135" t="s">
        <v>242</v>
      </c>
      <c r="BM2135">
        <v>8</v>
      </c>
      <c r="BN2135">
        <v>56000</v>
      </c>
      <c r="BO2135">
        <v>0</v>
      </c>
      <c r="BP2135">
        <v>0</v>
      </c>
      <c r="BQ2135">
        <v>3663.5514018691583</v>
      </c>
      <c r="BR2135" t="s">
        <v>58</v>
      </c>
    </row>
    <row r="2136" spans="1:70" x14ac:dyDescent="0.3">
      <c r="A2136" t="s">
        <v>798</v>
      </c>
      <c r="B2136">
        <v>4142300766</v>
      </c>
      <c r="C2136">
        <v>10354207</v>
      </c>
      <c r="D2136" t="s">
        <v>207</v>
      </c>
      <c r="E2136" t="s">
        <v>445</v>
      </c>
      <c r="F2136" t="s">
        <v>430</v>
      </c>
      <c r="G2136" t="s">
        <v>230</v>
      </c>
      <c r="H2136" t="s">
        <v>234</v>
      </c>
      <c r="J2136" t="s">
        <v>52</v>
      </c>
      <c r="K2136" s="15">
        <v>5000</v>
      </c>
      <c r="M2136">
        <v>45333</v>
      </c>
      <c r="N2136" t="s">
        <v>1013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296525.79439252341</v>
      </c>
      <c r="Y2136">
        <v>296525.79439252341</v>
      </c>
      <c r="Z2136">
        <v>20756.805607476643</v>
      </c>
      <c r="AA2136">
        <v>317282.60000000003</v>
      </c>
      <c r="AB2136" t="s">
        <v>242</v>
      </c>
      <c r="AC2136">
        <v>8</v>
      </c>
      <c r="AD2136">
        <v>56000</v>
      </c>
      <c r="AE2136">
        <v>0</v>
      </c>
      <c r="AF2136">
        <v>0</v>
      </c>
      <c r="AG2136">
        <v>3663.5514018691583</v>
      </c>
      <c r="AH2136" t="s">
        <v>58</v>
      </c>
      <c r="AK2136" t="s">
        <v>798</v>
      </c>
      <c r="AL2136">
        <v>4232300098</v>
      </c>
      <c r="AM2136">
        <v>111655</v>
      </c>
      <c r="AN2136" t="s">
        <v>763</v>
      </c>
      <c r="AO2136" t="s">
        <v>443</v>
      </c>
      <c r="AP2136" t="s">
        <v>431</v>
      </c>
      <c r="AQ2136" t="s">
        <v>230</v>
      </c>
      <c r="AR2136" t="s">
        <v>231</v>
      </c>
      <c r="AT2136" t="s">
        <v>52</v>
      </c>
      <c r="AU2136">
        <v>50000</v>
      </c>
      <c r="AW2136">
        <v>45333</v>
      </c>
      <c r="AX2136" t="s">
        <v>1039</v>
      </c>
      <c r="AY2136">
        <v>0</v>
      </c>
      <c r="AZ2136">
        <v>15616.577984412546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510008.80562204425</v>
      </c>
      <c r="BH2136">
        <v>0</v>
      </c>
      <c r="BI2136">
        <v>525625.3836064568</v>
      </c>
      <c r="BJ2136">
        <v>35700.616393543103</v>
      </c>
      <c r="BK2136">
        <v>561325.99999999988</v>
      </c>
      <c r="BL2136" t="s">
        <v>242</v>
      </c>
      <c r="BM2136">
        <v>2</v>
      </c>
      <c r="BN2136">
        <v>100000</v>
      </c>
      <c r="BO2136">
        <v>0</v>
      </c>
      <c r="BP2136">
        <v>0</v>
      </c>
      <c r="BQ2136">
        <v>6345.963045709228</v>
      </c>
      <c r="BR2136" t="s">
        <v>58</v>
      </c>
    </row>
    <row r="2137" spans="1:70" x14ac:dyDescent="0.3">
      <c r="A2137" t="s">
        <v>798</v>
      </c>
      <c r="B2137">
        <v>4232300098</v>
      </c>
      <c r="C2137">
        <v>111655</v>
      </c>
      <c r="D2137" t="s">
        <v>763</v>
      </c>
      <c r="E2137" t="s">
        <v>443</v>
      </c>
      <c r="F2137" t="s">
        <v>431</v>
      </c>
      <c r="G2137" t="s">
        <v>230</v>
      </c>
      <c r="H2137" t="s">
        <v>231</v>
      </c>
      <c r="J2137" t="s">
        <v>52</v>
      </c>
      <c r="K2137" s="15">
        <v>50000</v>
      </c>
      <c r="M2137">
        <v>45333</v>
      </c>
      <c r="N2137" t="s">
        <v>1039</v>
      </c>
      <c r="O2137">
        <v>0</v>
      </c>
      <c r="P2137">
        <v>15616.577984412546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510008.80562204425</v>
      </c>
      <c r="X2137">
        <v>0</v>
      </c>
      <c r="Y2137">
        <v>525625.3836064568</v>
      </c>
      <c r="Z2137">
        <v>35700.616393543103</v>
      </c>
      <c r="AA2137">
        <v>561325.99999999988</v>
      </c>
      <c r="AB2137" t="s">
        <v>242</v>
      </c>
      <c r="AC2137">
        <v>2</v>
      </c>
      <c r="AD2137">
        <v>100000</v>
      </c>
      <c r="AE2137">
        <v>0</v>
      </c>
      <c r="AF2137">
        <v>0</v>
      </c>
      <c r="AG2137">
        <v>6345.963045709228</v>
      </c>
      <c r="AH2137" t="s">
        <v>58</v>
      </c>
      <c r="AK2137" t="s">
        <v>798</v>
      </c>
      <c r="AL2137">
        <v>52200750</v>
      </c>
      <c r="AM2137">
        <v>26151957</v>
      </c>
      <c r="AN2137" t="s">
        <v>141</v>
      </c>
      <c r="AO2137" t="s">
        <v>438</v>
      </c>
      <c r="AP2137" t="s">
        <v>431</v>
      </c>
      <c r="AQ2137" t="s">
        <v>82</v>
      </c>
      <c r="AR2137" t="s">
        <v>83</v>
      </c>
      <c r="AT2137" t="s">
        <v>52</v>
      </c>
      <c r="AU2137">
        <v>1000</v>
      </c>
      <c r="AW2137">
        <v>45333</v>
      </c>
      <c r="AX2137" t="s">
        <v>1013</v>
      </c>
      <c r="AY2137">
        <v>0</v>
      </c>
      <c r="AZ2137">
        <v>0</v>
      </c>
      <c r="BA2137">
        <v>0</v>
      </c>
      <c r="BB2137">
        <v>809.59908857346295</v>
      </c>
      <c r="BC2137">
        <v>19239.562492411085</v>
      </c>
      <c r="BD2137">
        <v>0</v>
      </c>
      <c r="BE2137">
        <v>0</v>
      </c>
      <c r="BF2137">
        <v>47756.1392450563</v>
      </c>
      <c r="BG2137">
        <v>0</v>
      </c>
      <c r="BH2137">
        <v>0</v>
      </c>
      <c r="BI2137">
        <v>67805.300826040853</v>
      </c>
      <c r="BJ2137">
        <v>4689.6991216227179</v>
      </c>
      <c r="BK2137">
        <v>72494.999947663571</v>
      </c>
      <c r="BL2137" t="s">
        <v>242</v>
      </c>
      <c r="BM2137">
        <v>14</v>
      </c>
      <c r="BN2137">
        <v>15000</v>
      </c>
      <c r="BO2137">
        <v>0</v>
      </c>
      <c r="BP2137">
        <v>0</v>
      </c>
      <c r="BQ2137">
        <v>969.50648243003991</v>
      </c>
      <c r="BR2137" t="s">
        <v>58</v>
      </c>
    </row>
    <row r="2138" spans="1:70" x14ac:dyDescent="0.3">
      <c r="A2138" t="s">
        <v>798</v>
      </c>
      <c r="B2138">
        <v>12200041</v>
      </c>
      <c r="C2138">
        <v>23113175</v>
      </c>
      <c r="D2138" t="s">
        <v>78</v>
      </c>
      <c r="E2138" t="s">
        <v>435</v>
      </c>
      <c r="F2138" t="s">
        <v>427</v>
      </c>
      <c r="G2138" t="s">
        <v>82</v>
      </c>
      <c r="H2138" t="s">
        <v>82</v>
      </c>
      <c r="J2138" t="s">
        <v>52</v>
      </c>
      <c r="K2138" s="15">
        <v>5000</v>
      </c>
      <c r="M2138">
        <v>45334</v>
      </c>
      <c r="N2138" t="s">
        <v>1013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137565.03142572055</v>
      </c>
      <c r="W2138">
        <v>0</v>
      </c>
      <c r="X2138">
        <v>0</v>
      </c>
      <c r="Y2138">
        <v>137565.03142572055</v>
      </c>
      <c r="Z2138">
        <v>0</v>
      </c>
      <c r="AA2138">
        <v>137565.03142572055</v>
      </c>
      <c r="AB2138" t="s">
        <v>242</v>
      </c>
      <c r="AC2138">
        <v>21</v>
      </c>
      <c r="AD2138">
        <v>85000</v>
      </c>
      <c r="AE2138">
        <v>0</v>
      </c>
      <c r="AF2138">
        <v>0</v>
      </c>
      <c r="AG2138">
        <v>0</v>
      </c>
      <c r="AH2138" t="s">
        <v>58</v>
      </c>
      <c r="AK2138" t="s">
        <v>798</v>
      </c>
      <c r="AL2138">
        <v>4142300315</v>
      </c>
      <c r="AM2138">
        <v>10137121</v>
      </c>
      <c r="AN2138" t="s">
        <v>197</v>
      </c>
      <c r="AO2138" t="s">
        <v>445</v>
      </c>
      <c r="AP2138" t="s">
        <v>430</v>
      </c>
      <c r="AQ2138" t="s">
        <v>230</v>
      </c>
      <c r="AR2138" t="s">
        <v>234</v>
      </c>
      <c r="AT2138" t="s">
        <v>416</v>
      </c>
      <c r="AU2138">
        <v>0.1033</v>
      </c>
      <c r="AW2138">
        <v>45334</v>
      </c>
      <c r="AX2138" t="s">
        <v>1016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1048079.7207476635</v>
      </c>
      <c r="BI2138">
        <v>1048079.7207476635</v>
      </c>
      <c r="BJ2138">
        <v>73365.58045233645</v>
      </c>
      <c r="BK2138">
        <v>1121445.3011999999</v>
      </c>
      <c r="BL2138" t="s">
        <v>242</v>
      </c>
      <c r="BM2138">
        <v>2</v>
      </c>
      <c r="BN2138">
        <v>40000</v>
      </c>
      <c r="BO2138">
        <v>0</v>
      </c>
      <c r="BP2138">
        <v>0</v>
      </c>
      <c r="BQ2138">
        <v>2616.8224299065405</v>
      </c>
      <c r="BR2138" t="s">
        <v>58</v>
      </c>
    </row>
    <row r="2139" spans="1:70" x14ac:dyDescent="0.3">
      <c r="A2139" t="s">
        <v>798</v>
      </c>
      <c r="B2139">
        <v>4132301163</v>
      </c>
      <c r="C2139">
        <v>9010144563</v>
      </c>
      <c r="D2139" t="s">
        <v>737</v>
      </c>
      <c r="E2139" t="s">
        <v>441</v>
      </c>
      <c r="F2139" t="s">
        <v>430</v>
      </c>
      <c r="G2139" t="s">
        <v>326</v>
      </c>
      <c r="H2139" t="s">
        <v>236</v>
      </c>
      <c r="J2139" t="s">
        <v>52</v>
      </c>
      <c r="K2139" s="15">
        <v>2000</v>
      </c>
      <c r="M2139">
        <v>45334</v>
      </c>
      <c r="N2139" t="s">
        <v>1013</v>
      </c>
      <c r="O2139">
        <v>0</v>
      </c>
      <c r="P2139">
        <v>0</v>
      </c>
      <c r="Q2139">
        <v>0</v>
      </c>
      <c r="R2139">
        <v>0</v>
      </c>
      <c r="S2139">
        <v>34877.724550426101</v>
      </c>
      <c r="T2139">
        <v>0</v>
      </c>
      <c r="U2139">
        <v>0</v>
      </c>
      <c r="V2139">
        <v>70711.382765572838</v>
      </c>
      <c r="W2139">
        <v>0</v>
      </c>
      <c r="X2139">
        <v>0</v>
      </c>
      <c r="Y2139">
        <v>105589.10731599893</v>
      </c>
      <c r="Z2139">
        <v>4949.7967935900988</v>
      </c>
      <c r="AA2139">
        <v>110538.90410958903</v>
      </c>
      <c r="AB2139" t="s">
        <v>242</v>
      </c>
      <c r="AC2139">
        <v>1</v>
      </c>
      <c r="AD2139">
        <v>2000</v>
      </c>
      <c r="AE2139">
        <v>0</v>
      </c>
      <c r="AF2139">
        <v>0</v>
      </c>
      <c r="AG2139">
        <v>87.58638397999448</v>
      </c>
      <c r="AH2139" t="s">
        <v>72</v>
      </c>
      <c r="AK2139" t="s">
        <v>798</v>
      </c>
      <c r="AL2139">
        <v>12200041</v>
      </c>
      <c r="AM2139">
        <v>23113175</v>
      </c>
      <c r="AN2139" t="s">
        <v>78</v>
      </c>
      <c r="AO2139" t="s">
        <v>435</v>
      </c>
      <c r="AP2139" t="s">
        <v>427</v>
      </c>
      <c r="AQ2139" t="s">
        <v>82</v>
      </c>
      <c r="AR2139" t="s">
        <v>82</v>
      </c>
      <c r="AT2139" t="s">
        <v>52</v>
      </c>
      <c r="AU2139">
        <v>5000</v>
      </c>
      <c r="AW2139">
        <v>45334</v>
      </c>
      <c r="AX2139" t="s">
        <v>1013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137565.03142572055</v>
      </c>
      <c r="BG2139">
        <v>0</v>
      </c>
      <c r="BH2139">
        <v>0</v>
      </c>
      <c r="BI2139">
        <v>137565.03142572055</v>
      </c>
      <c r="BJ2139">
        <v>0</v>
      </c>
      <c r="BK2139">
        <v>137565.03142572055</v>
      </c>
      <c r="BL2139" t="s">
        <v>242</v>
      </c>
      <c r="BM2139">
        <v>21</v>
      </c>
      <c r="BN2139">
        <v>85000</v>
      </c>
      <c r="BO2139">
        <v>0</v>
      </c>
      <c r="BP2139">
        <v>0</v>
      </c>
      <c r="BQ2139">
        <v>0</v>
      </c>
      <c r="BR2139" t="s">
        <v>58</v>
      </c>
    </row>
    <row r="2140" spans="1:70" x14ac:dyDescent="0.3">
      <c r="A2140" t="s">
        <v>798</v>
      </c>
      <c r="B2140">
        <v>4142300315</v>
      </c>
      <c r="C2140">
        <v>10137121</v>
      </c>
      <c r="D2140" t="s">
        <v>197</v>
      </c>
      <c r="E2140" t="s">
        <v>445</v>
      </c>
      <c r="F2140" t="s">
        <v>430</v>
      </c>
      <c r="G2140" t="s">
        <v>230</v>
      </c>
      <c r="H2140" t="s">
        <v>234</v>
      </c>
      <c r="J2140" t="s">
        <v>416</v>
      </c>
      <c r="K2140" s="15">
        <v>0.1033</v>
      </c>
      <c r="M2140">
        <v>45334</v>
      </c>
      <c r="N2140" t="s">
        <v>1016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1048079.7207476635</v>
      </c>
      <c r="Y2140">
        <v>1048079.7207476635</v>
      </c>
      <c r="Z2140">
        <v>73365.58045233645</v>
      </c>
      <c r="AA2140">
        <v>1121445.3011999999</v>
      </c>
      <c r="AB2140" t="s">
        <v>242</v>
      </c>
      <c r="AC2140">
        <v>2</v>
      </c>
      <c r="AD2140">
        <v>40000</v>
      </c>
      <c r="AE2140">
        <v>0</v>
      </c>
      <c r="AF2140">
        <v>0</v>
      </c>
      <c r="AG2140">
        <v>2616.8224299065405</v>
      </c>
      <c r="AH2140" t="s">
        <v>58</v>
      </c>
      <c r="AK2140" t="s">
        <v>798</v>
      </c>
      <c r="AL2140">
        <v>4132301163</v>
      </c>
      <c r="AM2140">
        <v>9010144563</v>
      </c>
      <c r="AN2140" t="s">
        <v>737</v>
      </c>
      <c r="AO2140" t="s">
        <v>441</v>
      </c>
      <c r="AP2140" t="s">
        <v>430</v>
      </c>
      <c r="AQ2140" t="s">
        <v>326</v>
      </c>
      <c r="AR2140" t="s">
        <v>236</v>
      </c>
      <c r="AT2140" t="s">
        <v>52</v>
      </c>
      <c r="AU2140">
        <v>2000</v>
      </c>
      <c r="AW2140">
        <v>45334</v>
      </c>
      <c r="AX2140" t="s">
        <v>1013</v>
      </c>
      <c r="AY2140">
        <v>0</v>
      </c>
      <c r="AZ2140">
        <v>0</v>
      </c>
      <c r="BA2140">
        <v>0</v>
      </c>
      <c r="BB2140">
        <v>0</v>
      </c>
      <c r="BC2140">
        <v>34877.724550426101</v>
      </c>
      <c r="BD2140">
        <v>0</v>
      </c>
      <c r="BE2140">
        <v>0</v>
      </c>
      <c r="BF2140">
        <v>70711.382765572838</v>
      </c>
      <c r="BG2140">
        <v>0</v>
      </c>
      <c r="BH2140">
        <v>0</v>
      </c>
      <c r="BI2140">
        <v>105589.10731599893</v>
      </c>
      <c r="BJ2140">
        <v>4949.7967935900988</v>
      </c>
      <c r="BK2140">
        <v>110538.90410958903</v>
      </c>
      <c r="BL2140" t="s">
        <v>242</v>
      </c>
      <c r="BM2140">
        <v>1</v>
      </c>
      <c r="BN2140">
        <v>2000</v>
      </c>
      <c r="BO2140">
        <v>0</v>
      </c>
      <c r="BP2140">
        <v>0</v>
      </c>
      <c r="BQ2140">
        <v>87.58638397999448</v>
      </c>
      <c r="BR2140" t="s">
        <v>72</v>
      </c>
    </row>
    <row r="2141" spans="1:70" x14ac:dyDescent="0.3">
      <c r="A2141" t="s">
        <v>798</v>
      </c>
      <c r="B2141">
        <v>4142301150</v>
      </c>
      <c r="C2141">
        <v>10201701</v>
      </c>
      <c r="D2141" t="s">
        <v>726</v>
      </c>
      <c r="E2141" t="s">
        <v>445</v>
      </c>
      <c r="F2141" t="s">
        <v>430</v>
      </c>
      <c r="G2141" t="s">
        <v>237</v>
      </c>
      <c r="H2141" t="s">
        <v>234</v>
      </c>
      <c r="J2141" t="s">
        <v>425</v>
      </c>
      <c r="K2141" s="15">
        <v>70000</v>
      </c>
      <c r="M2141">
        <v>45334</v>
      </c>
      <c r="N2141" t="s">
        <v>1023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216762.61682242993</v>
      </c>
      <c r="Y2141">
        <v>216762.61682242993</v>
      </c>
      <c r="Z2141">
        <v>15173.383177570096</v>
      </c>
      <c r="AA2141">
        <v>231936.00000000003</v>
      </c>
      <c r="AB2141" t="s">
        <v>242</v>
      </c>
      <c r="AC2141">
        <v>0</v>
      </c>
      <c r="AD2141">
        <v>0</v>
      </c>
      <c r="AE2141">
        <v>0</v>
      </c>
      <c r="AF2141">
        <v>74900</v>
      </c>
      <c r="AG2141">
        <v>4900</v>
      </c>
      <c r="AH2141" t="s">
        <v>72</v>
      </c>
      <c r="AK2141" t="s">
        <v>798</v>
      </c>
      <c r="AL2141">
        <v>4302300005</v>
      </c>
      <c r="AM2141">
        <v>901019061099</v>
      </c>
      <c r="AN2141" t="s">
        <v>222</v>
      </c>
      <c r="AO2141" t="s">
        <v>447</v>
      </c>
      <c r="AP2141" t="s">
        <v>433</v>
      </c>
      <c r="AQ2141" t="s">
        <v>82</v>
      </c>
      <c r="AR2141" t="s">
        <v>83</v>
      </c>
      <c r="AT2141" t="s">
        <v>52</v>
      </c>
      <c r="AU2141">
        <v>20000</v>
      </c>
      <c r="AW2141">
        <v>45334</v>
      </c>
      <c r="AX2141" t="s">
        <v>1013</v>
      </c>
      <c r="AY2141">
        <v>0</v>
      </c>
      <c r="AZ2141">
        <v>0</v>
      </c>
      <c r="BA2141">
        <v>99447.333040286569</v>
      </c>
      <c r="BB2141">
        <v>2677.89</v>
      </c>
      <c r="BC2141">
        <v>0</v>
      </c>
      <c r="BD2141">
        <v>0</v>
      </c>
      <c r="BE2141">
        <v>0</v>
      </c>
      <c r="BF2141">
        <v>1425171.0009903864</v>
      </c>
      <c r="BG2141">
        <v>0</v>
      </c>
      <c r="BH2141">
        <v>0</v>
      </c>
      <c r="BI2141">
        <v>1527296.224030673</v>
      </c>
      <c r="BJ2141">
        <v>99761.970069327057</v>
      </c>
      <c r="BK2141">
        <v>1627058.1941000002</v>
      </c>
      <c r="BL2141" t="s">
        <v>242</v>
      </c>
      <c r="BM2141">
        <v>2</v>
      </c>
      <c r="BN2141">
        <v>69000</v>
      </c>
      <c r="BO2141">
        <v>0</v>
      </c>
      <c r="BP2141">
        <v>0</v>
      </c>
      <c r="BQ2141">
        <v>4211.5240306729538</v>
      </c>
      <c r="BR2141" t="s">
        <v>58</v>
      </c>
    </row>
    <row r="2142" spans="1:70" x14ac:dyDescent="0.3">
      <c r="A2142" t="s">
        <v>798</v>
      </c>
      <c r="B2142">
        <v>4302300005</v>
      </c>
      <c r="C2142">
        <v>901019061099</v>
      </c>
      <c r="D2142" t="s">
        <v>222</v>
      </c>
      <c r="E2142" t="s">
        <v>447</v>
      </c>
      <c r="F2142" t="s">
        <v>433</v>
      </c>
      <c r="G2142" t="s">
        <v>82</v>
      </c>
      <c r="H2142" t="s">
        <v>83</v>
      </c>
      <c r="J2142" t="s">
        <v>52</v>
      </c>
      <c r="K2142" s="15">
        <v>20000</v>
      </c>
      <c r="M2142">
        <v>45334</v>
      </c>
      <c r="N2142" t="s">
        <v>1013</v>
      </c>
      <c r="O2142">
        <v>0</v>
      </c>
      <c r="P2142">
        <v>0</v>
      </c>
      <c r="Q2142">
        <v>99447.333040286569</v>
      </c>
      <c r="R2142">
        <v>2677.89</v>
      </c>
      <c r="S2142">
        <v>0</v>
      </c>
      <c r="T2142">
        <v>0</v>
      </c>
      <c r="U2142">
        <v>0</v>
      </c>
      <c r="V2142">
        <v>1425171.0009903864</v>
      </c>
      <c r="W2142">
        <v>0</v>
      </c>
      <c r="X2142">
        <v>0</v>
      </c>
      <c r="Y2142">
        <v>1527296.224030673</v>
      </c>
      <c r="Z2142">
        <v>99761.970069327057</v>
      </c>
      <c r="AA2142">
        <v>1627058.1941000002</v>
      </c>
      <c r="AB2142" t="s">
        <v>242</v>
      </c>
      <c r="AC2142">
        <v>2</v>
      </c>
      <c r="AD2142">
        <v>69000</v>
      </c>
      <c r="AE2142">
        <v>0</v>
      </c>
      <c r="AF2142">
        <v>0</v>
      </c>
      <c r="AG2142">
        <v>4211.5240306729538</v>
      </c>
      <c r="AH2142" t="s">
        <v>58</v>
      </c>
      <c r="AK2142" t="s">
        <v>798</v>
      </c>
      <c r="AL2142">
        <v>4302300007</v>
      </c>
      <c r="AM2142">
        <v>901021083430</v>
      </c>
      <c r="AN2142" t="s">
        <v>222</v>
      </c>
      <c r="AO2142" t="s">
        <v>447</v>
      </c>
      <c r="AP2142" t="s">
        <v>433</v>
      </c>
      <c r="AQ2142" t="s">
        <v>82</v>
      </c>
      <c r="AR2142" t="s">
        <v>83</v>
      </c>
      <c r="AT2142" t="s">
        <v>52</v>
      </c>
      <c r="AU2142">
        <v>20000</v>
      </c>
      <c r="AW2142">
        <v>45334</v>
      </c>
      <c r="AX2142" t="s">
        <v>1013</v>
      </c>
      <c r="AY2142">
        <v>0</v>
      </c>
      <c r="AZ2142">
        <v>0</v>
      </c>
      <c r="BA2142">
        <v>75708.664332503395</v>
      </c>
      <c r="BB2142">
        <v>469.7</v>
      </c>
      <c r="BC2142">
        <v>0</v>
      </c>
      <c r="BD2142">
        <v>0</v>
      </c>
      <c r="BE2142">
        <v>0</v>
      </c>
      <c r="BF2142">
        <v>907837.50324065099</v>
      </c>
      <c r="BG2142">
        <v>0</v>
      </c>
      <c r="BH2142">
        <v>0</v>
      </c>
      <c r="BI2142">
        <v>984015.86757315439</v>
      </c>
      <c r="BJ2142">
        <v>63548.625226845572</v>
      </c>
      <c r="BK2142">
        <v>1047564.4928</v>
      </c>
      <c r="BL2142" t="s">
        <v>242</v>
      </c>
      <c r="BM2142">
        <v>3</v>
      </c>
      <c r="BN2142">
        <v>55450</v>
      </c>
      <c r="BO2142">
        <v>0</v>
      </c>
      <c r="BP2142">
        <v>0</v>
      </c>
      <c r="BQ2142">
        <v>3346.1075731544279</v>
      </c>
      <c r="BR2142" t="s">
        <v>58</v>
      </c>
    </row>
    <row r="2143" spans="1:70" x14ac:dyDescent="0.3">
      <c r="A2143" t="s">
        <v>798</v>
      </c>
      <c r="B2143">
        <v>4302300007</v>
      </c>
      <c r="C2143">
        <v>901021083430</v>
      </c>
      <c r="D2143" t="s">
        <v>222</v>
      </c>
      <c r="E2143" t="s">
        <v>447</v>
      </c>
      <c r="F2143" t="s">
        <v>433</v>
      </c>
      <c r="G2143" t="s">
        <v>82</v>
      </c>
      <c r="H2143" t="s">
        <v>83</v>
      </c>
      <c r="J2143" t="s">
        <v>52</v>
      </c>
      <c r="K2143" s="15">
        <v>20000</v>
      </c>
      <c r="M2143">
        <v>45334</v>
      </c>
      <c r="N2143" t="s">
        <v>1013</v>
      </c>
      <c r="O2143">
        <v>0</v>
      </c>
      <c r="P2143">
        <v>0</v>
      </c>
      <c r="Q2143">
        <v>75708.664332503395</v>
      </c>
      <c r="R2143">
        <v>469.7</v>
      </c>
      <c r="S2143">
        <v>0</v>
      </c>
      <c r="T2143">
        <v>0</v>
      </c>
      <c r="U2143">
        <v>0</v>
      </c>
      <c r="V2143">
        <v>907837.50324065099</v>
      </c>
      <c r="W2143">
        <v>0</v>
      </c>
      <c r="X2143">
        <v>0</v>
      </c>
      <c r="Y2143">
        <v>984015.86757315439</v>
      </c>
      <c r="Z2143">
        <v>63548.625226845572</v>
      </c>
      <c r="AA2143">
        <v>1047564.4928</v>
      </c>
      <c r="AB2143" t="s">
        <v>242</v>
      </c>
      <c r="AC2143">
        <v>3</v>
      </c>
      <c r="AD2143">
        <v>55450</v>
      </c>
      <c r="AE2143">
        <v>0</v>
      </c>
      <c r="AF2143">
        <v>0</v>
      </c>
      <c r="AG2143">
        <v>3346.1075731544279</v>
      </c>
      <c r="AH2143" t="s">
        <v>58</v>
      </c>
      <c r="AK2143" t="s">
        <v>798</v>
      </c>
      <c r="AL2143">
        <v>4142301150</v>
      </c>
      <c r="AM2143">
        <v>10201701</v>
      </c>
      <c r="AN2143" t="s">
        <v>726</v>
      </c>
      <c r="AO2143" t="s">
        <v>445</v>
      </c>
      <c r="AP2143" t="s">
        <v>430</v>
      </c>
      <c r="AQ2143" t="s">
        <v>237</v>
      </c>
      <c r="AR2143" t="s">
        <v>234</v>
      </c>
      <c r="AT2143" t="s">
        <v>425</v>
      </c>
      <c r="AU2143">
        <v>70000</v>
      </c>
      <c r="AW2143">
        <v>45334</v>
      </c>
      <c r="AX2143" t="s">
        <v>1023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216762.61682242993</v>
      </c>
      <c r="BI2143">
        <v>216762.61682242993</v>
      </c>
      <c r="BJ2143">
        <v>15173.383177570096</v>
      </c>
      <c r="BK2143">
        <v>231936.00000000003</v>
      </c>
      <c r="BL2143" t="s">
        <v>242</v>
      </c>
      <c r="BM2143">
        <v>0</v>
      </c>
      <c r="BN2143">
        <v>0</v>
      </c>
      <c r="BO2143">
        <v>0</v>
      </c>
      <c r="BP2143">
        <v>74900</v>
      </c>
      <c r="BQ2143">
        <v>4900</v>
      </c>
      <c r="BR2143" t="s">
        <v>72</v>
      </c>
    </row>
    <row r="2144" spans="1:70" x14ac:dyDescent="0.3">
      <c r="A2144" t="s">
        <v>798</v>
      </c>
      <c r="B2144">
        <v>32200116</v>
      </c>
      <c r="C2144">
        <v>29893893</v>
      </c>
      <c r="D2144" t="s">
        <v>119</v>
      </c>
      <c r="E2144" t="s">
        <v>438</v>
      </c>
      <c r="F2144" t="s">
        <v>429</v>
      </c>
      <c r="G2144" t="s">
        <v>82</v>
      </c>
      <c r="H2144" t="s">
        <v>82</v>
      </c>
      <c r="J2144" t="s">
        <v>52</v>
      </c>
      <c r="K2144" s="15">
        <v>1000</v>
      </c>
      <c r="M2144">
        <v>45335</v>
      </c>
      <c r="N2144" t="s">
        <v>1013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1885.1514200795491</v>
      </c>
      <c r="W2144">
        <v>0</v>
      </c>
      <c r="X2144">
        <v>0</v>
      </c>
      <c r="Y2144">
        <v>1885.1514200795491</v>
      </c>
      <c r="Z2144">
        <v>0</v>
      </c>
      <c r="AA2144">
        <v>1885.1514200795491</v>
      </c>
      <c r="AB2144" t="s">
        <v>242</v>
      </c>
      <c r="AC2144">
        <v>4</v>
      </c>
      <c r="AD2144">
        <v>6000</v>
      </c>
      <c r="AE2144">
        <v>0</v>
      </c>
      <c r="AF2144">
        <v>0</v>
      </c>
      <c r="AG2144">
        <v>0</v>
      </c>
      <c r="AH2144" t="s">
        <v>58</v>
      </c>
      <c r="AK2144" t="s">
        <v>798</v>
      </c>
      <c r="AL2144">
        <v>32200116</v>
      </c>
      <c r="AM2144">
        <v>29893893</v>
      </c>
      <c r="AN2144" t="s">
        <v>119</v>
      </c>
      <c r="AO2144" t="s">
        <v>438</v>
      </c>
      <c r="AP2144" t="s">
        <v>429</v>
      </c>
      <c r="AQ2144" t="s">
        <v>82</v>
      </c>
      <c r="AR2144" t="s">
        <v>82</v>
      </c>
      <c r="AT2144" t="s">
        <v>52</v>
      </c>
      <c r="AU2144">
        <v>1000</v>
      </c>
      <c r="AW2144">
        <v>45335</v>
      </c>
      <c r="AX2144" t="s">
        <v>1013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1885.1514200795491</v>
      </c>
      <c r="BG2144">
        <v>0</v>
      </c>
      <c r="BH2144">
        <v>0</v>
      </c>
      <c r="BI2144">
        <v>1885.1514200795491</v>
      </c>
      <c r="BJ2144">
        <v>0</v>
      </c>
      <c r="BK2144">
        <v>1885.1514200795491</v>
      </c>
      <c r="BL2144" t="s">
        <v>242</v>
      </c>
      <c r="BM2144">
        <v>4</v>
      </c>
      <c r="BN2144">
        <v>6000</v>
      </c>
      <c r="BO2144">
        <v>0</v>
      </c>
      <c r="BP2144">
        <v>0</v>
      </c>
      <c r="BQ2144">
        <v>0</v>
      </c>
      <c r="BR2144" t="s">
        <v>58</v>
      </c>
    </row>
    <row r="2145" spans="1:70" x14ac:dyDescent="0.3">
      <c r="A2145" t="s">
        <v>798</v>
      </c>
      <c r="B2145">
        <v>42200199</v>
      </c>
      <c r="C2145">
        <v>2758011774</v>
      </c>
      <c r="D2145" t="s">
        <v>986</v>
      </c>
      <c r="E2145" t="s">
        <v>439</v>
      </c>
      <c r="F2145" t="s">
        <v>430</v>
      </c>
      <c r="G2145" t="s">
        <v>232</v>
      </c>
      <c r="H2145" t="s">
        <v>71</v>
      </c>
      <c r="J2145" t="s">
        <v>52</v>
      </c>
      <c r="K2145" s="15">
        <v>1000</v>
      </c>
      <c r="M2145">
        <v>45335</v>
      </c>
      <c r="N2145" t="s">
        <v>1013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77801.345794392517</v>
      </c>
      <c r="Y2145">
        <v>77801.345794392517</v>
      </c>
      <c r="Z2145">
        <v>5446.0942056074764</v>
      </c>
      <c r="AA2145">
        <v>83247.439999999988</v>
      </c>
      <c r="AB2145" t="s">
        <v>242</v>
      </c>
      <c r="AC2145">
        <v>2</v>
      </c>
      <c r="AD2145">
        <v>3000</v>
      </c>
      <c r="AE2145">
        <v>0</v>
      </c>
      <c r="AF2145">
        <v>0</v>
      </c>
      <c r="AG2145">
        <v>196.26168224299067</v>
      </c>
      <c r="AH2145" t="s">
        <v>58</v>
      </c>
      <c r="AK2145" t="s">
        <v>798</v>
      </c>
      <c r="AL2145">
        <v>42200199</v>
      </c>
      <c r="AM2145">
        <v>2758011774</v>
      </c>
      <c r="AN2145" t="s">
        <v>986</v>
      </c>
      <c r="AO2145" t="s">
        <v>439</v>
      </c>
      <c r="AP2145" t="s">
        <v>430</v>
      </c>
      <c r="AQ2145" t="s">
        <v>232</v>
      </c>
      <c r="AR2145" t="s">
        <v>71</v>
      </c>
      <c r="AT2145" t="s">
        <v>52</v>
      </c>
      <c r="AU2145">
        <v>1000</v>
      </c>
      <c r="AW2145">
        <v>45335</v>
      </c>
      <c r="AX2145" t="s">
        <v>1013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77801.345794392517</v>
      </c>
      <c r="BI2145">
        <v>77801.345794392517</v>
      </c>
      <c r="BJ2145">
        <v>5446.0942056074764</v>
      </c>
      <c r="BK2145">
        <v>83247.439999999988</v>
      </c>
      <c r="BL2145" t="s">
        <v>242</v>
      </c>
      <c r="BM2145">
        <v>2</v>
      </c>
      <c r="BN2145">
        <v>3000</v>
      </c>
      <c r="BO2145">
        <v>0</v>
      </c>
      <c r="BP2145">
        <v>0</v>
      </c>
      <c r="BQ2145">
        <v>196.26168224299067</v>
      </c>
      <c r="BR2145" t="s">
        <v>58</v>
      </c>
    </row>
    <row r="2146" spans="1:70" x14ac:dyDescent="0.3">
      <c r="A2146" t="s">
        <v>798</v>
      </c>
      <c r="B2146">
        <v>52200494</v>
      </c>
      <c r="C2146">
        <v>6000920104</v>
      </c>
      <c r="D2146" t="s">
        <v>704</v>
      </c>
      <c r="E2146" t="s">
        <v>437</v>
      </c>
      <c r="F2146" t="s">
        <v>431</v>
      </c>
      <c r="G2146" t="s">
        <v>237</v>
      </c>
      <c r="H2146" t="s">
        <v>765</v>
      </c>
      <c r="J2146" t="s">
        <v>425</v>
      </c>
      <c r="K2146" s="15">
        <v>10000</v>
      </c>
      <c r="M2146">
        <v>45335</v>
      </c>
      <c r="N2146" t="s">
        <v>1023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22451.401869158879</v>
      </c>
      <c r="Y2146">
        <v>22451.401869158879</v>
      </c>
      <c r="Z2146">
        <v>0</v>
      </c>
      <c r="AA2146">
        <v>22451.401869158879</v>
      </c>
      <c r="AB2146" t="s">
        <v>242</v>
      </c>
      <c r="AC2146">
        <v>1</v>
      </c>
      <c r="AD2146">
        <v>10000</v>
      </c>
      <c r="AE2146">
        <v>0</v>
      </c>
      <c r="AF2146">
        <v>0</v>
      </c>
      <c r="AG2146">
        <v>0</v>
      </c>
      <c r="AH2146" t="s">
        <v>72</v>
      </c>
      <c r="AK2146" t="s">
        <v>798</v>
      </c>
      <c r="AL2146">
        <v>52201351</v>
      </c>
      <c r="AM2146">
        <v>22940816</v>
      </c>
      <c r="AN2146" t="s">
        <v>155</v>
      </c>
      <c r="AO2146" t="s">
        <v>438</v>
      </c>
      <c r="AP2146" t="s">
        <v>431</v>
      </c>
      <c r="AQ2146" t="s">
        <v>82</v>
      </c>
      <c r="AR2146" t="s">
        <v>83</v>
      </c>
      <c r="AT2146" t="s">
        <v>52</v>
      </c>
      <c r="AU2146">
        <v>500</v>
      </c>
      <c r="AW2146">
        <v>45335</v>
      </c>
      <c r="AX2146" t="s">
        <v>1013</v>
      </c>
      <c r="AY2146">
        <v>0</v>
      </c>
      <c r="AZ2146">
        <v>0</v>
      </c>
      <c r="BA2146">
        <v>0</v>
      </c>
      <c r="BB2146">
        <v>770.79624439429165</v>
      </c>
      <c r="BC2146">
        <v>17567.645422736612</v>
      </c>
      <c r="BD2146">
        <v>0</v>
      </c>
      <c r="BE2146">
        <v>0</v>
      </c>
      <c r="BF2146">
        <v>73829.741339665459</v>
      </c>
      <c r="BG2146">
        <v>0</v>
      </c>
      <c r="BH2146">
        <v>0</v>
      </c>
      <c r="BI2146">
        <v>92168.18300679636</v>
      </c>
      <c r="BJ2146">
        <v>6397.8170733681463</v>
      </c>
      <c r="BK2146">
        <v>98566.000080164507</v>
      </c>
      <c r="BL2146" t="s">
        <v>242</v>
      </c>
      <c r="BM2146">
        <v>19</v>
      </c>
      <c r="BN2146">
        <v>14300</v>
      </c>
      <c r="BO2146">
        <v>0</v>
      </c>
      <c r="BP2146">
        <v>0</v>
      </c>
      <c r="BQ2146">
        <v>927.65022159588841</v>
      </c>
      <c r="BR2146" t="s">
        <v>58</v>
      </c>
    </row>
    <row r="2147" spans="1:70" x14ac:dyDescent="0.3">
      <c r="A2147" t="s">
        <v>798</v>
      </c>
      <c r="B2147">
        <v>52201351</v>
      </c>
      <c r="C2147">
        <v>22940816</v>
      </c>
      <c r="D2147" t="s">
        <v>155</v>
      </c>
      <c r="E2147" t="s">
        <v>438</v>
      </c>
      <c r="F2147" t="s">
        <v>431</v>
      </c>
      <c r="G2147" t="s">
        <v>82</v>
      </c>
      <c r="H2147" t="s">
        <v>83</v>
      </c>
      <c r="J2147" t="s">
        <v>52</v>
      </c>
      <c r="K2147" s="15">
        <v>500</v>
      </c>
      <c r="M2147">
        <v>45335</v>
      </c>
      <c r="N2147" t="s">
        <v>1013</v>
      </c>
      <c r="O2147">
        <v>0</v>
      </c>
      <c r="P2147">
        <v>0</v>
      </c>
      <c r="Q2147">
        <v>0</v>
      </c>
      <c r="R2147">
        <v>770.79624439429165</v>
      </c>
      <c r="S2147">
        <v>17567.645422736612</v>
      </c>
      <c r="T2147">
        <v>0</v>
      </c>
      <c r="U2147">
        <v>0</v>
      </c>
      <c r="V2147">
        <v>73829.741339665459</v>
      </c>
      <c r="W2147">
        <v>0</v>
      </c>
      <c r="X2147">
        <v>0</v>
      </c>
      <c r="Y2147">
        <v>92168.18300679636</v>
      </c>
      <c r="Z2147">
        <v>6397.8170733681463</v>
      </c>
      <c r="AA2147">
        <v>98566.000080164507</v>
      </c>
      <c r="AB2147" t="s">
        <v>242</v>
      </c>
      <c r="AC2147">
        <v>19</v>
      </c>
      <c r="AD2147">
        <v>14300</v>
      </c>
      <c r="AE2147">
        <v>0</v>
      </c>
      <c r="AF2147">
        <v>0</v>
      </c>
      <c r="AG2147">
        <v>927.65022159588841</v>
      </c>
      <c r="AH2147" t="s">
        <v>58</v>
      </c>
      <c r="AK2147" t="s">
        <v>798</v>
      </c>
      <c r="AL2147">
        <v>52200494</v>
      </c>
      <c r="AM2147">
        <v>6000920104</v>
      </c>
      <c r="AN2147" t="s">
        <v>704</v>
      </c>
      <c r="AO2147" t="s">
        <v>437</v>
      </c>
      <c r="AP2147" t="s">
        <v>431</v>
      </c>
      <c r="AQ2147" t="s">
        <v>237</v>
      </c>
      <c r="AR2147" t="s">
        <v>765</v>
      </c>
      <c r="AT2147" t="s">
        <v>425</v>
      </c>
      <c r="AU2147">
        <v>10000</v>
      </c>
      <c r="AW2147">
        <v>45335</v>
      </c>
      <c r="AX2147" t="s">
        <v>1023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22451.401869158879</v>
      </c>
      <c r="BI2147">
        <v>22451.401869158879</v>
      </c>
      <c r="BJ2147">
        <v>0</v>
      </c>
      <c r="BK2147">
        <v>22451.401869158879</v>
      </c>
      <c r="BL2147" t="s">
        <v>242</v>
      </c>
      <c r="BM2147">
        <v>1</v>
      </c>
      <c r="BN2147">
        <v>10000</v>
      </c>
      <c r="BO2147">
        <v>0</v>
      </c>
      <c r="BP2147">
        <v>0</v>
      </c>
      <c r="BQ2147">
        <v>0</v>
      </c>
      <c r="BR2147" t="s">
        <v>72</v>
      </c>
    </row>
    <row r="2148" spans="1:70" x14ac:dyDescent="0.3">
      <c r="A2148" t="s">
        <v>798</v>
      </c>
      <c r="B2148">
        <v>22200050</v>
      </c>
      <c r="C2148">
        <v>20757954</v>
      </c>
      <c r="D2148" t="s">
        <v>120</v>
      </c>
      <c r="E2148" t="s">
        <v>435</v>
      </c>
      <c r="F2148" t="s">
        <v>428</v>
      </c>
      <c r="G2148" t="s">
        <v>82</v>
      </c>
      <c r="H2148" t="s">
        <v>82</v>
      </c>
      <c r="J2148" t="s">
        <v>52</v>
      </c>
      <c r="K2148" s="15">
        <v>500</v>
      </c>
      <c r="M2148">
        <v>45336</v>
      </c>
      <c r="N2148" t="s">
        <v>1013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12516.287969863013</v>
      </c>
      <c r="W2148">
        <v>0</v>
      </c>
      <c r="X2148">
        <v>0</v>
      </c>
      <c r="Y2148">
        <v>12516.287969863013</v>
      </c>
      <c r="Z2148">
        <v>0</v>
      </c>
      <c r="AA2148">
        <v>12516.287969863013</v>
      </c>
      <c r="AB2148" t="s">
        <v>242</v>
      </c>
      <c r="AC2148">
        <v>13</v>
      </c>
      <c r="AD2148">
        <v>7500</v>
      </c>
      <c r="AE2148">
        <v>0</v>
      </c>
      <c r="AF2148">
        <v>0</v>
      </c>
      <c r="AG2148">
        <v>0</v>
      </c>
      <c r="AH2148" t="s">
        <v>58</v>
      </c>
      <c r="AK2148" t="s">
        <v>798</v>
      </c>
      <c r="AL2148">
        <v>4132301694</v>
      </c>
      <c r="AM2148" t="s">
        <v>682</v>
      </c>
      <c r="AN2148" t="s">
        <v>978</v>
      </c>
      <c r="AO2148" t="s">
        <v>442</v>
      </c>
      <c r="AP2148" t="s">
        <v>430</v>
      </c>
      <c r="AQ2148" t="s">
        <v>230</v>
      </c>
      <c r="AR2148" t="s">
        <v>231</v>
      </c>
      <c r="AT2148" t="s">
        <v>52</v>
      </c>
      <c r="AU2148">
        <v>500</v>
      </c>
      <c r="AW2148">
        <v>45336</v>
      </c>
      <c r="AX2148" t="s">
        <v>1013</v>
      </c>
      <c r="AY2148">
        <v>0</v>
      </c>
      <c r="AZ2148">
        <v>11793.221280658963</v>
      </c>
      <c r="BA2148">
        <v>0</v>
      </c>
      <c r="BB2148">
        <v>0</v>
      </c>
      <c r="BC2148">
        <v>29168.45</v>
      </c>
      <c r="BD2148">
        <v>44015.681046113124</v>
      </c>
      <c r="BE2148">
        <v>67289.719626168226</v>
      </c>
      <c r="BF2148">
        <v>0</v>
      </c>
      <c r="BG2148">
        <v>271028.03738317755</v>
      </c>
      <c r="BH2148">
        <v>0</v>
      </c>
      <c r="BI2148">
        <v>423295.10933611786</v>
      </c>
      <c r="BJ2148">
        <v>26763.340663882125</v>
      </c>
      <c r="BK2148">
        <v>450058.45</v>
      </c>
      <c r="BL2148" t="s">
        <v>242</v>
      </c>
      <c r="BM2148">
        <v>2</v>
      </c>
      <c r="BN2148">
        <v>1000</v>
      </c>
      <c r="BO2148">
        <v>0</v>
      </c>
      <c r="BP2148">
        <v>0</v>
      </c>
      <c r="BQ2148">
        <v>59.089242659932268</v>
      </c>
      <c r="BR2148" t="s">
        <v>58</v>
      </c>
    </row>
    <row r="2149" spans="1:70" x14ac:dyDescent="0.3">
      <c r="A2149" t="s">
        <v>798</v>
      </c>
      <c r="B2149">
        <v>32200045</v>
      </c>
      <c r="C2149">
        <v>20758058</v>
      </c>
      <c r="D2149" t="s">
        <v>120</v>
      </c>
      <c r="E2149" t="s">
        <v>435</v>
      </c>
      <c r="F2149" t="s">
        <v>429</v>
      </c>
      <c r="G2149" t="s">
        <v>82</v>
      </c>
      <c r="H2149" t="s">
        <v>82</v>
      </c>
      <c r="J2149" t="s">
        <v>52</v>
      </c>
      <c r="K2149" s="15">
        <v>500</v>
      </c>
      <c r="M2149">
        <v>45336</v>
      </c>
      <c r="N2149" t="s">
        <v>1013</v>
      </c>
      <c r="O2149">
        <v>0</v>
      </c>
      <c r="P2149">
        <v>0</v>
      </c>
      <c r="Q2149">
        <v>0</v>
      </c>
      <c r="R2149">
        <v>0</v>
      </c>
      <c r="S2149">
        <v>1924.0488810958905</v>
      </c>
      <c r="T2149">
        <v>0</v>
      </c>
      <c r="U2149">
        <v>0</v>
      </c>
      <c r="V2149">
        <v>18314.54</v>
      </c>
      <c r="W2149">
        <v>0</v>
      </c>
      <c r="X2149">
        <v>0</v>
      </c>
      <c r="Y2149">
        <v>20238.588881095893</v>
      </c>
      <c r="Z2149">
        <v>0</v>
      </c>
      <c r="AA2149">
        <v>20238.588881095893</v>
      </c>
      <c r="AB2149" t="s">
        <v>242</v>
      </c>
      <c r="AC2149">
        <v>11</v>
      </c>
      <c r="AD2149">
        <v>5500</v>
      </c>
      <c r="AE2149">
        <v>0</v>
      </c>
      <c r="AF2149">
        <v>0</v>
      </c>
      <c r="AG2149">
        <v>0</v>
      </c>
      <c r="AH2149" t="s">
        <v>58</v>
      </c>
      <c r="AK2149" t="s">
        <v>798</v>
      </c>
      <c r="AL2149">
        <v>22200050</v>
      </c>
      <c r="AM2149">
        <v>20757954</v>
      </c>
      <c r="AN2149" t="s">
        <v>120</v>
      </c>
      <c r="AO2149" t="s">
        <v>435</v>
      </c>
      <c r="AP2149" t="s">
        <v>428</v>
      </c>
      <c r="AQ2149" t="s">
        <v>82</v>
      </c>
      <c r="AR2149" t="s">
        <v>82</v>
      </c>
      <c r="AT2149" t="s">
        <v>52</v>
      </c>
      <c r="AU2149">
        <v>500</v>
      </c>
      <c r="AW2149">
        <v>45336</v>
      </c>
      <c r="AX2149" t="s">
        <v>1013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12516.287969863013</v>
      </c>
      <c r="BG2149">
        <v>0</v>
      </c>
      <c r="BH2149">
        <v>0</v>
      </c>
      <c r="BI2149">
        <v>12516.287969863013</v>
      </c>
      <c r="BJ2149">
        <v>0</v>
      </c>
      <c r="BK2149">
        <v>12516.287969863013</v>
      </c>
      <c r="BL2149" t="s">
        <v>242</v>
      </c>
      <c r="BM2149">
        <v>13</v>
      </c>
      <c r="BN2149">
        <v>7500</v>
      </c>
      <c r="BO2149">
        <v>0</v>
      </c>
      <c r="BP2149">
        <v>0</v>
      </c>
      <c r="BQ2149">
        <v>0</v>
      </c>
      <c r="BR2149" t="s">
        <v>58</v>
      </c>
    </row>
    <row r="2150" spans="1:70" x14ac:dyDescent="0.3">
      <c r="A2150" t="s">
        <v>798</v>
      </c>
      <c r="B2150">
        <v>4132301694</v>
      </c>
      <c r="C2150" t="s">
        <v>682</v>
      </c>
      <c r="D2150" t="s">
        <v>978</v>
      </c>
      <c r="E2150" t="s">
        <v>442</v>
      </c>
      <c r="F2150" t="s">
        <v>430</v>
      </c>
      <c r="G2150" t="s">
        <v>230</v>
      </c>
      <c r="H2150" t="s">
        <v>231</v>
      </c>
      <c r="J2150" t="s">
        <v>52</v>
      </c>
      <c r="K2150" s="15">
        <v>500</v>
      </c>
      <c r="M2150">
        <v>45336</v>
      </c>
      <c r="N2150" t="s">
        <v>1013</v>
      </c>
      <c r="O2150">
        <v>0</v>
      </c>
      <c r="P2150">
        <v>11793.221280658963</v>
      </c>
      <c r="Q2150">
        <v>0</v>
      </c>
      <c r="R2150">
        <v>0</v>
      </c>
      <c r="S2150">
        <v>29168.45</v>
      </c>
      <c r="T2150">
        <v>44015.681046113124</v>
      </c>
      <c r="U2150">
        <v>67289.719626168226</v>
      </c>
      <c r="V2150">
        <v>0</v>
      </c>
      <c r="W2150">
        <v>271028.03738317755</v>
      </c>
      <c r="X2150">
        <v>0</v>
      </c>
      <c r="Y2150">
        <v>423295.10933611786</v>
      </c>
      <c r="Z2150">
        <v>26763.340663882125</v>
      </c>
      <c r="AA2150">
        <v>450058.45</v>
      </c>
      <c r="AB2150" t="s">
        <v>242</v>
      </c>
      <c r="AC2150">
        <v>2</v>
      </c>
      <c r="AD2150">
        <v>1000</v>
      </c>
      <c r="AE2150">
        <v>0</v>
      </c>
      <c r="AF2150">
        <v>0</v>
      </c>
      <c r="AG2150">
        <v>59.089242659932268</v>
      </c>
      <c r="AH2150" t="s">
        <v>58</v>
      </c>
      <c r="AK2150" t="s">
        <v>798</v>
      </c>
      <c r="AL2150">
        <v>32200045</v>
      </c>
      <c r="AM2150">
        <v>20758058</v>
      </c>
      <c r="AN2150" t="s">
        <v>120</v>
      </c>
      <c r="AO2150" t="s">
        <v>435</v>
      </c>
      <c r="AP2150" t="s">
        <v>429</v>
      </c>
      <c r="AQ2150" t="s">
        <v>82</v>
      </c>
      <c r="AR2150" t="s">
        <v>82</v>
      </c>
      <c r="AT2150" t="s">
        <v>52</v>
      </c>
      <c r="AU2150">
        <v>500</v>
      </c>
      <c r="AW2150">
        <v>45336</v>
      </c>
      <c r="AX2150" t="s">
        <v>1013</v>
      </c>
      <c r="AY2150">
        <v>0</v>
      </c>
      <c r="AZ2150">
        <v>0</v>
      </c>
      <c r="BA2150">
        <v>0</v>
      </c>
      <c r="BB2150">
        <v>0</v>
      </c>
      <c r="BC2150">
        <v>1924.0488810958905</v>
      </c>
      <c r="BD2150">
        <v>0</v>
      </c>
      <c r="BE2150">
        <v>0</v>
      </c>
      <c r="BF2150">
        <v>18314.54</v>
      </c>
      <c r="BG2150">
        <v>0</v>
      </c>
      <c r="BH2150">
        <v>0</v>
      </c>
      <c r="BI2150">
        <v>20238.588881095893</v>
      </c>
      <c r="BJ2150">
        <v>0</v>
      </c>
      <c r="BK2150">
        <v>20238.588881095893</v>
      </c>
      <c r="BL2150" t="s">
        <v>242</v>
      </c>
      <c r="BM2150">
        <v>11</v>
      </c>
      <c r="BN2150">
        <v>5500</v>
      </c>
      <c r="BO2150">
        <v>0</v>
      </c>
      <c r="BP2150">
        <v>0</v>
      </c>
      <c r="BQ2150">
        <v>0</v>
      </c>
      <c r="BR2150" t="s">
        <v>58</v>
      </c>
    </row>
    <row r="2151" spans="1:70" x14ac:dyDescent="0.3">
      <c r="A2151" t="s">
        <v>798</v>
      </c>
      <c r="B2151">
        <v>42200052</v>
      </c>
      <c r="C2151">
        <v>6001390216</v>
      </c>
      <c r="D2151" t="s">
        <v>121</v>
      </c>
      <c r="E2151" t="s">
        <v>437</v>
      </c>
      <c r="F2151" t="s">
        <v>430</v>
      </c>
      <c r="G2151" t="s">
        <v>230</v>
      </c>
      <c r="H2151" t="s">
        <v>231</v>
      </c>
      <c r="J2151" t="s">
        <v>52</v>
      </c>
      <c r="K2151" s="15">
        <v>3000</v>
      </c>
      <c r="M2151">
        <v>45337</v>
      </c>
      <c r="N2151" t="s">
        <v>1013</v>
      </c>
      <c r="O2151">
        <v>0</v>
      </c>
      <c r="P2151">
        <v>1699.6326030680671</v>
      </c>
      <c r="Q2151">
        <v>0</v>
      </c>
      <c r="R2151">
        <v>0</v>
      </c>
      <c r="S2151">
        <v>5574.6712328767117</v>
      </c>
      <c r="T2151">
        <v>748.00691302050336</v>
      </c>
      <c r="U2151">
        <v>14018.691588785046</v>
      </c>
      <c r="V2151">
        <v>0</v>
      </c>
      <c r="W2151">
        <v>135514.01869158878</v>
      </c>
      <c r="X2151">
        <v>0</v>
      </c>
      <c r="Y2151">
        <v>157555.02102933911</v>
      </c>
      <c r="Z2151">
        <v>10519.650203537603</v>
      </c>
      <c r="AA2151">
        <v>168074.67123287672</v>
      </c>
      <c r="AB2151" t="s">
        <v>242</v>
      </c>
      <c r="AC2151">
        <v>10</v>
      </c>
      <c r="AD2151">
        <v>28000</v>
      </c>
      <c r="AE2151">
        <v>0</v>
      </c>
      <c r="AF2151">
        <v>0</v>
      </c>
      <c r="AG2151">
        <v>1746.7049366493131</v>
      </c>
      <c r="AH2151" t="s">
        <v>58</v>
      </c>
      <c r="AK2151" t="s">
        <v>798</v>
      </c>
      <c r="AL2151">
        <v>42200052</v>
      </c>
      <c r="AM2151">
        <v>6001390216</v>
      </c>
      <c r="AN2151" t="s">
        <v>121</v>
      </c>
      <c r="AO2151" t="s">
        <v>437</v>
      </c>
      <c r="AP2151" t="s">
        <v>430</v>
      </c>
      <c r="AQ2151" t="s">
        <v>230</v>
      </c>
      <c r="AR2151" t="s">
        <v>231</v>
      </c>
      <c r="AT2151" t="s">
        <v>52</v>
      </c>
      <c r="AU2151">
        <v>3000</v>
      </c>
      <c r="AW2151">
        <v>45337</v>
      </c>
      <c r="AX2151" t="s">
        <v>1013</v>
      </c>
      <c r="AY2151">
        <v>0</v>
      </c>
      <c r="AZ2151">
        <v>1699.6326030680671</v>
      </c>
      <c r="BA2151">
        <v>0</v>
      </c>
      <c r="BB2151">
        <v>0</v>
      </c>
      <c r="BC2151">
        <v>5574.6712328767117</v>
      </c>
      <c r="BD2151">
        <v>748.00691302050336</v>
      </c>
      <c r="BE2151">
        <v>14018.691588785046</v>
      </c>
      <c r="BF2151">
        <v>0</v>
      </c>
      <c r="BG2151">
        <v>135514.01869158878</v>
      </c>
      <c r="BH2151">
        <v>0</v>
      </c>
      <c r="BI2151">
        <v>157555.02102933911</v>
      </c>
      <c r="BJ2151">
        <v>10519.650203537603</v>
      </c>
      <c r="BK2151">
        <v>168074.67123287672</v>
      </c>
      <c r="BL2151" t="s">
        <v>242</v>
      </c>
      <c r="BM2151">
        <v>10</v>
      </c>
      <c r="BN2151">
        <v>28000</v>
      </c>
      <c r="BO2151">
        <v>0</v>
      </c>
      <c r="BP2151">
        <v>0</v>
      </c>
      <c r="BQ2151">
        <v>1746.7049366493131</v>
      </c>
      <c r="BR2151" t="s">
        <v>58</v>
      </c>
    </row>
    <row r="2152" spans="1:70" x14ac:dyDescent="0.3">
      <c r="A2152" t="s">
        <v>798</v>
      </c>
      <c r="B2152">
        <v>52200044</v>
      </c>
      <c r="C2152">
        <v>24843920</v>
      </c>
      <c r="D2152" t="s">
        <v>383</v>
      </c>
      <c r="E2152" t="s">
        <v>435</v>
      </c>
      <c r="F2152" t="s">
        <v>431</v>
      </c>
      <c r="G2152" t="s">
        <v>235</v>
      </c>
      <c r="H2152" t="s">
        <v>236</v>
      </c>
      <c r="J2152" t="s">
        <v>52</v>
      </c>
      <c r="K2152" s="15">
        <v>2000</v>
      </c>
      <c r="M2152">
        <v>45337</v>
      </c>
      <c r="N2152" t="s">
        <v>1013</v>
      </c>
      <c r="O2152">
        <v>4276.701772555004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126803.08245555608</v>
      </c>
      <c r="W2152">
        <v>0</v>
      </c>
      <c r="X2152">
        <v>0</v>
      </c>
      <c r="Y2152">
        <v>131079.78422811109</v>
      </c>
      <c r="Z2152">
        <v>8876.2157718889266</v>
      </c>
      <c r="AA2152">
        <v>139956.00000000003</v>
      </c>
      <c r="AB2152" t="s">
        <v>242</v>
      </c>
      <c r="AC2152">
        <v>6</v>
      </c>
      <c r="AD2152">
        <v>24000</v>
      </c>
      <c r="AE2152">
        <v>0</v>
      </c>
      <c r="AF2152">
        <v>0</v>
      </c>
      <c r="AG2152">
        <v>1525.3753759893038</v>
      </c>
      <c r="AH2152" t="s">
        <v>58</v>
      </c>
      <c r="AK2152" t="s">
        <v>798</v>
      </c>
      <c r="AL2152">
        <v>52200044</v>
      </c>
      <c r="AM2152">
        <v>24843920</v>
      </c>
      <c r="AN2152" t="s">
        <v>383</v>
      </c>
      <c r="AO2152" t="s">
        <v>435</v>
      </c>
      <c r="AP2152" t="s">
        <v>431</v>
      </c>
      <c r="AQ2152" t="s">
        <v>235</v>
      </c>
      <c r="AR2152" t="s">
        <v>236</v>
      </c>
      <c r="AT2152" t="s">
        <v>52</v>
      </c>
      <c r="AU2152">
        <v>2000</v>
      </c>
      <c r="AW2152">
        <v>45337</v>
      </c>
      <c r="AX2152" t="s">
        <v>1013</v>
      </c>
      <c r="AY2152">
        <v>4276.701772555004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126803.08245555608</v>
      </c>
      <c r="BG2152">
        <v>0</v>
      </c>
      <c r="BH2152">
        <v>0</v>
      </c>
      <c r="BI2152">
        <v>131079.78422811109</v>
      </c>
      <c r="BJ2152">
        <v>8876.2157718889266</v>
      </c>
      <c r="BK2152">
        <v>139956.00000000003</v>
      </c>
      <c r="BL2152" t="s">
        <v>242</v>
      </c>
      <c r="BM2152">
        <v>6</v>
      </c>
      <c r="BN2152">
        <v>24000</v>
      </c>
      <c r="BO2152">
        <v>0</v>
      </c>
      <c r="BP2152">
        <v>0</v>
      </c>
      <c r="BQ2152">
        <v>1525.3753759893038</v>
      </c>
      <c r="BR2152" t="s">
        <v>58</v>
      </c>
    </row>
    <row r="2153" spans="1:70" x14ac:dyDescent="0.3">
      <c r="A2153" t="s">
        <v>798</v>
      </c>
      <c r="B2153">
        <v>82200023</v>
      </c>
      <c r="C2153">
        <v>901016007000</v>
      </c>
      <c r="D2153" t="s">
        <v>966</v>
      </c>
      <c r="E2153" t="s">
        <v>440</v>
      </c>
      <c r="F2153" t="s">
        <v>433</v>
      </c>
      <c r="G2153" t="s">
        <v>235</v>
      </c>
      <c r="H2153" t="s">
        <v>236</v>
      </c>
      <c r="J2153" t="s">
        <v>52</v>
      </c>
      <c r="K2153" s="15">
        <v>85000</v>
      </c>
      <c r="M2153">
        <v>45337</v>
      </c>
      <c r="N2153" t="s">
        <v>1013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2236575.308411215</v>
      </c>
      <c r="W2153">
        <v>0</v>
      </c>
      <c r="X2153">
        <v>0</v>
      </c>
      <c r="Y2153">
        <v>2236575.308411215</v>
      </c>
      <c r="Z2153">
        <v>156560.27158878505</v>
      </c>
      <c r="AA2153">
        <v>2393135.58</v>
      </c>
      <c r="AB2153" t="s">
        <v>242</v>
      </c>
      <c r="AC2153">
        <v>4</v>
      </c>
      <c r="AD2153">
        <v>245000</v>
      </c>
      <c r="AE2153">
        <v>0</v>
      </c>
      <c r="AF2153">
        <v>0</v>
      </c>
      <c r="AG2153">
        <v>14790.606382060501</v>
      </c>
      <c r="AH2153" t="s">
        <v>58</v>
      </c>
      <c r="AK2153" t="s">
        <v>798</v>
      </c>
      <c r="AL2153">
        <v>82200023</v>
      </c>
      <c r="AM2153">
        <v>901016007000</v>
      </c>
      <c r="AN2153" t="s">
        <v>966</v>
      </c>
      <c r="AO2153" t="s">
        <v>440</v>
      </c>
      <c r="AP2153" t="s">
        <v>433</v>
      </c>
      <c r="AQ2153" t="s">
        <v>235</v>
      </c>
      <c r="AR2153" t="s">
        <v>236</v>
      </c>
      <c r="AT2153" t="s">
        <v>52</v>
      </c>
      <c r="AU2153">
        <v>85000</v>
      </c>
      <c r="AW2153">
        <v>45337</v>
      </c>
      <c r="AX2153" t="s">
        <v>1013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2236575.308411215</v>
      </c>
      <c r="BG2153">
        <v>0</v>
      </c>
      <c r="BH2153">
        <v>0</v>
      </c>
      <c r="BI2153">
        <v>2236575.308411215</v>
      </c>
      <c r="BJ2153">
        <v>156560.27158878505</v>
      </c>
      <c r="BK2153">
        <v>2393135.58</v>
      </c>
      <c r="BL2153" t="s">
        <v>242</v>
      </c>
      <c r="BM2153">
        <v>4</v>
      </c>
      <c r="BN2153">
        <v>245000</v>
      </c>
      <c r="BO2153">
        <v>0</v>
      </c>
      <c r="BP2153">
        <v>0</v>
      </c>
      <c r="BQ2153">
        <v>14790.606382060501</v>
      </c>
      <c r="BR2153" t="s">
        <v>58</v>
      </c>
    </row>
    <row r="2154" spans="1:70" x14ac:dyDescent="0.3">
      <c r="A2154" t="s">
        <v>798</v>
      </c>
      <c r="B2154">
        <v>4142300178</v>
      </c>
      <c r="C2154">
        <v>10059928</v>
      </c>
      <c r="D2154" t="s">
        <v>191</v>
      </c>
      <c r="E2154" t="s">
        <v>445</v>
      </c>
      <c r="F2154" t="s">
        <v>430</v>
      </c>
      <c r="G2154" t="s">
        <v>237</v>
      </c>
      <c r="H2154" t="s">
        <v>234</v>
      </c>
      <c r="J2154" t="s">
        <v>450</v>
      </c>
      <c r="K2154" s="15">
        <v>35000</v>
      </c>
      <c r="M2154">
        <v>45337</v>
      </c>
      <c r="N2154" t="s">
        <v>1031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209403.71028037384</v>
      </c>
      <c r="Y2154">
        <v>209403.71028037384</v>
      </c>
      <c r="Z2154">
        <v>14658.25971962617</v>
      </c>
      <c r="AA2154">
        <v>224061.97</v>
      </c>
      <c r="AB2154" t="s">
        <v>242</v>
      </c>
      <c r="AC2154">
        <v>2</v>
      </c>
      <c r="AD2154">
        <v>20000</v>
      </c>
      <c r="AE2154">
        <v>0</v>
      </c>
      <c r="AF2154">
        <v>35000</v>
      </c>
      <c r="AG2154">
        <v>3598.1308411214959</v>
      </c>
      <c r="AH2154" t="s">
        <v>58</v>
      </c>
      <c r="AK2154" t="s">
        <v>798</v>
      </c>
      <c r="AL2154">
        <v>4142300178</v>
      </c>
      <c r="AM2154">
        <v>10059928</v>
      </c>
      <c r="AN2154" t="s">
        <v>191</v>
      </c>
      <c r="AO2154" t="s">
        <v>445</v>
      </c>
      <c r="AP2154" t="s">
        <v>430</v>
      </c>
      <c r="AQ2154" t="s">
        <v>237</v>
      </c>
      <c r="AR2154" t="s">
        <v>234</v>
      </c>
      <c r="AT2154" t="s">
        <v>450</v>
      </c>
      <c r="AU2154">
        <v>35000</v>
      </c>
      <c r="AW2154">
        <v>45337</v>
      </c>
      <c r="AX2154" t="s">
        <v>1031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209403.71028037384</v>
      </c>
      <c r="BI2154">
        <v>209403.71028037384</v>
      </c>
      <c r="BJ2154">
        <v>14658.25971962617</v>
      </c>
      <c r="BK2154">
        <v>224061.97</v>
      </c>
      <c r="BL2154" t="s">
        <v>242</v>
      </c>
      <c r="BM2154">
        <v>2</v>
      </c>
      <c r="BN2154">
        <v>20000</v>
      </c>
      <c r="BO2154">
        <v>0</v>
      </c>
      <c r="BP2154">
        <v>35000</v>
      </c>
      <c r="BQ2154">
        <v>3598.1308411214959</v>
      </c>
      <c r="BR2154" t="s">
        <v>58</v>
      </c>
    </row>
    <row r="2155" spans="1:70" x14ac:dyDescent="0.3">
      <c r="A2155" t="s">
        <v>798</v>
      </c>
      <c r="B2155">
        <v>42200737</v>
      </c>
      <c r="C2155">
        <v>2754011893</v>
      </c>
      <c r="D2155" t="s">
        <v>952</v>
      </c>
      <c r="E2155" t="s">
        <v>439</v>
      </c>
      <c r="F2155" t="s">
        <v>430</v>
      </c>
      <c r="G2155" t="s">
        <v>233</v>
      </c>
      <c r="H2155" t="s">
        <v>234</v>
      </c>
      <c r="J2155" t="s">
        <v>52</v>
      </c>
      <c r="K2155" s="15">
        <v>1000</v>
      </c>
      <c r="M2155">
        <v>45338</v>
      </c>
      <c r="N2155" t="s">
        <v>1013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570103.64485981269</v>
      </c>
      <c r="Y2155">
        <v>570103.64485981269</v>
      </c>
      <c r="Z2155">
        <v>39907.255140186891</v>
      </c>
      <c r="AA2155">
        <v>610010.89999999956</v>
      </c>
      <c r="AB2155" t="s">
        <v>242</v>
      </c>
      <c r="AC2155">
        <v>9</v>
      </c>
      <c r="AD2155">
        <v>9000</v>
      </c>
      <c r="AE2155">
        <v>0</v>
      </c>
      <c r="AF2155">
        <v>0</v>
      </c>
      <c r="AG2155">
        <v>588.78504672897202</v>
      </c>
      <c r="AH2155" t="s">
        <v>58</v>
      </c>
      <c r="AK2155" t="s">
        <v>798</v>
      </c>
      <c r="AL2155">
        <v>42200737</v>
      </c>
      <c r="AM2155">
        <v>2754011893</v>
      </c>
      <c r="AN2155" t="s">
        <v>952</v>
      </c>
      <c r="AO2155" t="s">
        <v>439</v>
      </c>
      <c r="AP2155" t="s">
        <v>430</v>
      </c>
      <c r="AQ2155" t="s">
        <v>233</v>
      </c>
      <c r="AR2155" t="s">
        <v>234</v>
      </c>
      <c r="AT2155" t="s">
        <v>52</v>
      </c>
      <c r="AU2155">
        <v>1000</v>
      </c>
      <c r="AW2155">
        <v>45338</v>
      </c>
      <c r="AX2155" t="s">
        <v>1013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570103.64485981269</v>
      </c>
      <c r="BI2155">
        <v>570103.64485981269</v>
      </c>
      <c r="BJ2155">
        <v>39907.255140186891</v>
      </c>
      <c r="BK2155">
        <v>610010.89999999956</v>
      </c>
      <c r="BL2155" t="s">
        <v>242</v>
      </c>
      <c r="BM2155">
        <v>9</v>
      </c>
      <c r="BN2155">
        <v>9000</v>
      </c>
      <c r="BO2155">
        <v>0</v>
      </c>
      <c r="BP2155">
        <v>0</v>
      </c>
      <c r="BQ2155">
        <v>588.78504672897202</v>
      </c>
      <c r="BR2155" t="s">
        <v>58</v>
      </c>
    </row>
    <row r="2156" spans="1:70" x14ac:dyDescent="0.3">
      <c r="A2156" t="s">
        <v>798</v>
      </c>
      <c r="B2156">
        <v>42200889</v>
      </c>
      <c r="C2156">
        <v>2754011907</v>
      </c>
      <c r="D2156" t="s">
        <v>952</v>
      </c>
      <c r="E2156" t="s">
        <v>439</v>
      </c>
      <c r="F2156" t="s">
        <v>430</v>
      </c>
      <c r="G2156" t="s">
        <v>233</v>
      </c>
      <c r="H2156" t="s">
        <v>234</v>
      </c>
      <c r="J2156" t="s">
        <v>52</v>
      </c>
      <c r="K2156" s="15">
        <v>1000</v>
      </c>
      <c r="M2156">
        <v>45338</v>
      </c>
      <c r="N2156" t="s">
        <v>1013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380131.7757009347</v>
      </c>
      <c r="Y2156">
        <v>380131.7757009347</v>
      </c>
      <c r="Z2156">
        <v>26609.22429906543</v>
      </c>
      <c r="AA2156">
        <v>406741.00000000012</v>
      </c>
      <c r="AB2156" t="s">
        <v>242</v>
      </c>
      <c r="AC2156">
        <v>7</v>
      </c>
      <c r="AD2156">
        <v>7000</v>
      </c>
      <c r="AE2156">
        <v>0</v>
      </c>
      <c r="AF2156">
        <v>0</v>
      </c>
      <c r="AG2156">
        <v>457.9439252336449</v>
      </c>
      <c r="AH2156" t="s">
        <v>58</v>
      </c>
      <c r="AK2156" t="s">
        <v>798</v>
      </c>
      <c r="AL2156">
        <v>42200889</v>
      </c>
      <c r="AM2156">
        <v>2754011907</v>
      </c>
      <c r="AN2156" t="s">
        <v>952</v>
      </c>
      <c r="AO2156" t="s">
        <v>439</v>
      </c>
      <c r="AP2156" t="s">
        <v>430</v>
      </c>
      <c r="AQ2156" t="s">
        <v>233</v>
      </c>
      <c r="AR2156" t="s">
        <v>234</v>
      </c>
      <c r="AT2156" t="s">
        <v>52</v>
      </c>
      <c r="AU2156">
        <v>1000</v>
      </c>
      <c r="AW2156">
        <v>45338</v>
      </c>
      <c r="AX2156" t="s">
        <v>1013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380131.7757009347</v>
      </c>
      <c r="BI2156">
        <v>380131.7757009347</v>
      </c>
      <c r="BJ2156">
        <v>26609.22429906543</v>
      </c>
      <c r="BK2156">
        <v>406741.00000000012</v>
      </c>
      <c r="BL2156" t="s">
        <v>242</v>
      </c>
      <c r="BM2156">
        <v>7</v>
      </c>
      <c r="BN2156">
        <v>7000</v>
      </c>
      <c r="BO2156">
        <v>0</v>
      </c>
      <c r="BP2156">
        <v>0</v>
      </c>
      <c r="BQ2156">
        <v>457.9439252336449</v>
      </c>
      <c r="BR2156" t="s">
        <v>58</v>
      </c>
    </row>
    <row r="2157" spans="1:70" x14ac:dyDescent="0.3">
      <c r="A2157" t="s">
        <v>798</v>
      </c>
      <c r="B2157">
        <v>52200878</v>
      </c>
      <c r="C2157">
        <v>29429996</v>
      </c>
      <c r="D2157" t="s">
        <v>727</v>
      </c>
      <c r="E2157" t="s">
        <v>438</v>
      </c>
      <c r="F2157" t="s">
        <v>431</v>
      </c>
      <c r="G2157" t="s">
        <v>235</v>
      </c>
      <c r="H2157" t="s">
        <v>236</v>
      </c>
      <c r="J2157" t="s">
        <v>52</v>
      </c>
      <c r="K2157" s="15">
        <v>3000</v>
      </c>
      <c r="M2157">
        <v>45338</v>
      </c>
      <c r="N2157" t="s">
        <v>1013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161757.94392523365</v>
      </c>
      <c r="W2157">
        <v>0</v>
      </c>
      <c r="X2157">
        <v>0</v>
      </c>
      <c r="Y2157">
        <v>161757.94392523365</v>
      </c>
      <c r="Z2157">
        <v>11323.056074766357</v>
      </c>
      <c r="AA2157">
        <v>173081</v>
      </c>
      <c r="AB2157" t="s">
        <v>242</v>
      </c>
      <c r="AC2157">
        <v>1</v>
      </c>
      <c r="AD2157">
        <v>3000</v>
      </c>
      <c r="AE2157">
        <v>0</v>
      </c>
      <c r="AF2157">
        <v>0</v>
      </c>
      <c r="AG2157">
        <v>196.2616822429909</v>
      </c>
      <c r="AH2157" t="s">
        <v>58</v>
      </c>
      <c r="AK2157" t="s">
        <v>798</v>
      </c>
      <c r="AL2157">
        <v>52200878</v>
      </c>
      <c r="AM2157">
        <v>29429996</v>
      </c>
      <c r="AN2157" t="s">
        <v>727</v>
      </c>
      <c r="AO2157" t="s">
        <v>438</v>
      </c>
      <c r="AP2157" t="s">
        <v>431</v>
      </c>
      <c r="AQ2157" t="s">
        <v>235</v>
      </c>
      <c r="AR2157" t="s">
        <v>236</v>
      </c>
      <c r="AT2157" t="s">
        <v>52</v>
      </c>
      <c r="AU2157">
        <v>3000</v>
      </c>
      <c r="AW2157">
        <v>45338</v>
      </c>
      <c r="AX2157" t="s">
        <v>1013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161757.94392523365</v>
      </c>
      <c r="BG2157">
        <v>0</v>
      </c>
      <c r="BH2157">
        <v>0</v>
      </c>
      <c r="BI2157">
        <v>161757.94392523365</v>
      </c>
      <c r="BJ2157">
        <v>11323.056074766357</v>
      </c>
      <c r="BK2157">
        <v>173081</v>
      </c>
      <c r="BL2157" t="s">
        <v>242</v>
      </c>
      <c r="BM2157">
        <v>1</v>
      </c>
      <c r="BN2157">
        <v>3000</v>
      </c>
      <c r="BO2157">
        <v>0</v>
      </c>
      <c r="BP2157">
        <v>0</v>
      </c>
      <c r="BQ2157">
        <v>196.2616822429909</v>
      </c>
      <c r="BR2157" t="s">
        <v>58</v>
      </c>
    </row>
    <row r="2158" spans="1:70" x14ac:dyDescent="0.3">
      <c r="A2158" t="s">
        <v>798</v>
      </c>
      <c r="B2158">
        <v>52201005</v>
      </c>
      <c r="C2158">
        <v>28911014</v>
      </c>
      <c r="D2158" t="s">
        <v>734</v>
      </c>
      <c r="E2158" t="s">
        <v>438</v>
      </c>
      <c r="F2158" t="s">
        <v>431</v>
      </c>
      <c r="G2158" t="s">
        <v>82</v>
      </c>
      <c r="H2158" t="s">
        <v>83</v>
      </c>
      <c r="J2158" t="s">
        <v>52</v>
      </c>
      <c r="K2158" s="15">
        <v>4000</v>
      </c>
      <c r="M2158">
        <v>45338</v>
      </c>
      <c r="N2158" t="s">
        <v>1013</v>
      </c>
      <c r="O2158">
        <v>0</v>
      </c>
      <c r="P2158">
        <v>0</v>
      </c>
      <c r="Q2158">
        <v>0</v>
      </c>
      <c r="R2158">
        <v>1083.4029374204333</v>
      </c>
      <c r="S2158">
        <v>23743.848560397462</v>
      </c>
      <c r="T2158">
        <v>0</v>
      </c>
      <c r="U2158">
        <v>0</v>
      </c>
      <c r="V2158">
        <v>54805.307799075097</v>
      </c>
      <c r="W2158">
        <v>0</v>
      </c>
      <c r="X2158">
        <v>0</v>
      </c>
      <c r="Y2158">
        <v>79632.559296892985</v>
      </c>
      <c r="Z2158">
        <v>5498.44094516308</v>
      </c>
      <c r="AA2158">
        <v>85131.000242056063</v>
      </c>
      <c r="AB2158" t="s">
        <v>242</v>
      </c>
      <c r="AC2158">
        <v>1</v>
      </c>
      <c r="AD2158">
        <v>4000</v>
      </c>
      <c r="AE2158">
        <v>0</v>
      </c>
      <c r="AF2158">
        <v>0</v>
      </c>
      <c r="AG2158">
        <v>258.1104725415239</v>
      </c>
      <c r="AH2158" t="s">
        <v>72</v>
      </c>
      <c r="AK2158" t="s">
        <v>798</v>
      </c>
      <c r="AL2158">
        <v>4132301757</v>
      </c>
      <c r="AM2158" t="s">
        <v>687</v>
      </c>
      <c r="AN2158" t="s">
        <v>960</v>
      </c>
      <c r="AO2158" t="s">
        <v>442</v>
      </c>
      <c r="AP2158" t="s">
        <v>430</v>
      </c>
      <c r="AQ2158" t="s">
        <v>230</v>
      </c>
      <c r="AR2158" t="s">
        <v>231</v>
      </c>
      <c r="AT2158" t="s">
        <v>52</v>
      </c>
      <c r="AU2158">
        <v>2000</v>
      </c>
      <c r="AW2158">
        <v>45338</v>
      </c>
      <c r="AX2158" t="s">
        <v>1013</v>
      </c>
      <c r="AY2158">
        <v>0</v>
      </c>
      <c r="AZ2158">
        <v>22974.945950746976</v>
      </c>
      <c r="BA2158">
        <v>0</v>
      </c>
      <c r="BB2158">
        <v>0</v>
      </c>
      <c r="BC2158">
        <v>367687.74</v>
      </c>
      <c r="BD2158">
        <v>41777.620606778517</v>
      </c>
      <c r="BE2158">
        <v>69532.710280373838</v>
      </c>
      <c r="BF2158">
        <v>0</v>
      </c>
      <c r="BG2158">
        <v>598130.84112149535</v>
      </c>
      <c r="BH2158">
        <v>0</v>
      </c>
      <c r="BI2158">
        <v>1100103.8579593948</v>
      </c>
      <c r="BJ2158">
        <v>49660.882040605342</v>
      </c>
      <c r="BK2158">
        <v>1149764.7400000002</v>
      </c>
      <c r="BL2158" t="s">
        <v>242</v>
      </c>
      <c r="BM2158">
        <v>4</v>
      </c>
      <c r="BN2158">
        <v>10000</v>
      </c>
      <c r="BO2158">
        <v>0</v>
      </c>
      <c r="BP2158">
        <v>0</v>
      </c>
      <c r="BQ2158">
        <v>421.8282397684942</v>
      </c>
      <c r="BR2158" t="s">
        <v>58</v>
      </c>
    </row>
    <row r="2159" spans="1:70" x14ac:dyDescent="0.3">
      <c r="A2159" t="s">
        <v>798</v>
      </c>
      <c r="B2159">
        <v>52201005</v>
      </c>
      <c r="C2159">
        <v>28911014</v>
      </c>
      <c r="D2159" t="s">
        <v>734</v>
      </c>
      <c r="E2159" t="s">
        <v>438</v>
      </c>
      <c r="F2159" t="s">
        <v>431</v>
      </c>
      <c r="G2159" t="s">
        <v>82</v>
      </c>
      <c r="H2159" t="s">
        <v>83</v>
      </c>
      <c r="J2159" t="s">
        <v>52</v>
      </c>
      <c r="K2159" s="15">
        <v>1000</v>
      </c>
      <c r="M2159">
        <v>45338</v>
      </c>
      <c r="N2159" t="s">
        <v>1013</v>
      </c>
      <c r="O2159">
        <v>0</v>
      </c>
      <c r="P2159">
        <v>0</v>
      </c>
      <c r="Q2159">
        <v>0</v>
      </c>
      <c r="R2159">
        <v>1069.7979127045858</v>
      </c>
      <c r="S2159">
        <v>22821.984097515076</v>
      </c>
      <c r="T2159">
        <v>0</v>
      </c>
      <c r="U2159">
        <v>0</v>
      </c>
      <c r="V2159">
        <v>54805.307799075097</v>
      </c>
      <c r="W2159">
        <v>0</v>
      </c>
      <c r="X2159">
        <v>0</v>
      </c>
      <c r="Y2159">
        <v>78697.089809294761</v>
      </c>
      <c r="Z2159">
        <v>5433.9104327613131</v>
      </c>
      <c r="AA2159">
        <v>84131.000242056078</v>
      </c>
      <c r="AB2159" t="s">
        <v>242</v>
      </c>
      <c r="AC2159">
        <v>2</v>
      </c>
      <c r="AD2159">
        <v>5000</v>
      </c>
      <c r="AE2159">
        <v>0</v>
      </c>
      <c r="AF2159">
        <v>0</v>
      </c>
      <c r="AG2159">
        <v>322.64098494329085</v>
      </c>
      <c r="AH2159" t="s">
        <v>58</v>
      </c>
      <c r="AK2159" t="s">
        <v>798</v>
      </c>
      <c r="AL2159">
        <v>52201005</v>
      </c>
      <c r="AM2159">
        <v>28911014</v>
      </c>
      <c r="AN2159" t="s">
        <v>734</v>
      </c>
      <c r="AO2159" t="s">
        <v>438</v>
      </c>
      <c r="AP2159" t="s">
        <v>431</v>
      </c>
      <c r="AQ2159" t="s">
        <v>82</v>
      </c>
      <c r="AR2159" t="s">
        <v>83</v>
      </c>
      <c r="AT2159" t="s">
        <v>52</v>
      </c>
      <c r="AU2159">
        <v>4000</v>
      </c>
      <c r="AW2159">
        <v>45338</v>
      </c>
      <c r="AX2159" t="s">
        <v>1013</v>
      </c>
      <c r="AY2159">
        <v>0</v>
      </c>
      <c r="AZ2159">
        <v>0</v>
      </c>
      <c r="BA2159">
        <v>0</v>
      </c>
      <c r="BB2159">
        <v>1083.4029374204333</v>
      </c>
      <c r="BC2159">
        <v>23743.848560397462</v>
      </c>
      <c r="BD2159">
        <v>0</v>
      </c>
      <c r="BE2159">
        <v>0</v>
      </c>
      <c r="BF2159">
        <v>54805.307799075097</v>
      </c>
      <c r="BG2159">
        <v>0</v>
      </c>
      <c r="BH2159">
        <v>0</v>
      </c>
      <c r="BI2159">
        <v>79632.559296892985</v>
      </c>
      <c r="BJ2159">
        <v>5498.44094516308</v>
      </c>
      <c r="BK2159">
        <v>85131.000242056063</v>
      </c>
      <c r="BL2159" t="s">
        <v>242</v>
      </c>
      <c r="BM2159">
        <v>1</v>
      </c>
      <c r="BN2159">
        <v>4000</v>
      </c>
      <c r="BO2159">
        <v>0</v>
      </c>
      <c r="BP2159">
        <v>0</v>
      </c>
      <c r="BQ2159">
        <v>258.1104725415239</v>
      </c>
      <c r="BR2159" t="s">
        <v>72</v>
      </c>
    </row>
    <row r="2160" spans="1:70" x14ac:dyDescent="0.3">
      <c r="A2160" t="s">
        <v>798</v>
      </c>
      <c r="B2160">
        <v>52201220</v>
      </c>
      <c r="C2160">
        <v>25378599</v>
      </c>
      <c r="D2160" t="s">
        <v>150</v>
      </c>
      <c r="E2160" t="s">
        <v>438</v>
      </c>
      <c r="F2160" t="s">
        <v>431</v>
      </c>
      <c r="G2160" t="s">
        <v>82</v>
      </c>
      <c r="H2160" t="s">
        <v>83</v>
      </c>
      <c r="J2160" t="s">
        <v>52</v>
      </c>
      <c r="K2160" s="15">
        <v>1000</v>
      </c>
      <c r="M2160">
        <v>45338</v>
      </c>
      <c r="N2160" t="s">
        <v>1013</v>
      </c>
      <c r="O2160">
        <v>0</v>
      </c>
      <c r="P2160">
        <v>0</v>
      </c>
      <c r="Q2160">
        <v>0</v>
      </c>
      <c r="R2160">
        <v>659.69718207863605</v>
      </c>
      <c r="S2160">
        <v>9980.9672653370271</v>
      </c>
      <c r="T2160">
        <v>0</v>
      </c>
      <c r="U2160">
        <v>0</v>
      </c>
      <c r="V2160">
        <v>79718.38097920474</v>
      </c>
      <c r="W2160">
        <v>0</v>
      </c>
      <c r="X2160">
        <v>0</v>
      </c>
      <c r="Y2160">
        <v>90359.045426620403</v>
      </c>
      <c r="Z2160">
        <v>6278.9543771179242</v>
      </c>
      <c r="AA2160">
        <v>96637.999803738334</v>
      </c>
      <c r="AB2160" t="s">
        <v>242</v>
      </c>
      <c r="AC2160">
        <v>12</v>
      </c>
      <c r="AD2160">
        <v>18000</v>
      </c>
      <c r="AE2160">
        <v>0</v>
      </c>
      <c r="AF2160">
        <v>0</v>
      </c>
      <c r="AG2160">
        <v>1168.9147689210324</v>
      </c>
      <c r="AH2160" t="s">
        <v>58</v>
      </c>
      <c r="AK2160" t="s">
        <v>798</v>
      </c>
      <c r="AL2160">
        <v>52201005</v>
      </c>
      <c r="AM2160">
        <v>28911014</v>
      </c>
      <c r="AN2160" t="s">
        <v>734</v>
      </c>
      <c r="AO2160" t="s">
        <v>438</v>
      </c>
      <c r="AP2160" t="s">
        <v>431</v>
      </c>
      <c r="AQ2160" t="s">
        <v>82</v>
      </c>
      <c r="AR2160" t="s">
        <v>83</v>
      </c>
      <c r="AT2160" t="s">
        <v>52</v>
      </c>
      <c r="AU2160">
        <v>1000</v>
      </c>
      <c r="AW2160">
        <v>45338</v>
      </c>
      <c r="AX2160" t="s">
        <v>1013</v>
      </c>
      <c r="AY2160">
        <v>0</v>
      </c>
      <c r="AZ2160">
        <v>0</v>
      </c>
      <c r="BA2160">
        <v>0</v>
      </c>
      <c r="BB2160">
        <v>1069.7979127045858</v>
      </c>
      <c r="BC2160">
        <v>22821.984097515076</v>
      </c>
      <c r="BD2160">
        <v>0</v>
      </c>
      <c r="BE2160">
        <v>0</v>
      </c>
      <c r="BF2160">
        <v>54805.307799075097</v>
      </c>
      <c r="BG2160">
        <v>0</v>
      </c>
      <c r="BH2160">
        <v>0</v>
      </c>
      <c r="BI2160">
        <v>78697.089809294761</v>
      </c>
      <c r="BJ2160">
        <v>5433.9104327613131</v>
      </c>
      <c r="BK2160">
        <v>84131.000242056078</v>
      </c>
      <c r="BL2160" t="s">
        <v>242</v>
      </c>
      <c r="BM2160">
        <v>2</v>
      </c>
      <c r="BN2160">
        <v>5000</v>
      </c>
      <c r="BO2160">
        <v>0</v>
      </c>
      <c r="BP2160">
        <v>0</v>
      </c>
      <c r="BQ2160">
        <v>322.64098494329085</v>
      </c>
      <c r="BR2160" t="s">
        <v>58</v>
      </c>
    </row>
    <row r="2161" spans="1:70" x14ac:dyDescent="0.3">
      <c r="A2161" t="s">
        <v>798</v>
      </c>
      <c r="B2161">
        <v>52201830</v>
      </c>
      <c r="C2161">
        <v>25560817</v>
      </c>
      <c r="D2161" t="s">
        <v>167</v>
      </c>
      <c r="E2161" t="s">
        <v>438</v>
      </c>
      <c r="F2161" t="s">
        <v>431</v>
      </c>
      <c r="G2161" t="s">
        <v>82</v>
      </c>
      <c r="H2161" t="s">
        <v>83</v>
      </c>
      <c r="J2161" t="s">
        <v>52</v>
      </c>
      <c r="K2161" s="15">
        <v>1750</v>
      </c>
      <c r="M2161">
        <v>45338</v>
      </c>
      <c r="N2161" t="s">
        <v>1013</v>
      </c>
      <c r="O2161">
        <v>0</v>
      </c>
      <c r="P2161">
        <v>0</v>
      </c>
      <c r="Q2161">
        <v>0</v>
      </c>
      <c r="R2161">
        <v>770.43820364121257</v>
      </c>
      <c r="S2161">
        <v>17474.121773467679</v>
      </c>
      <c r="T2161">
        <v>0</v>
      </c>
      <c r="U2161">
        <v>0</v>
      </c>
      <c r="V2161">
        <v>53474.06748157987</v>
      </c>
      <c r="W2161">
        <v>0</v>
      </c>
      <c r="X2161">
        <v>0</v>
      </c>
      <c r="Y2161">
        <v>71718.627458688759</v>
      </c>
      <c r="Z2161">
        <v>4966.3732478533284</v>
      </c>
      <c r="AA2161">
        <v>76685.000706542094</v>
      </c>
      <c r="AB2161" t="s">
        <v>242</v>
      </c>
      <c r="AC2161">
        <v>12</v>
      </c>
      <c r="AD2161">
        <v>20250</v>
      </c>
      <c r="AE2161">
        <v>0</v>
      </c>
      <c r="AF2161">
        <v>0</v>
      </c>
      <c r="AG2161">
        <v>1310.4024993036305</v>
      </c>
      <c r="AH2161" t="s">
        <v>58</v>
      </c>
      <c r="AK2161" t="s">
        <v>798</v>
      </c>
      <c r="AL2161">
        <v>52201220</v>
      </c>
      <c r="AM2161">
        <v>25378599</v>
      </c>
      <c r="AN2161" t="s">
        <v>150</v>
      </c>
      <c r="AO2161" t="s">
        <v>438</v>
      </c>
      <c r="AP2161" t="s">
        <v>431</v>
      </c>
      <c r="AQ2161" t="s">
        <v>82</v>
      </c>
      <c r="AR2161" t="s">
        <v>83</v>
      </c>
      <c r="AT2161" t="s">
        <v>52</v>
      </c>
      <c r="AU2161">
        <v>1000</v>
      </c>
      <c r="AW2161">
        <v>45338</v>
      </c>
      <c r="AX2161" t="s">
        <v>1013</v>
      </c>
      <c r="AY2161">
        <v>0</v>
      </c>
      <c r="AZ2161">
        <v>0</v>
      </c>
      <c r="BA2161">
        <v>0</v>
      </c>
      <c r="BB2161">
        <v>659.69718207863605</v>
      </c>
      <c r="BC2161">
        <v>9980.9672653370271</v>
      </c>
      <c r="BD2161">
        <v>0</v>
      </c>
      <c r="BE2161">
        <v>0</v>
      </c>
      <c r="BF2161">
        <v>79718.38097920474</v>
      </c>
      <c r="BG2161">
        <v>0</v>
      </c>
      <c r="BH2161">
        <v>0</v>
      </c>
      <c r="BI2161">
        <v>90359.045426620403</v>
      </c>
      <c r="BJ2161">
        <v>6278.9543771179242</v>
      </c>
      <c r="BK2161">
        <v>96637.999803738334</v>
      </c>
      <c r="BL2161" t="s">
        <v>242</v>
      </c>
      <c r="BM2161">
        <v>12</v>
      </c>
      <c r="BN2161">
        <v>18000</v>
      </c>
      <c r="BO2161">
        <v>0</v>
      </c>
      <c r="BP2161">
        <v>0</v>
      </c>
      <c r="BQ2161">
        <v>1168.9147689210324</v>
      </c>
      <c r="BR2161" t="s">
        <v>58</v>
      </c>
    </row>
    <row r="2162" spans="1:70" x14ac:dyDescent="0.3">
      <c r="A2162" t="s">
        <v>798</v>
      </c>
      <c r="B2162">
        <v>4132301757</v>
      </c>
      <c r="C2162" t="s">
        <v>687</v>
      </c>
      <c r="D2162" t="s">
        <v>960</v>
      </c>
      <c r="E2162" t="s">
        <v>442</v>
      </c>
      <c r="F2162" t="s">
        <v>430</v>
      </c>
      <c r="G2162" t="s">
        <v>230</v>
      </c>
      <c r="H2162" t="s">
        <v>231</v>
      </c>
      <c r="J2162" t="s">
        <v>52</v>
      </c>
      <c r="K2162" s="15">
        <v>2000</v>
      </c>
      <c r="M2162">
        <v>45338</v>
      </c>
      <c r="N2162" t="s">
        <v>1013</v>
      </c>
      <c r="O2162">
        <v>0</v>
      </c>
      <c r="P2162">
        <v>22974.945950746976</v>
      </c>
      <c r="Q2162">
        <v>0</v>
      </c>
      <c r="R2162">
        <v>0</v>
      </c>
      <c r="S2162">
        <v>367687.74</v>
      </c>
      <c r="T2162">
        <v>41777.620606778517</v>
      </c>
      <c r="U2162">
        <v>69532.710280373838</v>
      </c>
      <c r="V2162">
        <v>0</v>
      </c>
      <c r="W2162">
        <v>598130.84112149535</v>
      </c>
      <c r="X2162">
        <v>0</v>
      </c>
      <c r="Y2162">
        <v>1100103.8579593948</v>
      </c>
      <c r="Z2162">
        <v>49660.882040605342</v>
      </c>
      <c r="AA2162">
        <v>1149764.7400000002</v>
      </c>
      <c r="AB2162" t="s">
        <v>242</v>
      </c>
      <c r="AC2162">
        <v>4</v>
      </c>
      <c r="AD2162">
        <v>10000</v>
      </c>
      <c r="AE2162">
        <v>0</v>
      </c>
      <c r="AF2162">
        <v>0</v>
      </c>
      <c r="AG2162">
        <v>421.8282397684942</v>
      </c>
      <c r="AH2162" t="s">
        <v>58</v>
      </c>
      <c r="AK2162" t="s">
        <v>798</v>
      </c>
      <c r="AL2162">
        <v>52201830</v>
      </c>
      <c r="AM2162">
        <v>25560817</v>
      </c>
      <c r="AN2162" t="s">
        <v>167</v>
      </c>
      <c r="AO2162" t="s">
        <v>438</v>
      </c>
      <c r="AP2162" t="s">
        <v>431</v>
      </c>
      <c r="AQ2162" t="s">
        <v>82</v>
      </c>
      <c r="AR2162" t="s">
        <v>83</v>
      </c>
      <c r="AT2162" t="s">
        <v>52</v>
      </c>
      <c r="AU2162">
        <v>1750</v>
      </c>
      <c r="AW2162">
        <v>45338</v>
      </c>
      <c r="AX2162" t="s">
        <v>1013</v>
      </c>
      <c r="AY2162">
        <v>0</v>
      </c>
      <c r="AZ2162">
        <v>0</v>
      </c>
      <c r="BA2162">
        <v>0</v>
      </c>
      <c r="BB2162">
        <v>770.43820364121257</v>
      </c>
      <c r="BC2162">
        <v>17474.121773467679</v>
      </c>
      <c r="BD2162">
        <v>0</v>
      </c>
      <c r="BE2162">
        <v>0</v>
      </c>
      <c r="BF2162">
        <v>53474.06748157987</v>
      </c>
      <c r="BG2162">
        <v>0</v>
      </c>
      <c r="BH2162">
        <v>0</v>
      </c>
      <c r="BI2162">
        <v>71718.627458688759</v>
      </c>
      <c r="BJ2162">
        <v>4966.3732478533284</v>
      </c>
      <c r="BK2162">
        <v>76685.000706542094</v>
      </c>
      <c r="BL2162" t="s">
        <v>242</v>
      </c>
      <c r="BM2162">
        <v>12</v>
      </c>
      <c r="BN2162">
        <v>20250</v>
      </c>
      <c r="BO2162">
        <v>0</v>
      </c>
      <c r="BP2162">
        <v>0</v>
      </c>
      <c r="BQ2162">
        <v>1310.4024993036305</v>
      </c>
      <c r="BR2162" t="s">
        <v>58</v>
      </c>
    </row>
    <row r="2163" spans="1:70" x14ac:dyDescent="0.3">
      <c r="A2163" t="s">
        <v>798</v>
      </c>
      <c r="B2163">
        <v>4142300595</v>
      </c>
      <c r="C2163">
        <v>10259418</v>
      </c>
      <c r="D2163" t="s">
        <v>717</v>
      </c>
      <c r="E2163" t="s">
        <v>445</v>
      </c>
      <c r="F2163" t="s">
        <v>430</v>
      </c>
      <c r="G2163" t="s">
        <v>237</v>
      </c>
      <c r="H2163" t="s">
        <v>234</v>
      </c>
      <c r="J2163" t="s">
        <v>425</v>
      </c>
      <c r="K2163" s="15">
        <v>15000</v>
      </c>
      <c r="M2163">
        <v>45338</v>
      </c>
      <c r="N2163" t="s">
        <v>1023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129992.52336448597</v>
      </c>
      <c r="Y2163">
        <v>129992.52336448597</v>
      </c>
      <c r="Z2163">
        <v>9099.4766355140182</v>
      </c>
      <c r="AA2163">
        <v>139092</v>
      </c>
      <c r="AB2163" t="s">
        <v>242</v>
      </c>
      <c r="AC2163">
        <v>0</v>
      </c>
      <c r="AD2163">
        <v>0</v>
      </c>
      <c r="AE2163">
        <v>0</v>
      </c>
      <c r="AF2163">
        <v>16050</v>
      </c>
      <c r="AG2163">
        <v>1050</v>
      </c>
      <c r="AH2163" t="s">
        <v>72</v>
      </c>
      <c r="AK2163" t="s">
        <v>798</v>
      </c>
      <c r="AL2163">
        <v>4242300005</v>
      </c>
      <c r="AM2163">
        <v>123246</v>
      </c>
      <c r="AN2163" t="s">
        <v>939</v>
      </c>
      <c r="AO2163" t="s">
        <v>444</v>
      </c>
      <c r="AP2163" t="s">
        <v>431</v>
      </c>
      <c r="AQ2163" t="s">
        <v>237</v>
      </c>
      <c r="AR2163" t="s">
        <v>231</v>
      </c>
      <c r="AT2163" t="s">
        <v>52</v>
      </c>
      <c r="AU2163">
        <v>5000</v>
      </c>
      <c r="AW2163">
        <v>45338</v>
      </c>
      <c r="AX2163" t="s">
        <v>1013</v>
      </c>
      <c r="AY2163">
        <v>0</v>
      </c>
      <c r="AZ2163">
        <v>6361.7151292220715</v>
      </c>
      <c r="BA2163">
        <v>0</v>
      </c>
      <c r="BB2163">
        <v>0</v>
      </c>
      <c r="BC2163">
        <v>0</v>
      </c>
      <c r="BD2163">
        <v>0</v>
      </c>
      <c r="BE2163">
        <v>22093.415767082173</v>
      </c>
      <c r="BF2163">
        <v>0</v>
      </c>
      <c r="BG2163">
        <v>0</v>
      </c>
      <c r="BH2163">
        <v>0</v>
      </c>
      <c r="BI2163">
        <v>28455.130896304247</v>
      </c>
      <c r="BJ2163">
        <v>1546.5391036957524</v>
      </c>
      <c r="BK2163">
        <v>30001.67</v>
      </c>
      <c r="BL2163" t="s">
        <v>242</v>
      </c>
      <c r="BM2163">
        <v>6</v>
      </c>
      <c r="BN2163">
        <v>37200</v>
      </c>
      <c r="BO2163">
        <v>0</v>
      </c>
      <c r="BP2163">
        <v>0</v>
      </c>
      <c r="BQ2163">
        <v>1872.7757561173307</v>
      </c>
      <c r="BR2163" t="s">
        <v>58</v>
      </c>
    </row>
    <row r="2164" spans="1:70" x14ac:dyDescent="0.3">
      <c r="A2164" t="s">
        <v>798</v>
      </c>
      <c r="B2164">
        <v>4242300005</v>
      </c>
      <c r="C2164">
        <v>123246</v>
      </c>
      <c r="D2164" t="s">
        <v>939</v>
      </c>
      <c r="E2164" t="s">
        <v>444</v>
      </c>
      <c r="F2164" t="s">
        <v>431</v>
      </c>
      <c r="G2164" t="s">
        <v>237</v>
      </c>
      <c r="H2164" t="s">
        <v>231</v>
      </c>
      <c r="J2164" t="s">
        <v>52</v>
      </c>
      <c r="K2164" s="15">
        <v>5000</v>
      </c>
      <c r="M2164">
        <v>45338</v>
      </c>
      <c r="N2164" t="s">
        <v>1013</v>
      </c>
      <c r="O2164">
        <v>0</v>
      </c>
      <c r="P2164">
        <v>6361.7151292220715</v>
      </c>
      <c r="Q2164">
        <v>0</v>
      </c>
      <c r="R2164">
        <v>0</v>
      </c>
      <c r="S2164">
        <v>0</v>
      </c>
      <c r="T2164">
        <v>0</v>
      </c>
      <c r="U2164">
        <v>22093.415767082173</v>
      </c>
      <c r="V2164">
        <v>0</v>
      </c>
      <c r="W2164">
        <v>0</v>
      </c>
      <c r="X2164">
        <v>0</v>
      </c>
      <c r="Y2164">
        <v>28455.130896304247</v>
      </c>
      <c r="Z2164">
        <v>1546.5391036957524</v>
      </c>
      <c r="AA2164">
        <v>30001.67</v>
      </c>
      <c r="AB2164" t="s">
        <v>242</v>
      </c>
      <c r="AC2164">
        <v>6</v>
      </c>
      <c r="AD2164">
        <v>37200</v>
      </c>
      <c r="AE2164">
        <v>0</v>
      </c>
      <c r="AF2164">
        <v>0</v>
      </c>
      <c r="AG2164">
        <v>1872.7757561173307</v>
      </c>
      <c r="AH2164" t="s">
        <v>58</v>
      </c>
      <c r="AK2164" t="s">
        <v>798</v>
      </c>
      <c r="AL2164">
        <v>4142300595</v>
      </c>
      <c r="AM2164">
        <v>10259418</v>
      </c>
      <c r="AN2164" t="s">
        <v>717</v>
      </c>
      <c r="AO2164" t="s">
        <v>445</v>
      </c>
      <c r="AP2164" t="s">
        <v>430</v>
      </c>
      <c r="AQ2164" t="s">
        <v>237</v>
      </c>
      <c r="AR2164" t="s">
        <v>234</v>
      </c>
      <c r="AT2164" t="s">
        <v>425</v>
      </c>
      <c r="AU2164">
        <v>15000</v>
      </c>
      <c r="AW2164">
        <v>45338</v>
      </c>
      <c r="AX2164" t="s">
        <v>1023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129992.52336448597</v>
      </c>
      <c r="BI2164">
        <v>129992.52336448597</v>
      </c>
      <c r="BJ2164">
        <v>9099.4766355140182</v>
      </c>
      <c r="BK2164">
        <v>139092</v>
      </c>
      <c r="BL2164" t="s">
        <v>242</v>
      </c>
      <c r="BM2164">
        <v>0</v>
      </c>
      <c r="BN2164">
        <v>0</v>
      </c>
      <c r="BO2164">
        <v>0</v>
      </c>
      <c r="BP2164">
        <v>16050</v>
      </c>
      <c r="BQ2164">
        <v>1050</v>
      </c>
      <c r="BR2164" t="s">
        <v>72</v>
      </c>
    </row>
    <row r="2165" spans="1:70" x14ac:dyDescent="0.3">
      <c r="A2165" t="s">
        <v>798</v>
      </c>
      <c r="B2165">
        <v>52201039</v>
      </c>
      <c r="C2165">
        <v>29379502</v>
      </c>
      <c r="D2165" t="s">
        <v>146</v>
      </c>
      <c r="E2165" t="s">
        <v>438</v>
      </c>
      <c r="F2165" t="s">
        <v>431</v>
      </c>
      <c r="G2165" t="s">
        <v>82</v>
      </c>
      <c r="H2165" t="s">
        <v>83</v>
      </c>
      <c r="J2165" t="s">
        <v>52</v>
      </c>
      <c r="K2165" s="15">
        <v>1000</v>
      </c>
      <c r="M2165">
        <v>45339</v>
      </c>
      <c r="N2165" t="s">
        <v>1013</v>
      </c>
      <c r="O2165">
        <v>0</v>
      </c>
      <c r="P2165">
        <v>0</v>
      </c>
      <c r="Q2165">
        <v>0</v>
      </c>
      <c r="R2165">
        <v>777.56889746621812</v>
      </c>
      <c r="S2165">
        <v>9165.962202936249</v>
      </c>
      <c r="T2165">
        <v>0</v>
      </c>
      <c r="U2165">
        <v>0</v>
      </c>
      <c r="V2165">
        <v>49170.889355899591</v>
      </c>
      <c r="W2165">
        <v>0</v>
      </c>
      <c r="X2165">
        <v>0</v>
      </c>
      <c r="Y2165">
        <v>59114.420456302061</v>
      </c>
      <c r="Z2165">
        <v>4083.5796091185093</v>
      </c>
      <c r="AA2165">
        <v>63198.000065420572</v>
      </c>
      <c r="AB2165" t="s">
        <v>242</v>
      </c>
      <c r="AC2165">
        <v>8</v>
      </c>
      <c r="AD2165">
        <v>16000</v>
      </c>
      <c r="AE2165">
        <v>0</v>
      </c>
      <c r="AF2165">
        <v>0</v>
      </c>
      <c r="AG2165">
        <v>1032.8316101146127</v>
      </c>
      <c r="AH2165" t="s">
        <v>58</v>
      </c>
      <c r="AK2165" t="s">
        <v>798</v>
      </c>
      <c r="AL2165">
        <v>4132300425</v>
      </c>
      <c r="AM2165">
        <v>1011500206</v>
      </c>
      <c r="AN2165" t="s">
        <v>176</v>
      </c>
      <c r="AO2165" t="s">
        <v>441</v>
      </c>
      <c r="AP2165" t="s">
        <v>430</v>
      </c>
      <c r="AQ2165" t="s">
        <v>233</v>
      </c>
      <c r="AR2165" t="s">
        <v>231</v>
      </c>
      <c r="AT2165" t="s">
        <v>52</v>
      </c>
      <c r="AU2165">
        <v>3000</v>
      </c>
      <c r="AW2165">
        <v>45339</v>
      </c>
      <c r="AX2165" t="s">
        <v>1013</v>
      </c>
      <c r="AY2165">
        <v>0</v>
      </c>
      <c r="AZ2165">
        <v>2588.3395583586653</v>
      </c>
      <c r="BA2165">
        <v>0</v>
      </c>
      <c r="BB2165">
        <v>0</v>
      </c>
      <c r="BC2165">
        <v>58047.945205479453</v>
      </c>
      <c r="BD2165">
        <v>156765.10321648724</v>
      </c>
      <c r="BE2165">
        <v>0</v>
      </c>
      <c r="BF2165">
        <v>0</v>
      </c>
      <c r="BG2165">
        <v>0</v>
      </c>
      <c r="BH2165">
        <v>0</v>
      </c>
      <c r="BI2165">
        <v>217401.38798032538</v>
      </c>
      <c r="BJ2165">
        <v>10973.557225154109</v>
      </c>
      <c r="BK2165">
        <v>228374.94520547948</v>
      </c>
      <c r="BL2165" t="s">
        <v>242</v>
      </c>
      <c r="BM2165">
        <v>6</v>
      </c>
      <c r="BN2165">
        <v>18000</v>
      </c>
      <c r="BO2165">
        <v>0</v>
      </c>
      <c r="BP2165">
        <v>0</v>
      </c>
      <c r="BQ2165">
        <v>848.39604587393137</v>
      </c>
      <c r="BR2165" t="s">
        <v>58</v>
      </c>
    </row>
    <row r="2166" spans="1:70" x14ac:dyDescent="0.3">
      <c r="A2166" t="s">
        <v>798</v>
      </c>
      <c r="B2166">
        <v>4132300425</v>
      </c>
      <c r="C2166">
        <v>1011500206</v>
      </c>
      <c r="D2166" t="s">
        <v>176</v>
      </c>
      <c r="E2166" t="s">
        <v>441</v>
      </c>
      <c r="F2166" t="s">
        <v>430</v>
      </c>
      <c r="G2166" t="s">
        <v>233</v>
      </c>
      <c r="H2166" t="s">
        <v>231</v>
      </c>
      <c r="J2166" t="s">
        <v>52</v>
      </c>
      <c r="K2166" s="15">
        <v>3000</v>
      </c>
      <c r="M2166">
        <v>45339</v>
      </c>
      <c r="N2166" t="s">
        <v>1013</v>
      </c>
      <c r="O2166">
        <v>0</v>
      </c>
      <c r="P2166">
        <v>2588.3395583586653</v>
      </c>
      <c r="Q2166">
        <v>0</v>
      </c>
      <c r="R2166">
        <v>0</v>
      </c>
      <c r="S2166">
        <v>58047.945205479453</v>
      </c>
      <c r="T2166">
        <v>156765.10321648724</v>
      </c>
      <c r="U2166">
        <v>0</v>
      </c>
      <c r="V2166">
        <v>0</v>
      </c>
      <c r="W2166">
        <v>0</v>
      </c>
      <c r="X2166">
        <v>0</v>
      </c>
      <c r="Y2166">
        <v>217401.38798032538</v>
      </c>
      <c r="Z2166">
        <v>10973.557225154109</v>
      </c>
      <c r="AA2166">
        <v>228374.94520547948</v>
      </c>
      <c r="AB2166" t="s">
        <v>242</v>
      </c>
      <c r="AC2166">
        <v>6</v>
      </c>
      <c r="AD2166">
        <v>18000</v>
      </c>
      <c r="AE2166">
        <v>0</v>
      </c>
      <c r="AF2166">
        <v>0</v>
      </c>
      <c r="AG2166">
        <v>848.39604587393137</v>
      </c>
      <c r="AH2166" t="s">
        <v>58</v>
      </c>
      <c r="AK2166" t="s">
        <v>798</v>
      </c>
      <c r="AL2166">
        <v>4142300600</v>
      </c>
      <c r="AM2166">
        <v>10261717</v>
      </c>
      <c r="AN2166" t="s">
        <v>202</v>
      </c>
      <c r="AO2166" t="s">
        <v>445</v>
      </c>
      <c r="AP2166" t="s">
        <v>430</v>
      </c>
      <c r="AQ2166" t="s">
        <v>230</v>
      </c>
      <c r="AR2166" t="s">
        <v>234</v>
      </c>
      <c r="AT2166" t="s">
        <v>52</v>
      </c>
      <c r="AU2166">
        <v>10000</v>
      </c>
      <c r="AW2166">
        <v>45339</v>
      </c>
      <c r="AX2166" t="s">
        <v>1013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180031.49532710286</v>
      </c>
      <c r="BI2166">
        <v>180031.49532710286</v>
      </c>
      <c r="BJ2166">
        <v>12602.204672897202</v>
      </c>
      <c r="BK2166">
        <v>192633.70000000007</v>
      </c>
      <c r="BL2166" t="s">
        <v>242</v>
      </c>
      <c r="BM2166">
        <v>8</v>
      </c>
      <c r="BN2166">
        <v>170000</v>
      </c>
      <c r="BO2166">
        <v>0</v>
      </c>
      <c r="BP2166">
        <v>0</v>
      </c>
      <c r="BQ2166">
        <v>11121.495327102801</v>
      </c>
      <c r="BR2166" t="s">
        <v>58</v>
      </c>
    </row>
    <row r="2167" spans="1:70" x14ac:dyDescent="0.3">
      <c r="A2167" t="s">
        <v>798</v>
      </c>
      <c r="B2167">
        <v>4142300600</v>
      </c>
      <c r="C2167">
        <v>10261717</v>
      </c>
      <c r="D2167" t="s">
        <v>202</v>
      </c>
      <c r="E2167" t="s">
        <v>445</v>
      </c>
      <c r="F2167" t="s">
        <v>430</v>
      </c>
      <c r="G2167" t="s">
        <v>230</v>
      </c>
      <c r="H2167" t="s">
        <v>234</v>
      </c>
      <c r="J2167" t="s">
        <v>52</v>
      </c>
      <c r="K2167" s="15">
        <v>10000</v>
      </c>
      <c r="M2167">
        <v>45339</v>
      </c>
      <c r="N2167" t="s">
        <v>1013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180031.49532710286</v>
      </c>
      <c r="Y2167">
        <v>180031.49532710286</v>
      </c>
      <c r="Z2167">
        <v>12602.204672897202</v>
      </c>
      <c r="AA2167">
        <v>192633.70000000007</v>
      </c>
      <c r="AB2167" t="s">
        <v>242</v>
      </c>
      <c r="AC2167">
        <v>8</v>
      </c>
      <c r="AD2167">
        <v>170000</v>
      </c>
      <c r="AE2167">
        <v>0</v>
      </c>
      <c r="AF2167">
        <v>0</v>
      </c>
      <c r="AG2167">
        <v>11121.495327102801</v>
      </c>
      <c r="AH2167" t="s">
        <v>58</v>
      </c>
      <c r="AK2167" t="s">
        <v>798</v>
      </c>
      <c r="AL2167">
        <v>4142301190</v>
      </c>
      <c r="AM2167">
        <v>10076213</v>
      </c>
      <c r="AN2167" t="s">
        <v>748</v>
      </c>
      <c r="AO2167" t="s">
        <v>446</v>
      </c>
      <c r="AP2167" t="s">
        <v>430</v>
      </c>
      <c r="AQ2167" t="s">
        <v>230</v>
      </c>
      <c r="AR2167" t="s">
        <v>234</v>
      </c>
      <c r="AT2167" t="s">
        <v>52</v>
      </c>
      <c r="AU2167">
        <v>5000</v>
      </c>
      <c r="AW2167">
        <v>45339</v>
      </c>
      <c r="AX2167" t="s">
        <v>1013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104306.85485981309</v>
      </c>
      <c r="BI2167">
        <v>104306.85485981309</v>
      </c>
      <c r="BJ2167">
        <v>7301.4798401869166</v>
      </c>
      <c r="BK2167">
        <v>111608.33470000001</v>
      </c>
      <c r="BL2167" t="s">
        <v>242</v>
      </c>
      <c r="BM2167">
        <v>2</v>
      </c>
      <c r="BN2167">
        <v>16000</v>
      </c>
      <c r="BO2167">
        <v>0</v>
      </c>
      <c r="BP2167">
        <v>0</v>
      </c>
      <c r="BQ2167">
        <v>1046.728971962616</v>
      </c>
      <c r="BR2167" t="s">
        <v>58</v>
      </c>
    </row>
    <row r="2168" spans="1:70" x14ac:dyDescent="0.3">
      <c r="A2168" t="s">
        <v>798</v>
      </c>
      <c r="B2168">
        <v>4142301190</v>
      </c>
      <c r="C2168">
        <v>10076213</v>
      </c>
      <c r="D2168" t="s">
        <v>748</v>
      </c>
      <c r="E2168" t="s">
        <v>446</v>
      </c>
      <c r="F2168" t="s">
        <v>430</v>
      </c>
      <c r="G2168" t="s">
        <v>230</v>
      </c>
      <c r="H2168" t="s">
        <v>234</v>
      </c>
      <c r="J2168" t="s">
        <v>52</v>
      </c>
      <c r="K2168" s="15">
        <v>5000</v>
      </c>
      <c r="M2168">
        <v>45339</v>
      </c>
      <c r="N2168" t="s">
        <v>1013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104306.85485981309</v>
      </c>
      <c r="Y2168">
        <v>104306.85485981309</v>
      </c>
      <c r="Z2168">
        <v>7301.4798401869166</v>
      </c>
      <c r="AA2168">
        <v>111608.33470000001</v>
      </c>
      <c r="AB2168" t="s">
        <v>242</v>
      </c>
      <c r="AC2168">
        <v>2</v>
      </c>
      <c r="AD2168">
        <v>16000</v>
      </c>
      <c r="AE2168">
        <v>0</v>
      </c>
      <c r="AF2168">
        <v>0</v>
      </c>
      <c r="AG2168">
        <v>1046.728971962616</v>
      </c>
      <c r="AH2168" t="s">
        <v>58</v>
      </c>
      <c r="AK2168" t="s">
        <v>798</v>
      </c>
      <c r="AL2168">
        <v>52201039</v>
      </c>
      <c r="AM2168">
        <v>29379502</v>
      </c>
      <c r="AN2168" t="s">
        <v>146</v>
      </c>
      <c r="AO2168" t="s">
        <v>438</v>
      </c>
      <c r="AP2168" t="s">
        <v>431</v>
      </c>
      <c r="AQ2168" t="s">
        <v>82</v>
      </c>
      <c r="AR2168" t="s">
        <v>83</v>
      </c>
      <c r="AT2168" t="s">
        <v>52</v>
      </c>
      <c r="AU2168">
        <v>1000</v>
      </c>
      <c r="AW2168">
        <v>45339</v>
      </c>
      <c r="AX2168" t="s">
        <v>1013</v>
      </c>
      <c r="AY2168">
        <v>0</v>
      </c>
      <c r="AZ2168">
        <v>0</v>
      </c>
      <c r="BA2168">
        <v>0</v>
      </c>
      <c r="BB2168">
        <v>777.56889746621812</v>
      </c>
      <c r="BC2168">
        <v>9165.962202936249</v>
      </c>
      <c r="BD2168">
        <v>0</v>
      </c>
      <c r="BE2168">
        <v>0</v>
      </c>
      <c r="BF2168">
        <v>49170.889355899591</v>
      </c>
      <c r="BG2168">
        <v>0</v>
      </c>
      <c r="BH2168">
        <v>0</v>
      </c>
      <c r="BI2168">
        <v>59114.420456302061</v>
      </c>
      <c r="BJ2168">
        <v>4083.5796091185093</v>
      </c>
      <c r="BK2168">
        <v>63198.000065420572</v>
      </c>
      <c r="BL2168" t="s">
        <v>242</v>
      </c>
      <c r="BM2168">
        <v>8</v>
      </c>
      <c r="BN2168">
        <v>16000</v>
      </c>
      <c r="BO2168">
        <v>0</v>
      </c>
      <c r="BP2168">
        <v>0</v>
      </c>
      <c r="BQ2168">
        <v>1032.8316101146127</v>
      </c>
      <c r="BR2168" t="s">
        <v>58</v>
      </c>
    </row>
    <row r="2169" spans="1:70" x14ac:dyDescent="0.3">
      <c r="A2169" t="s">
        <v>798</v>
      </c>
      <c r="B2169">
        <v>52200531</v>
      </c>
      <c r="C2169">
        <v>6001350417</v>
      </c>
      <c r="D2169" t="s">
        <v>731</v>
      </c>
      <c r="E2169" t="s">
        <v>437</v>
      </c>
      <c r="F2169" t="s">
        <v>431</v>
      </c>
      <c r="G2169" t="s">
        <v>82</v>
      </c>
      <c r="H2169" t="s">
        <v>83</v>
      </c>
      <c r="J2169" t="s">
        <v>52</v>
      </c>
      <c r="K2169" s="15">
        <v>4663.67</v>
      </c>
      <c r="M2169">
        <v>45340</v>
      </c>
      <c r="N2169" t="s">
        <v>1017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 t="s">
        <v>242</v>
      </c>
      <c r="AC2169">
        <v>1</v>
      </c>
      <c r="AD2169">
        <v>4663.67</v>
      </c>
      <c r="AE2169">
        <v>0</v>
      </c>
      <c r="AF2169">
        <v>0</v>
      </c>
      <c r="AG2169">
        <v>305.09990654205649</v>
      </c>
      <c r="AH2169" t="s">
        <v>72</v>
      </c>
      <c r="AK2169" t="s">
        <v>798</v>
      </c>
      <c r="AL2169">
        <v>52200531</v>
      </c>
      <c r="AM2169">
        <v>6001350417</v>
      </c>
      <c r="AN2169" t="s">
        <v>731</v>
      </c>
      <c r="AO2169" t="s">
        <v>437</v>
      </c>
      <c r="AP2169" t="s">
        <v>431</v>
      </c>
      <c r="AQ2169" t="s">
        <v>417</v>
      </c>
      <c r="AR2169" t="s">
        <v>83</v>
      </c>
      <c r="AT2169" t="s">
        <v>52</v>
      </c>
      <c r="AU2169">
        <v>4663.67</v>
      </c>
      <c r="AW2169">
        <v>45340</v>
      </c>
      <c r="AX2169" t="s">
        <v>1017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0</v>
      </c>
      <c r="BJ2169">
        <v>0</v>
      </c>
      <c r="BK2169">
        <v>0</v>
      </c>
      <c r="BL2169" t="s">
        <v>242</v>
      </c>
      <c r="BM2169">
        <v>1</v>
      </c>
      <c r="BN2169">
        <v>4663.67</v>
      </c>
      <c r="BO2169">
        <v>0</v>
      </c>
      <c r="BP2169">
        <v>0</v>
      </c>
      <c r="BQ2169">
        <v>305.09990654205649</v>
      </c>
      <c r="BR2169" t="s">
        <v>72</v>
      </c>
    </row>
    <row r="2170" spans="1:70" x14ac:dyDescent="0.3">
      <c r="A2170" t="s">
        <v>798</v>
      </c>
      <c r="B2170">
        <v>52201351</v>
      </c>
      <c r="C2170">
        <v>22940816</v>
      </c>
      <c r="D2170" t="s">
        <v>155</v>
      </c>
      <c r="E2170" t="s">
        <v>438</v>
      </c>
      <c r="F2170" t="s">
        <v>431</v>
      </c>
      <c r="G2170" t="s">
        <v>82</v>
      </c>
      <c r="H2170" t="s">
        <v>83</v>
      </c>
      <c r="J2170" t="s">
        <v>52</v>
      </c>
      <c r="K2170" s="15">
        <v>500</v>
      </c>
      <c r="M2170">
        <v>45340</v>
      </c>
      <c r="N2170" t="s">
        <v>1013</v>
      </c>
      <c r="O2170">
        <v>0</v>
      </c>
      <c r="P2170">
        <v>0</v>
      </c>
      <c r="Q2170">
        <v>0</v>
      </c>
      <c r="R2170">
        <v>766.61477840869532</v>
      </c>
      <c r="S2170">
        <v>17104.263615246517</v>
      </c>
      <c r="T2170">
        <v>0</v>
      </c>
      <c r="U2170">
        <v>0</v>
      </c>
      <c r="V2170">
        <v>73829.741339665459</v>
      </c>
      <c r="W2170">
        <v>0</v>
      </c>
      <c r="X2170">
        <v>0</v>
      </c>
      <c r="Y2170">
        <v>91700.619733320666</v>
      </c>
      <c r="Z2170">
        <v>6365.3803468438391</v>
      </c>
      <c r="AA2170">
        <v>98066.000080164507</v>
      </c>
      <c r="AB2170" t="s">
        <v>242</v>
      </c>
      <c r="AC2170">
        <v>20</v>
      </c>
      <c r="AD2170">
        <v>14800</v>
      </c>
      <c r="AE2170">
        <v>0</v>
      </c>
      <c r="AF2170">
        <v>0</v>
      </c>
      <c r="AG2170">
        <v>960.08694812019519</v>
      </c>
      <c r="AH2170" t="s">
        <v>58</v>
      </c>
      <c r="AK2170" t="s">
        <v>798</v>
      </c>
      <c r="AL2170">
        <v>4142301025</v>
      </c>
      <c r="AM2170">
        <v>10501272</v>
      </c>
      <c r="AN2170" t="s">
        <v>215</v>
      </c>
      <c r="AO2170" t="s">
        <v>445</v>
      </c>
      <c r="AP2170" t="s">
        <v>430</v>
      </c>
      <c r="AQ2170" t="s">
        <v>230</v>
      </c>
      <c r="AR2170" t="s">
        <v>234</v>
      </c>
      <c r="AT2170" t="s">
        <v>52</v>
      </c>
      <c r="AU2170">
        <v>4000</v>
      </c>
      <c r="AW2170">
        <v>45340</v>
      </c>
      <c r="AX2170" t="s">
        <v>1013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546181.1495327102</v>
      </c>
      <c r="BI2170">
        <v>546181.1495327102</v>
      </c>
      <c r="BJ2170">
        <v>38232.68046728972</v>
      </c>
      <c r="BK2170">
        <v>584413.82999999996</v>
      </c>
      <c r="BL2170" t="s">
        <v>242</v>
      </c>
      <c r="BM2170">
        <v>6</v>
      </c>
      <c r="BN2170">
        <v>63500</v>
      </c>
      <c r="BO2170">
        <v>0</v>
      </c>
      <c r="BP2170">
        <v>0</v>
      </c>
      <c r="BQ2170">
        <v>4154.2056074766342</v>
      </c>
      <c r="BR2170" t="s">
        <v>58</v>
      </c>
    </row>
    <row r="2171" spans="1:70" x14ac:dyDescent="0.3">
      <c r="A2171" t="s">
        <v>798</v>
      </c>
      <c r="B2171">
        <v>4142301025</v>
      </c>
      <c r="C2171">
        <v>10501272</v>
      </c>
      <c r="D2171" t="s">
        <v>215</v>
      </c>
      <c r="E2171" t="s">
        <v>445</v>
      </c>
      <c r="F2171" t="s">
        <v>430</v>
      </c>
      <c r="G2171" t="s">
        <v>230</v>
      </c>
      <c r="H2171" t="s">
        <v>234</v>
      </c>
      <c r="J2171" t="s">
        <v>52</v>
      </c>
      <c r="K2171" s="15">
        <v>4000</v>
      </c>
      <c r="M2171">
        <v>45340</v>
      </c>
      <c r="N2171" t="s">
        <v>1013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546181.1495327102</v>
      </c>
      <c r="Y2171">
        <v>546181.1495327102</v>
      </c>
      <c r="Z2171">
        <v>38232.68046728972</v>
      </c>
      <c r="AA2171">
        <v>584413.82999999996</v>
      </c>
      <c r="AB2171" t="s">
        <v>242</v>
      </c>
      <c r="AC2171">
        <v>6</v>
      </c>
      <c r="AD2171">
        <v>63500</v>
      </c>
      <c r="AE2171">
        <v>0</v>
      </c>
      <c r="AF2171">
        <v>0</v>
      </c>
      <c r="AG2171">
        <v>4154.2056074766342</v>
      </c>
      <c r="AH2171" t="s">
        <v>58</v>
      </c>
      <c r="AK2171" t="s">
        <v>798</v>
      </c>
      <c r="AL2171">
        <v>52201351</v>
      </c>
      <c r="AM2171">
        <v>22940816</v>
      </c>
      <c r="AN2171" t="s">
        <v>155</v>
      </c>
      <c r="AO2171" t="s">
        <v>438</v>
      </c>
      <c r="AP2171" t="s">
        <v>431</v>
      </c>
      <c r="AQ2171" t="s">
        <v>82</v>
      </c>
      <c r="AR2171" t="s">
        <v>83</v>
      </c>
      <c r="AT2171" t="s">
        <v>52</v>
      </c>
      <c r="AU2171">
        <v>500</v>
      </c>
      <c r="AW2171">
        <v>45340</v>
      </c>
      <c r="AX2171" t="s">
        <v>1013</v>
      </c>
      <c r="AY2171">
        <v>0</v>
      </c>
      <c r="AZ2171">
        <v>0</v>
      </c>
      <c r="BA2171">
        <v>0</v>
      </c>
      <c r="BB2171">
        <v>766.61477840869532</v>
      </c>
      <c r="BC2171">
        <v>17104.263615246517</v>
      </c>
      <c r="BD2171">
        <v>0</v>
      </c>
      <c r="BE2171">
        <v>0</v>
      </c>
      <c r="BF2171">
        <v>73829.741339665459</v>
      </c>
      <c r="BG2171">
        <v>0</v>
      </c>
      <c r="BH2171">
        <v>0</v>
      </c>
      <c r="BI2171">
        <v>91700.619733320666</v>
      </c>
      <c r="BJ2171">
        <v>6365.3803468438391</v>
      </c>
      <c r="BK2171">
        <v>98066.000080164507</v>
      </c>
      <c r="BL2171" t="s">
        <v>242</v>
      </c>
      <c r="BM2171">
        <v>20</v>
      </c>
      <c r="BN2171">
        <v>14800</v>
      </c>
      <c r="BO2171">
        <v>0</v>
      </c>
      <c r="BP2171">
        <v>0</v>
      </c>
      <c r="BQ2171">
        <v>960.08694812019519</v>
      </c>
      <c r="BR2171" t="s">
        <v>58</v>
      </c>
    </row>
    <row r="2172" spans="1:70" x14ac:dyDescent="0.3">
      <c r="A2172" t="s">
        <v>798</v>
      </c>
      <c r="B2172">
        <v>12200171</v>
      </c>
      <c r="C2172">
        <v>25596188</v>
      </c>
      <c r="D2172" t="s">
        <v>117</v>
      </c>
      <c r="E2172" t="s">
        <v>438</v>
      </c>
      <c r="F2172" t="s">
        <v>427</v>
      </c>
      <c r="G2172" t="s">
        <v>82</v>
      </c>
      <c r="H2172" t="s">
        <v>82</v>
      </c>
      <c r="J2172" t="s">
        <v>52</v>
      </c>
      <c r="K2172" s="15">
        <v>500</v>
      </c>
      <c r="M2172">
        <v>45342</v>
      </c>
      <c r="N2172" t="s">
        <v>1013</v>
      </c>
      <c r="O2172">
        <v>0</v>
      </c>
      <c r="P2172">
        <v>0</v>
      </c>
      <c r="Q2172">
        <v>0</v>
      </c>
      <c r="R2172">
        <v>0</v>
      </c>
      <c r="S2172">
        <v>27244.933781943517</v>
      </c>
      <c r="T2172">
        <v>0</v>
      </c>
      <c r="U2172">
        <v>0</v>
      </c>
      <c r="V2172">
        <v>146895.79377429161</v>
      </c>
      <c r="W2172">
        <v>0</v>
      </c>
      <c r="X2172">
        <v>0</v>
      </c>
      <c r="Y2172">
        <v>174140.72755623513</v>
      </c>
      <c r="Z2172">
        <v>0</v>
      </c>
      <c r="AA2172">
        <v>174140.72755623513</v>
      </c>
      <c r="AB2172" t="s">
        <v>242</v>
      </c>
      <c r="AC2172">
        <v>7</v>
      </c>
      <c r="AD2172">
        <v>7800</v>
      </c>
      <c r="AE2172">
        <v>0</v>
      </c>
      <c r="AF2172">
        <v>0</v>
      </c>
      <c r="AG2172">
        <v>0</v>
      </c>
      <c r="AH2172" t="s">
        <v>58</v>
      </c>
      <c r="AK2172" t="s">
        <v>798</v>
      </c>
      <c r="AL2172">
        <v>4132301175</v>
      </c>
      <c r="AM2172">
        <v>9020057928</v>
      </c>
      <c r="AN2172" t="s">
        <v>699</v>
      </c>
      <c r="AO2172" t="s">
        <v>441</v>
      </c>
      <c r="AP2172" t="s">
        <v>430</v>
      </c>
      <c r="AQ2172" t="s">
        <v>237</v>
      </c>
      <c r="AR2172" t="s">
        <v>231</v>
      </c>
      <c r="AT2172" t="s">
        <v>416</v>
      </c>
      <c r="AU2172">
        <v>0.19639999999999999</v>
      </c>
      <c r="AW2172">
        <v>45342</v>
      </c>
      <c r="AX2172" t="s">
        <v>1016</v>
      </c>
      <c r="AY2172">
        <v>0</v>
      </c>
      <c r="AZ2172">
        <v>0</v>
      </c>
      <c r="BA2172">
        <v>0</v>
      </c>
      <c r="BB2172">
        <v>0</v>
      </c>
      <c r="BC2172">
        <v>4458.5055409866254</v>
      </c>
      <c r="BD2172">
        <v>0</v>
      </c>
      <c r="BE2172">
        <v>11987.168192395042</v>
      </c>
      <c r="BF2172">
        <v>0</v>
      </c>
      <c r="BG2172">
        <v>0</v>
      </c>
      <c r="BH2172">
        <v>0</v>
      </c>
      <c r="BI2172">
        <v>16445.673733381667</v>
      </c>
      <c r="BJ2172">
        <v>839.10177346765306</v>
      </c>
      <c r="BK2172">
        <v>17284.775506849321</v>
      </c>
      <c r="BL2172" t="s">
        <v>242</v>
      </c>
      <c r="BM2172">
        <v>1</v>
      </c>
      <c r="BN2172">
        <v>88000</v>
      </c>
      <c r="BO2172">
        <v>0</v>
      </c>
      <c r="BP2172">
        <v>0</v>
      </c>
      <c r="BQ2172">
        <v>3836.1954178040105</v>
      </c>
      <c r="BR2172" t="s">
        <v>58</v>
      </c>
    </row>
    <row r="2173" spans="1:70" x14ac:dyDescent="0.3">
      <c r="A2173" t="s">
        <v>798</v>
      </c>
      <c r="B2173">
        <v>52200151</v>
      </c>
      <c r="C2173">
        <v>25812951</v>
      </c>
      <c r="D2173" t="s">
        <v>604</v>
      </c>
      <c r="E2173" t="s">
        <v>436</v>
      </c>
      <c r="F2173" t="s">
        <v>431</v>
      </c>
      <c r="G2173" t="s">
        <v>230</v>
      </c>
      <c r="H2173" t="s">
        <v>231</v>
      </c>
      <c r="J2173" t="s">
        <v>672</v>
      </c>
      <c r="M2173">
        <v>45342</v>
      </c>
      <c r="N2173" t="s">
        <v>1024</v>
      </c>
      <c r="O2173">
        <v>3000</v>
      </c>
      <c r="P2173">
        <v>0</v>
      </c>
      <c r="Q2173">
        <v>0</v>
      </c>
      <c r="R2173">
        <v>0</v>
      </c>
      <c r="S2173">
        <v>0</v>
      </c>
      <c r="T2173">
        <v>28037.383177570093</v>
      </c>
      <c r="U2173">
        <v>0</v>
      </c>
      <c r="V2173">
        <v>0</v>
      </c>
      <c r="W2173">
        <v>80654.20560747663</v>
      </c>
      <c r="X2173">
        <v>0</v>
      </c>
      <c r="Y2173">
        <v>111691.58878504673</v>
      </c>
      <c r="Z2173">
        <v>7608.4112149532712</v>
      </c>
      <c r="AA2173">
        <v>119300</v>
      </c>
      <c r="AB2173" t="s">
        <v>242</v>
      </c>
      <c r="AC2173">
        <v>7</v>
      </c>
      <c r="AD2173">
        <v>17500</v>
      </c>
      <c r="AE2173">
        <v>0</v>
      </c>
      <c r="AF2173">
        <v>0</v>
      </c>
      <c r="AG2173">
        <v>1138.056221927148</v>
      </c>
      <c r="AH2173" t="s">
        <v>58</v>
      </c>
      <c r="AK2173" t="s">
        <v>798</v>
      </c>
      <c r="AL2173">
        <v>4132301175</v>
      </c>
      <c r="AM2173">
        <v>9020057928</v>
      </c>
      <c r="AN2173" t="s">
        <v>699</v>
      </c>
      <c r="AO2173" t="s">
        <v>441</v>
      </c>
      <c r="AP2173" t="s">
        <v>430</v>
      </c>
      <c r="AQ2173" t="s">
        <v>422</v>
      </c>
      <c r="AR2173" t="s">
        <v>231</v>
      </c>
      <c r="AT2173" t="s">
        <v>52</v>
      </c>
      <c r="AU2173">
        <v>88000</v>
      </c>
      <c r="AW2173">
        <v>45342</v>
      </c>
      <c r="AX2173" t="s">
        <v>1018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1.4724363077766611</v>
      </c>
      <c r="BJ2173">
        <v>0.10307054154436629</v>
      </c>
      <c r="BK2173">
        <v>1.5755068493210274</v>
      </c>
      <c r="BL2173" t="s">
        <v>242</v>
      </c>
      <c r="BM2173">
        <v>1</v>
      </c>
      <c r="BN2173">
        <v>88000</v>
      </c>
      <c r="BO2173">
        <v>0</v>
      </c>
      <c r="BP2173">
        <v>0</v>
      </c>
      <c r="BQ2173">
        <v>3836.1954178040105</v>
      </c>
      <c r="BR2173" t="s">
        <v>72</v>
      </c>
    </row>
    <row r="2174" spans="1:70" x14ac:dyDescent="0.3">
      <c r="A2174" t="s">
        <v>798</v>
      </c>
      <c r="B2174">
        <v>52201517</v>
      </c>
      <c r="C2174">
        <v>25191718</v>
      </c>
      <c r="D2174" t="s">
        <v>641</v>
      </c>
      <c r="E2174" t="s">
        <v>438</v>
      </c>
      <c r="F2174" t="s">
        <v>431</v>
      </c>
      <c r="G2174" t="s">
        <v>230</v>
      </c>
      <c r="H2174" t="s">
        <v>231</v>
      </c>
      <c r="J2174" t="s">
        <v>672</v>
      </c>
      <c r="M2174">
        <v>45342</v>
      </c>
      <c r="N2174" t="s">
        <v>1024</v>
      </c>
      <c r="O2174">
        <v>4962</v>
      </c>
      <c r="P2174">
        <v>0</v>
      </c>
      <c r="Q2174">
        <v>0</v>
      </c>
      <c r="R2174">
        <v>0</v>
      </c>
      <c r="S2174">
        <v>0</v>
      </c>
      <c r="T2174">
        <v>25700.934579439254</v>
      </c>
      <c r="U2174">
        <v>0</v>
      </c>
      <c r="V2174">
        <v>0</v>
      </c>
      <c r="W2174">
        <v>124578.50467289719</v>
      </c>
      <c r="X2174">
        <v>0</v>
      </c>
      <c r="Y2174">
        <v>155241.43925233645</v>
      </c>
      <c r="Z2174">
        <v>10519.560747663552</v>
      </c>
      <c r="AA2174">
        <v>165761</v>
      </c>
      <c r="AB2174" t="s">
        <v>242</v>
      </c>
      <c r="AC2174">
        <v>2</v>
      </c>
      <c r="AD2174">
        <v>2000</v>
      </c>
      <c r="AE2174">
        <v>0</v>
      </c>
      <c r="AF2174">
        <v>0</v>
      </c>
      <c r="AG2174">
        <v>130.16041455622963</v>
      </c>
      <c r="AH2174" t="s">
        <v>58</v>
      </c>
      <c r="AK2174" t="s">
        <v>798</v>
      </c>
      <c r="AL2174">
        <v>12200171</v>
      </c>
      <c r="AM2174">
        <v>25596188</v>
      </c>
      <c r="AN2174" t="s">
        <v>117</v>
      </c>
      <c r="AO2174" t="s">
        <v>438</v>
      </c>
      <c r="AP2174" t="s">
        <v>427</v>
      </c>
      <c r="AQ2174" t="s">
        <v>82</v>
      </c>
      <c r="AR2174" t="s">
        <v>82</v>
      </c>
      <c r="AT2174" t="s">
        <v>52</v>
      </c>
      <c r="AU2174">
        <v>500</v>
      </c>
      <c r="AW2174">
        <v>45342</v>
      </c>
      <c r="AX2174" t="s">
        <v>1013</v>
      </c>
      <c r="AY2174">
        <v>0</v>
      </c>
      <c r="AZ2174">
        <v>0</v>
      </c>
      <c r="BA2174">
        <v>0</v>
      </c>
      <c r="BB2174">
        <v>0</v>
      </c>
      <c r="BC2174">
        <v>27244.933781943517</v>
      </c>
      <c r="BD2174">
        <v>0</v>
      </c>
      <c r="BE2174">
        <v>0</v>
      </c>
      <c r="BF2174">
        <v>146895.79377429161</v>
      </c>
      <c r="BG2174">
        <v>0</v>
      </c>
      <c r="BH2174">
        <v>0</v>
      </c>
      <c r="BI2174">
        <v>174140.72755623513</v>
      </c>
      <c r="BJ2174">
        <v>0</v>
      </c>
      <c r="BK2174">
        <v>174140.72755623513</v>
      </c>
      <c r="BL2174" t="s">
        <v>242</v>
      </c>
      <c r="BM2174">
        <v>7</v>
      </c>
      <c r="BN2174">
        <v>7800</v>
      </c>
      <c r="BO2174">
        <v>0</v>
      </c>
      <c r="BP2174">
        <v>0</v>
      </c>
      <c r="BQ2174">
        <v>0</v>
      </c>
      <c r="BR2174" t="s">
        <v>58</v>
      </c>
    </row>
    <row r="2175" spans="1:70" x14ac:dyDescent="0.3">
      <c r="A2175" t="s">
        <v>798</v>
      </c>
      <c r="B2175">
        <v>4132301175</v>
      </c>
      <c r="C2175">
        <v>9020057928</v>
      </c>
      <c r="D2175" t="s">
        <v>699</v>
      </c>
      <c r="E2175" t="s">
        <v>441</v>
      </c>
      <c r="F2175" t="s">
        <v>430</v>
      </c>
      <c r="G2175" t="s">
        <v>237</v>
      </c>
      <c r="H2175" t="s">
        <v>231</v>
      </c>
      <c r="J2175" t="s">
        <v>52</v>
      </c>
      <c r="K2175" s="15">
        <v>88000</v>
      </c>
      <c r="M2175">
        <v>45342</v>
      </c>
      <c r="N2175" t="s">
        <v>1018</v>
      </c>
      <c r="O2175">
        <v>0</v>
      </c>
      <c r="P2175">
        <v>0</v>
      </c>
      <c r="Q2175">
        <v>0</v>
      </c>
      <c r="R2175">
        <v>0</v>
      </c>
      <c r="S2175">
        <v>5548.1651829101866</v>
      </c>
      <c r="T2175">
        <v>0</v>
      </c>
      <c r="U2175">
        <v>14916.834485309908</v>
      </c>
      <c r="V2175">
        <v>0</v>
      </c>
      <c r="W2175">
        <v>0</v>
      </c>
      <c r="X2175">
        <v>0</v>
      </c>
      <c r="Y2175">
        <v>20464.999668220094</v>
      </c>
      <c r="Z2175">
        <v>1044.1784139716935</v>
      </c>
      <c r="AA2175">
        <v>21509.178082191789</v>
      </c>
      <c r="AB2175" t="s">
        <v>242</v>
      </c>
      <c r="AC2175">
        <v>1</v>
      </c>
      <c r="AD2175">
        <v>88000</v>
      </c>
      <c r="AE2175">
        <v>0</v>
      </c>
      <c r="AF2175">
        <v>0</v>
      </c>
      <c r="AG2175">
        <v>3836.1954178040105</v>
      </c>
      <c r="AH2175" t="s">
        <v>72</v>
      </c>
      <c r="AK2175" t="s">
        <v>798</v>
      </c>
      <c r="AL2175">
        <v>4132301864</v>
      </c>
      <c r="AM2175" t="s">
        <v>766</v>
      </c>
      <c r="AN2175" t="s">
        <v>987</v>
      </c>
      <c r="AO2175" t="s">
        <v>442</v>
      </c>
      <c r="AP2175" t="s">
        <v>430</v>
      </c>
      <c r="AQ2175" t="s">
        <v>235</v>
      </c>
      <c r="AR2175" t="s">
        <v>765</v>
      </c>
      <c r="AT2175" t="s">
        <v>52</v>
      </c>
      <c r="AU2175">
        <v>3000</v>
      </c>
      <c r="AW2175">
        <v>45342</v>
      </c>
      <c r="AX2175" t="s">
        <v>1040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442102.80373831774</v>
      </c>
      <c r="BI2175">
        <v>442102.80373831774</v>
      </c>
      <c r="BJ2175">
        <v>30947.196261682246</v>
      </c>
      <c r="BK2175">
        <v>473050</v>
      </c>
      <c r="BL2175" t="s">
        <v>242</v>
      </c>
      <c r="BM2175">
        <v>1</v>
      </c>
      <c r="BN2175">
        <v>3000</v>
      </c>
      <c r="BO2175">
        <v>0</v>
      </c>
      <c r="BP2175">
        <v>0</v>
      </c>
      <c r="BQ2175">
        <v>196.2616822429909</v>
      </c>
      <c r="BR2175" t="s">
        <v>72</v>
      </c>
    </row>
    <row r="2176" spans="1:70" x14ac:dyDescent="0.3">
      <c r="A2176" t="s">
        <v>798</v>
      </c>
      <c r="B2176">
        <v>4132301175</v>
      </c>
      <c r="C2176">
        <v>9020057928</v>
      </c>
      <c r="D2176" t="s">
        <v>699</v>
      </c>
      <c r="E2176" t="s">
        <v>441</v>
      </c>
      <c r="F2176" t="s">
        <v>430</v>
      </c>
      <c r="G2176" t="s">
        <v>237</v>
      </c>
      <c r="H2176" t="s">
        <v>231</v>
      </c>
      <c r="J2176" t="s">
        <v>416</v>
      </c>
      <c r="K2176" s="15">
        <v>0.19639999999999999</v>
      </c>
      <c r="M2176">
        <v>45342</v>
      </c>
      <c r="N2176" t="s">
        <v>1016</v>
      </c>
      <c r="O2176">
        <v>0</v>
      </c>
      <c r="P2176">
        <v>0</v>
      </c>
      <c r="Q2176">
        <v>0</v>
      </c>
      <c r="R2176">
        <v>0</v>
      </c>
      <c r="S2176">
        <v>4458.5055409866254</v>
      </c>
      <c r="T2176">
        <v>0</v>
      </c>
      <c r="U2176">
        <v>11987.168192395042</v>
      </c>
      <c r="V2176">
        <v>0</v>
      </c>
      <c r="W2176">
        <v>0</v>
      </c>
      <c r="X2176">
        <v>0</v>
      </c>
      <c r="Y2176">
        <v>16445.673733381667</v>
      </c>
      <c r="Z2176">
        <v>839.10177346765306</v>
      </c>
      <c r="AA2176">
        <v>17284.775506849321</v>
      </c>
      <c r="AB2176" t="s">
        <v>242</v>
      </c>
      <c r="AC2176">
        <v>1</v>
      </c>
      <c r="AD2176">
        <v>88000</v>
      </c>
      <c r="AE2176">
        <v>0</v>
      </c>
      <c r="AF2176">
        <v>0</v>
      </c>
      <c r="AG2176">
        <v>3836.1954178040105</v>
      </c>
      <c r="AH2176" t="s">
        <v>58</v>
      </c>
      <c r="AK2176" t="s">
        <v>798</v>
      </c>
      <c r="AL2176">
        <v>4142300416</v>
      </c>
      <c r="AM2176">
        <v>10179898</v>
      </c>
      <c r="AN2176" t="s">
        <v>198</v>
      </c>
      <c r="AO2176" t="s">
        <v>445</v>
      </c>
      <c r="AP2176" t="s">
        <v>430</v>
      </c>
      <c r="AQ2176" t="s">
        <v>230</v>
      </c>
      <c r="AR2176" t="s">
        <v>234</v>
      </c>
      <c r="AT2176" t="s">
        <v>52</v>
      </c>
      <c r="AU2176">
        <v>4000</v>
      </c>
      <c r="AW2176">
        <v>45342</v>
      </c>
      <c r="AX2176" t="s">
        <v>1013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299399.05607476633</v>
      </c>
      <c r="BI2176">
        <v>299399.05607476633</v>
      </c>
      <c r="BJ2176">
        <v>20957.933925233643</v>
      </c>
      <c r="BK2176">
        <v>320356.99</v>
      </c>
      <c r="BL2176" t="s">
        <v>242</v>
      </c>
      <c r="BM2176">
        <v>14</v>
      </c>
      <c r="BN2176">
        <v>56400</v>
      </c>
      <c r="BO2176">
        <v>0</v>
      </c>
      <c r="BP2176">
        <v>0</v>
      </c>
      <c r="BQ2176">
        <v>3689.7196261682238</v>
      </c>
      <c r="BR2176" t="s">
        <v>58</v>
      </c>
    </row>
    <row r="2177" spans="1:70" x14ac:dyDescent="0.3">
      <c r="A2177" t="s">
        <v>798</v>
      </c>
      <c r="B2177">
        <v>4132301864</v>
      </c>
      <c r="C2177" t="s">
        <v>766</v>
      </c>
      <c r="D2177" t="s">
        <v>987</v>
      </c>
      <c r="E2177" t="s">
        <v>442</v>
      </c>
      <c r="F2177" t="s">
        <v>430</v>
      </c>
      <c r="G2177" t="s">
        <v>235</v>
      </c>
      <c r="H2177" t="s">
        <v>765</v>
      </c>
      <c r="J2177" t="s">
        <v>52</v>
      </c>
      <c r="K2177" s="15">
        <v>3000</v>
      </c>
      <c r="M2177">
        <v>45342</v>
      </c>
      <c r="N2177" t="s">
        <v>1040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442102.80373831774</v>
      </c>
      <c r="Y2177">
        <v>442102.80373831774</v>
      </c>
      <c r="Z2177">
        <v>30947.196261682246</v>
      </c>
      <c r="AA2177">
        <v>473050</v>
      </c>
      <c r="AB2177" t="s">
        <v>242</v>
      </c>
      <c r="AC2177">
        <v>1</v>
      </c>
      <c r="AD2177">
        <v>3000</v>
      </c>
      <c r="AE2177">
        <v>0</v>
      </c>
      <c r="AF2177">
        <v>0</v>
      </c>
      <c r="AG2177">
        <v>196.2616822429909</v>
      </c>
      <c r="AH2177" t="s">
        <v>72</v>
      </c>
      <c r="AK2177" t="s">
        <v>798</v>
      </c>
      <c r="AL2177">
        <v>52200151</v>
      </c>
      <c r="AM2177">
        <v>25812951</v>
      </c>
      <c r="AN2177" t="s">
        <v>604</v>
      </c>
      <c r="AO2177" t="s">
        <v>436</v>
      </c>
      <c r="AP2177" t="s">
        <v>431</v>
      </c>
      <c r="AQ2177" t="s">
        <v>230</v>
      </c>
      <c r="AR2177" t="s">
        <v>231</v>
      </c>
      <c r="AT2177" t="s">
        <v>672</v>
      </c>
      <c r="AW2177">
        <v>45342</v>
      </c>
      <c r="AX2177" t="s">
        <v>1024</v>
      </c>
      <c r="AY2177">
        <v>3000</v>
      </c>
      <c r="AZ2177">
        <v>0</v>
      </c>
      <c r="BA2177">
        <v>0</v>
      </c>
      <c r="BB2177">
        <v>0</v>
      </c>
      <c r="BC2177">
        <v>0</v>
      </c>
      <c r="BD2177">
        <v>28037.383177570093</v>
      </c>
      <c r="BE2177">
        <v>0</v>
      </c>
      <c r="BF2177">
        <v>0</v>
      </c>
      <c r="BG2177">
        <v>80654.20560747663</v>
      </c>
      <c r="BH2177">
        <v>0</v>
      </c>
      <c r="BI2177">
        <v>111691.58878504673</v>
      </c>
      <c r="BJ2177">
        <v>7608.4112149532712</v>
      </c>
      <c r="BK2177">
        <v>119300</v>
      </c>
      <c r="BL2177" t="s">
        <v>242</v>
      </c>
      <c r="BM2177">
        <v>7</v>
      </c>
      <c r="BN2177">
        <v>17500</v>
      </c>
      <c r="BO2177">
        <v>0</v>
      </c>
      <c r="BP2177">
        <v>0</v>
      </c>
      <c r="BQ2177">
        <v>1138.056221927148</v>
      </c>
      <c r="BR2177" t="s">
        <v>58</v>
      </c>
    </row>
    <row r="2178" spans="1:70" x14ac:dyDescent="0.3">
      <c r="A2178" t="s">
        <v>798</v>
      </c>
      <c r="B2178">
        <v>4142300416</v>
      </c>
      <c r="C2178">
        <v>10179898</v>
      </c>
      <c r="D2178" t="s">
        <v>198</v>
      </c>
      <c r="E2178" t="s">
        <v>445</v>
      </c>
      <c r="F2178" t="s">
        <v>430</v>
      </c>
      <c r="G2178" t="s">
        <v>230</v>
      </c>
      <c r="H2178" t="s">
        <v>234</v>
      </c>
      <c r="J2178" t="s">
        <v>52</v>
      </c>
      <c r="K2178" s="15">
        <v>4000</v>
      </c>
      <c r="M2178">
        <v>45342</v>
      </c>
      <c r="N2178" t="s">
        <v>1013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299399.05607476633</v>
      </c>
      <c r="Y2178">
        <v>299399.05607476633</v>
      </c>
      <c r="Z2178">
        <v>20957.933925233643</v>
      </c>
      <c r="AA2178">
        <v>320356.99</v>
      </c>
      <c r="AB2178" t="s">
        <v>242</v>
      </c>
      <c r="AC2178">
        <v>14</v>
      </c>
      <c r="AD2178">
        <v>56400</v>
      </c>
      <c r="AE2178">
        <v>0</v>
      </c>
      <c r="AF2178">
        <v>0</v>
      </c>
      <c r="AG2178">
        <v>3689.7196261682238</v>
      </c>
      <c r="AH2178" t="s">
        <v>58</v>
      </c>
      <c r="AK2178" t="s">
        <v>798</v>
      </c>
      <c r="AL2178">
        <v>52201517</v>
      </c>
      <c r="AM2178">
        <v>25191718</v>
      </c>
      <c r="AN2178" t="s">
        <v>641</v>
      </c>
      <c r="AO2178" t="s">
        <v>438</v>
      </c>
      <c r="AP2178" t="s">
        <v>431</v>
      </c>
      <c r="AQ2178" t="s">
        <v>230</v>
      </c>
      <c r="AR2178" t="s">
        <v>231</v>
      </c>
      <c r="AT2178" t="s">
        <v>672</v>
      </c>
      <c r="AW2178">
        <v>45342</v>
      </c>
      <c r="AX2178" t="s">
        <v>1024</v>
      </c>
      <c r="AY2178">
        <v>4962</v>
      </c>
      <c r="AZ2178">
        <v>0</v>
      </c>
      <c r="BA2178">
        <v>0</v>
      </c>
      <c r="BB2178">
        <v>0</v>
      </c>
      <c r="BC2178">
        <v>0</v>
      </c>
      <c r="BD2178">
        <v>25700.934579439254</v>
      </c>
      <c r="BE2178">
        <v>0</v>
      </c>
      <c r="BF2178">
        <v>0</v>
      </c>
      <c r="BG2178">
        <v>124578.50467289719</v>
      </c>
      <c r="BH2178">
        <v>0</v>
      </c>
      <c r="BI2178">
        <v>155241.43925233645</v>
      </c>
      <c r="BJ2178">
        <v>10519.560747663552</v>
      </c>
      <c r="BK2178">
        <v>165761</v>
      </c>
      <c r="BL2178" t="s">
        <v>242</v>
      </c>
      <c r="BM2178">
        <v>2</v>
      </c>
      <c r="BN2178">
        <v>2000</v>
      </c>
      <c r="BO2178">
        <v>0</v>
      </c>
      <c r="BP2178">
        <v>0</v>
      </c>
      <c r="BQ2178">
        <v>130.16041455622963</v>
      </c>
      <c r="BR2178" t="s">
        <v>58</v>
      </c>
    </row>
    <row r="2179" spans="1:70" x14ac:dyDescent="0.3">
      <c r="A2179" t="s">
        <v>798</v>
      </c>
      <c r="B2179">
        <v>4132300331</v>
      </c>
      <c r="C2179">
        <v>9040040746</v>
      </c>
      <c r="D2179" t="s">
        <v>174</v>
      </c>
      <c r="E2179" t="s">
        <v>441</v>
      </c>
      <c r="F2179" t="s">
        <v>430</v>
      </c>
      <c r="G2179" t="s">
        <v>230</v>
      </c>
      <c r="H2179" t="s">
        <v>231</v>
      </c>
      <c r="J2179" t="s">
        <v>52</v>
      </c>
      <c r="K2179" s="15">
        <v>1000</v>
      </c>
      <c r="M2179">
        <v>45343</v>
      </c>
      <c r="N2179" t="s">
        <v>1013</v>
      </c>
      <c r="O2179">
        <v>0</v>
      </c>
      <c r="P2179">
        <v>8955.2831201676036</v>
      </c>
      <c r="Q2179">
        <v>0</v>
      </c>
      <c r="R2179">
        <v>0</v>
      </c>
      <c r="S2179">
        <v>7733.8356164383558</v>
      </c>
      <c r="T2179">
        <v>36382.912971805985</v>
      </c>
      <c r="U2179">
        <v>0</v>
      </c>
      <c r="V2179">
        <v>0</v>
      </c>
      <c r="W2179">
        <v>168224.29906542055</v>
      </c>
      <c r="X2179">
        <v>0</v>
      </c>
      <c r="Y2179">
        <v>221296.33077383251</v>
      </c>
      <c r="Z2179">
        <v>14322.504842605858</v>
      </c>
      <c r="AA2179">
        <v>235618.83561643836</v>
      </c>
      <c r="AB2179" t="s">
        <v>242</v>
      </c>
      <c r="AC2179">
        <v>6</v>
      </c>
      <c r="AD2179">
        <v>9000</v>
      </c>
      <c r="AE2179">
        <v>0</v>
      </c>
      <c r="AF2179">
        <v>0</v>
      </c>
      <c r="AG2179">
        <v>544.31758730068418</v>
      </c>
      <c r="AH2179" t="s">
        <v>58</v>
      </c>
      <c r="AK2179" t="s">
        <v>798</v>
      </c>
      <c r="AL2179">
        <v>4302300011</v>
      </c>
      <c r="AM2179">
        <v>901014013205</v>
      </c>
      <c r="AN2179" t="s">
        <v>223</v>
      </c>
      <c r="AO2179" t="s">
        <v>447</v>
      </c>
      <c r="AP2179" t="s">
        <v>433</v>
      </c>
      <c r="AQ2179" t="s">
        <v>82</v>
      </c>
      <c r="AR2179" t="s">
        <v>83</v>
      </c>
      <c r="AT2179" t="s">
        <v>416</v>
      </c>
      <c r="AU2179">
        <v>0.56726340632555838</v>
      </c>
      <c r="AW2179">
        <v>45343</v>
      </c>
      <c r="AX2179" t="s">
        <v>1016</v>
      </c>
      <c r="AY2179">
        <v>0</v>
      </c>
      <c r="AZ2179">
        <v>0</v>
      </c>
      <c r="BA2179">
        <v>41279.555956544245</v>
      </c>
      <c r="BB2179">
        <v>23271.392636910736</v>
      </c>
      <c r="BC2179">
        <v>94696.769004293878</v>
      </c>
      <c r="BD2179">
        <v>0</v>
      </c>
      <c r="BE2179">
        <v>0</v>
      </c>
      <c r="BF2179">
        <v>592638.79305789759</v>
      </c>
      <c r="BG2179">
        <v>0</v>
      </c>
      <c r="BH2179">
        <v>0</v>
      </c>
      <c r="BI2179">
        <v>751886.51065564645</v>
      </c>
      <c r="BJ2179">
        <v>48113.489344353402</v>
      </c>
      <c r="BK2179">
        <v>799999.99999999988</v>
      </c>
      <c r="BL2179" t="s">
        <v>242</v>
      </c>
      <c r="BM2179">
        <v>2</v>
      </c>
      <c r="BN2179">
        <v>35000</v>
      </c>
      <c r="BO2179">
        <v>0</v>
      </c>
      <c r="BP2179">
        <v>0</v>
      </c>
      <c r="BQ2179">
        <v>2092.9546695007284</v>
      </c>
      <c r="BR2179" t="s">
        <v>58</v>
      </c>
    </row>
    <row r="2180" spans="1:70" x14ac:dyDescent="0.3">
      <c r="A2180" t="s">
        <v>798</v>
      </c>
      <c r="B2180">
        <v>4142300653</v>
      </c>
      <c r="C2180">
        <v>10280769</v>
      </c>
      <c r="D2180" t="s">
        <v>204</v>
      </c>
      <c r="E2180" t="s">
        <v>445</v>
      </c>
      <c r="F2180" t="s">
        <v>430</v>
      </c>
      <c r="G2180" t="s">
        <v>230</v>
      </c>
      <c r="H2180" t="s">
        <v>234</v>
      </c>
      <c r="J2180" t="s">
        <v>52</v>
      </c>
      <c r="K2180" s="15">
        <v>15000</v>
      </c>
      <c r="M2180">
        <v>45343</v>
      </c>
      <c r="N2180" t="s">
        <v>1013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811713.07476635522</v>
      </c>
      <c r="Y2180">
        <v>811713.07476635522</v>
      </c>
      <c r="Z2180">
        <v>56819.915233644868</v>
      </c>
      <c r="AA2180">
        <v>868532.99000000011</v>
      </c>
      <c r="AB2180" t="s">
        <v>242</v>
      </c>
      <c r="AC2180">
        <v>6</v>
      </c>
      <c r="AD2180">
        <v>90000</v>
      </c>
      <c r="AE2180">
        <v>0</v>
      </c>
      <c r="AF2180">
        <v>0</v>
      </c>
      <c r="AG2180">
        <v>5887.8504672897216</v>
      </c>
      <c r="AH2180" t="s">
        <v>58</v>
      </c>
      <c r="AK2180" t="s">
        <v>798</v>
      </c>
      <c r="AL2180">
        <v>4132300331</v>
      </c>
      <c r="AM2180">
        <v>9040040746</v>
      </c>
      <c r="AN2180" t="s">
        <v>174</v>
      </c>
      <c r="AO2180" t="s">
        <v>441</v>
      </c>
      <c r="AP2180" t="s">
        <v>430</v>
      </c>
      <c r="AQ2180" t="s">
        <v>230</v>
      </c>
      <c r="AR2180" t="s">
        <v>231</v>
      </c>
      <c r="AT2180" t="s">
        <v>52</v>
      </c>
      <c r="AU2180">
        <v>1000</v>
      </c>
      <c r="AW2180">
        <v>45343</v>
      </c>
      <c r="AX2180" t="s">
        <v>1013</v>
      </c>
      <c r="AY2180">
        <v>0</v>
      </c>
      <c r="AZ2180">
        <v>8955.2831201676036</v>
      </c>
      <c r="BA2180">
        <v>0</v>
      </c>
      <c r="BB2180">
        <v>0</v>
      </c>
      <c r="BC2180">
        <v>7733.8356164383558</v>
      </c>
      <c r="BD2180">
        <v>36382.912971805985</v>
      </c>
      <c r="BE2180">
        <v>0</v>
      </c>
      <c r="BF2180">
        <v>0</v>
      </c>
      <c r="BG2180">
        <v>168224.29906542055</v>
      </c>
      <c r="BH2180">
        <v>0</v>
      </c>
      <c r="BI2180">
        <v>221296.33077383251</v>
      </c>
      <c r="BJ2180">
        <v>14322.504842605858</v>
      </c>
      <c r="BK2180">
        <v>235618.83561643836</v>
      </c>
      <c r="BL2180" t="s">
        <v>242</v>
      </c>
      <c r="BM2180">
        <v>6</v>
      </c>
      <c r="BN2180">
        <v>9000</v>
      </c>
      <c r="BO2180">
        <v>0</v>
      </c>
      <c r="BP2180">
        <v>0</v>
      </c>
      <c r="BQ2180">
        <v>544.31758730068418</v>
      </c>
      <c r="BR2180" t="s">
        <v>58</v>
      </c>
    </row>
    <row r="2181" spans="1:70" x14ac:dyDescent="0.3">
      <c r="A2181" t="s">
        <v>798</v>
      </c>
      <c r="B2181">
        <v>4142300653</v>
      </c>
      <c r="C2181">
        <v>10280769</v>
      </c>
      <c r="D2181" t="s">
        <v>204</v>
      </c>
      <c r="E2181" t="s">
        <v>445</v>
      </c>
      <c r="F2181" t="s">
        <v>430</v>
      </c>
      <c r="G2181" t="s">
        <v>230</v>
      </c>
      <c r="H2181" t="s">
        <v>234</v>
      </c>
      <c r="J2181" t="s">
        <v>52</v>
      </c>
      <c r="K2181" s="15">
        <v>15000</v>
      </c>
      <c r="M2181">
        <v>45343</v>
      </c>
      <c r="N2181" t="s">
        <v>1013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797694.38317757018</v>
      </c>
      <c r="Y2181">
        <v>797694.38317757018</v>
      </c>
      <c r="Z2181">
        <v>55838.606822429916</v>
      </c>
      <c r="AA2181">
        <v>853532.99000000011</v>
      </c>
      <c r="AB2181" t="s">
        <v>242</v>
      </c>
      <c r="AC2181">
        <v>7</v>
      </c>
      <c r="AD2181">
        <v>105000</v>
      </c>
      <c r="AE2181">
        <v>0</v>
      </c>
      <c r="AF2181">
        <v>0</v>
      </c>
      <c r="AG2181">
        <v>6869.1588785046752</v>
      </c>
      <c r="AH2181" t="s">
        <v>58</v>
      </c>
      <c r="AK2181" t="s">
        <v>798</v>
      </c>
      <c r="AL2181">
        <v>4142300653</v>
      </c>
      <c r="AM2181">
        <v>10280769</v>
      </c>
      <c r="AN2181" t="s">
        <v>204</v>
      </c>
      <c r="AO2181" t="s">
        <v>445</v>
      </c>
      <c r="AP2181" t="s">
        <v>430</v>
      </c>
      <c r="AQ2181" t="s">
        <v>230</v>
      </c>
      <c r="AR2181" t="s">
        <v>234</v>
      </c>
      <c r="AT2181" t="s">
        <v>52</v>
      </c>
      <c r="AU2181">
        <v>15000</v>
      </c>
      <c r="AW2181">
        <v>45343</v>
      </c>
      <c r="AX2181" t="s">
        <v>1013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811713.07476635522</v>
      </c>
      <c r="BI2181">
        <v>811713.07476635522</v>
      </c>
      <c r="BJ2181">
        <v>56819.915233644868</v>
      </c>
      <c r="BK2181">
        <v>868532.99000000011</v>
      </c>
      <c r="BL2181" t="s">
        <v>242</v>
      </c>
      <c r="BM2181">
        <v>6</v>
      </c>
      <c r="BN2181">
        <v>90000</v>
      </c>
      <c r="BO2181">
        <v>0</v>
      </c>
      <c r="BP2181">
        <v>0</v>
      </c>
      <c r="BQ2181">
        <v>5887.8504672897216</v>
      </c>
      <c r="BR2181" t="s">
        <v>58</v>
      </c>
    </row>
    <row r="2182" spans="1:70" x14ac:dyDescent="0.3">
      <c r="A2182" t="s">
        <v>798</v>
      </c>
      <c r="B2182">
        <v>4302300011</v>
      </c>
      <c r="C2182">
        <v>901014013205</v>
      </c>
      <c r="D2182" t="s">
        <v>223</v>
      </c>
      <c r="E2182" t="s">
        <v>447</v>
      </c>
      <c r="F2182" t="s">
        <v>433</v>
      </c>
      <c r="G2182" t="s">
        <v>82</v>
      </c>
      <c r="H2182" t="s">
        <v>83</v>
      </c>
      <c r="J2182" t="s">
        <v>416</v>
      </c>
      <c r="K2182" s="15">
        <v>0.56726340632555838</v>
      </c>
      <c r="M2182">
        <v>45343</v>
      </c>
      <c r="N2182" t="s">
        <v>1016</v>
      </c>
      <c r="O2182">
        <v>0</v>
      </c>
      <c r="P2182">
        <v>0</v>
      </c>
      <c r="Q2182">
        <v>41279.555956544245</v>
      </c>
      <c r="R2182">
        <v>23271.392636910736</v>
      </c>
      <c r="S2182">
        <v>94696.769004293878</v>
      </c>
      <c r="T2182">
        <v>0</v>
      </c>
      <c r="U2182">
        <v>0</v>
      </c>
      <c r="V2182">
        <v>592638.79305789759</v>
      </c>
      <c r="W2182">
        <v>0</v>
      </c>
      <c r="X2182">
        <v>0</v>
      </c>
      <c r="Y2182">
        <v>751886.51065564645</v>
      </c>
      <c r="Z2182">
        <v>48113.489344353402</v>
      </c>
      <c r="AA2182">
        <v>799999.99999999988</v>
      </c>
      <c r="AB2182" t="s">
        <v>242</v>
      </c>
      <c r="AC2182">
        <v>2</v>
      </c>
      <c r="AD2182">
        <v>35000</v>
      </c>
      <c r="AE2182">
        <v>0</v>
      </c>
      <c r="AF2182">
        <v>0</v>
      </c>
      <c r="AG2182">
        <v>2092.9546695007284</v>
      </c>
      <c r="AH2182" t="s">
        <v>58</v>
      </c>
      <c r="AK2182" t="s">
        <v>798</v>
      </c>
      <c r="AL2182">
        <v>4142300653</v>
      </c>
      <c r="AM2182">
        <v>10280769</v>
      </c>
      <c r="AN2182" t="s">
        <v>204</v>
      </c>
      <c r="AO2182" t="s">
        <v>445</v>
      </c>
      <c r="AP2182" t="s">
        <v>430</v>
      </c>
      <c r="AQ2182" t="s">
        <v>230</v>
      </c>
      <c r="AR2182" t="s">
        <v>234</v>
      </c>
      <c r="AT2182" t="s">
        <v>52</v>
      </c>
      <c r="AU2182">
        <v>15000</v>
      </c>
      <c r="AW2182">
        <v>45343</v>
      </c>
      <c r="AX2182" t="s">
        <v>1013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797694.38317757018</v>
      </c>
      <c r="BI2182">
        <v>797694.38317757018</v>
      </c>
      <c r="BJ2182">
        <v>55838.606822429916</v>
      </c>
      <c r="BK2182">
        <v>853532.99000000011</v>
      </c>
      <c r="BL2182" t="s">
        <v>242</v>
      </c>
      <c r="BM2182">
        <v>7</v>
      </c>
      <c r="BN2182">
        <v>105000</v>
      </c>
      <c r="BO2182">
        <v>0</v>
      </c>
      <c r="BP2182">
        <v>0</v>
      </c>
      <c r="BQ2182">
        <v>6869.1588785046752</v>
      </c>
      <c r="BR2182" t="s">
        <v>58</v>
      </c>
    </row>
    <row r="2183" spans="1:70" x14ac:dyDescent="0.3">
      <c r="A2183" t="s">
        <v>798</v>
      </c>
      <c r="B2183">
        <v>4132300266</v>
      </c>
      <c r="C2183">
        <v>1100168312</v>
      </c>
      <c r="D2183" t="s">
        <v>173</v>
      </c>
      <c r="E2183" t="s">
        <v>441</v>
      </c>
      <c r="F2183" t="s">
        <v>430</v>
      </c>
      <c r="G2183" t="s">
        <v>235</v>
      </c>
      <c r="H2183" t="s">
        <v>236</v>
      </c>
      <c r="J2183" t="s">
        <v>52</v>
      </c>
      <c r="K2183" s="15">
        <v>2000</v>
      </c>
      <c r="M2183">
        <v>45344</v>
      </c>
      <c r="N2183" t="s">
        <v>1013</v>
      </c>
      <c r="O2183">
        <v>0</v>
      </c>
      <c r="P2183">
        <v>0</v>
      </c>
      <c r="Q2183">
        <v>0</v>
      </c>
      <c r="R2183">
        <v>0</v>
      </c>
      <c r="S2183">
        <v>81818.250960544843</v>
      </c>
      <c r="T2183">
        <v>0</v>
      </c>
      <c r="U2183">
        <v>0</v>
      </c>
      <c r="V2183">
        <v>213753.52297887884</v>
      </c>
      <c r="W2183">
        <v>0</v>
      </c>
      <c r="X2183">
        <v>0</v>
      </c>
      <c r="Y2183">
        <v>295571.77393942367</v>
      </c>
      <c r="Z2183">
        <v>14962.74660852152</v>
      </c>
      <c r="AA2183">
        <v>310534.52054794517</v>
      </c>
      <c r="AB2183" t="s">
        <v>242</v>
      </c>
      <c r="AC2183">
        <v>4</v>
      </c>
      <c r="AD2183">
        <v>8000</v>
      </c>
      <c r="AE2183">
        <v>0</v>
      </c>
      <c r="AF2183">
        <v>0</v>
      </c>
      <c r="AG2183">
        <v>378.37488680558317</v>
      </c>
      <c r="AH2183" t="s">
        <v>58</v>
      </c>
      <c r="AK2183" t="s">
        <v>798</v>
      </c>
      <c r="AL2183">
        <v>4132300266</v>
      </c>
      <c r="AM2183">
        <v>1100168312</v>
      </c>
      <c r="AN2183" t="s">
        <v>173</v>
      </c>
      <c r="AO2183" t="s">
        <v>441</v>
      </c>
      <c r="AP2183" t="s">
        <v>430</v>
      </c>
      <c r="AQ2183" t="s">
        <v>235</v>
      </c>
      <c r="AR2183" t="s">
        <v>236</v>
      </c>
      <c r="AT2183" t="s">
        <v>52</v>
      </c>
      <c r="AU2183">
        <v>2000</v>
      </c>
      <c r="AW2183">
        <v>45344</v>
      </c>
      <c r="AX2183" t="s">
        <v>1013</v>
      </c>
      <c r="AY2183">
        <v>0</v>
      </c>
      <c r="AZ2183">
        <v>0</v>
      </c>
      <c r="BA2183">
        <v>0</v>
      </c>
      <c r="BB2183">
        <v>0</v>
      </c>
      <c r="BC2183">
        <v>81818.250960544843</v>
      </c>
      <c r="BD2183">
        <v>0</v>
      </c>
      <c r="BE2183">
        <v>0</v>
      </c>
      <c r="BF2183">
        <v>213753.52297887884</v>
      </c>
      <c r="BG2183">
        <v>0</v>
      </c>
      <c r="BH2183">
        <v>0</v>
      </c>
      <c r="BI2183">
        <v>295571.77393942367</v>
      </c>
      <c r="BJ2183">
        <v>14962.74660852152</v>
      </c>
      <c r="BK2183">
        <v>310534.52054794517</v>
      </c>
      <c r="BL2183" t="s">
        <v>242</v>
      </c>
      <c r="BM2183">
        <v>4</v>
      </c>
      <c r="BN2183">
        <v>8000</v>
      </c>
      <c r="BO2183">
        <v>0</v>
      </c>
      <c r="BP2183">
        <v>0</v>
      </c>
      <c r="BQ2183">
        <v>378.37488680558317</v>
      </c>
      <c r="BR2183" t="s">
        <v>58</v>
      </c>
    </row>
    <row r="2184" spans="1:70" x14ac:dyDescent="0.3">
      <c r="A2184" t="s">
        <v>798</v>
      </c>
      <c r="B2184">
        <v>4142300097</v>
      </c>
      <c r="C2184">
        <v>82365</v>
      </c>
      <c r="D2184" t="s">
        <v>953</v>
      </c>
      <c r="E2184" t="s">
        <v>444</v>
      </c>
      <c r="F2184" t="s">
        <v>430</v>
      </c>
      <c r="G2184" t="s">
        <v>230</v>
      </c>
      <c r="H2184" t="s">
        <v>231</v>
      </c>
      <c r="J2184" t="s">
        <v>52</v>
      </c>
      <c r="K2184" s="15">
        <v>6000</v>
      </c>
      <c r="M2184">
        <v>45344</v>
      </c>
      <c r="N2184" t="s">
        <v>1013</v>
      </c>
      <c r="O2184">
        <v>0</v>
      </c>
      <c r="P2184">
        <v>2764.4008951887881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57772.83093907591</v>
      </c>
      <c r="X2184">
        <v>0</v>
      </c>
      <c r="Y2184">
        <v>60537.231834264698</v>
      </c>
      <c r="Z2184">
        <v>4044.0981657353141</v>
      </c>
      <c r="AA2184">
        <v>64581.330000000009</v>
      </c>
      <c r="AB2184" t="s">
        <v>242</v>
      </c>
      <c r="AC2184">
        <v>6</v>
      </c>
      <c r="AD2184">
        <v>36000</v>
      </c>
      <c r="AE2184">
        <v>0</v>
      </c>
      <c r="AF2184">
        <v>0</v>
      </c>
      <c r="AG2184">
        <v>2245.521553890856</v>
      </c>
      <c r="AH2184" t="s">
        <v>58</v>
      </c>
      <c r="AK2184" t="s">
        <v>798</v>
      </c>
      <c r="AL2184">
        <v>4142300097</v>
      </c>
      <c r="AM2184">
        <v>82365</v>
      </c>
      <c r="AN2184" t="s">
        <v>953</v>
      </c>
      <c r="AO2184" t="s">
        <v>444</v>
      </c>
      <c r="AP2184" t="s">
        <v>430</v>
      </c>
      <c r="AQ2184" t="s">
        <v>230</v>
      </c>
      <c r="AR2184" t="s">
        <v>231</v>
      </c>
      <c r="AT2184" t="s">
        <v>52</v>
      </c>
      <c r="AU2184">
        <v>6000</v>
      </c>
      <c r="AW2184">
        <v>45344</v>
      </c>
      <c r="AX2184" t="s">
        <v>1013</v>
      </c>
      <c r="AY2184">
        <v>0</v>
      </c>
      <c r="AZ2184">
        <v>2764.4008951887881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57772.83093907591</v>
      </c>
      <c r="BH2184">
        <v>0</v>
      </c>
      <c r="BI2184">
        <v>60537.231834264698</v>
      </c>
      <c r="BJ2184">
        <v>4044.0981657353141</v>
      </c>
      <c r="BK2184">
        <v>64581.330000000009</v>
      </c>
      <c r="BL2184" t="s">
        <v>242</v>
      </c>
      <c r="BM2184">
        <v>6</v>
      </c>
      <c r="BN2184">
        <v>36000</v>
      </c>
      <c r="BO2184">
        <v>0</v>
      </c>
      <c r="BP2184">
        <v>0</v>
      </c>
      <c r="BQ2184">
        <v>2245.521553890856</v>
      </c>
      <c r="BR2184" t="s">
        <v>58</v>
      </c>
    </row>
    <row r="2185" spans="1:70" x14ac:dyDescent="0.3">
      <c r="A2185" t="s">
        <v>798</v>
      </c>
      <c r="B2185">
        <v>52200085</v>
      </c>
      <c r="C2185">
        <v>26393637</v>
      </c>
      <c r="D2185" t="s">
        <v>656</v>
      </c>
      <c r="E2185" t="s">
        <v>436</v>
      </c>
      <c r="F2185" t="s">
        <v>431</v>
      </c>
      <c r="G2185" t="s">
        <v>235</v>
      </c>
      <c r="H2185" t="s">
        <v>236</v>
      </c>
      <c r="J2185" t="s">
        <v>52</v>
      </c>
      <c r="K2185" s="15">
        <v>3000</v>
      </c>
      <c r="M2185">
        <v>45345</v>
      </c>
      <c r="N2185" t="s">
        <v>1013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156601.86915887852</v>
      </c>
      <c r="W2185">
        <v>0</v>
      </c>
      <c r="X2185">
        <v>0</v>
      </c>
      <c r="Y2185">
        <v>156601.86915887852</v>
      </c>
      <c r="Z2185">
        <v>10962.130841121498</v>
      </c>
      <c r="AA2185">
        <v>167564</v>
      </c>
      <c r="AB2185" t="s">
        <v>242</v>
      </c>
      <c r="AC2185">
        <v>2</v>
      </c>
      <c r="AD2185">
        <v>5000</v>
      </c>
      <c r="AE2185">
        <v>0</v>
      </c>
      <c r="AF2185">
        <v>0</v>
      </c>
      <c r="AG2185">
        <v>326.22013780051248</v>
      </c>
      <c r="AH2185" t="s">
        <v>58</v>
      </c>
      <c r="AK2185" t="s">
        <v>798</v>
      </c>
      <c r="AL2185">
        <v>52200085</v>
      </c>
      <c r="AM2185">
        <v>26393637</v>
      </c>
      <c r="AN2185" t="s">
        <v>656</v>
      </c>
      <c r="AO2185" t="s">
        <v>436</v>
      </c>
      <c r="AP2185" t="s">
        <v>431</v>
      </c>
      <c r="AQ2185" t="s">
        <v>235</v>
      </c>
      <c r="AR2185" t="s">
        <v>236</v>
      </c>
      <c r="AT2185" t="s">
        <v>52</v>
      </c>
      <c r="AU2185">
        <v>3000</v>
      </c>
      <c r="AW2185">
        <v>45345</v>
      </c>
      <c r="AX2185" t="s">
        <v>1013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156601.86915887852</v>
      </c>
      <c r="BG2185">
        <v>0</v>
      </c>
      <c r="BH2185">
        <v>0</v>
      </c>
      <c r="BI2185">
        <v>156601.86915887852</v>
      </c>
      <c r="BJ2185">
        <v>10962.130841121498</v>
      </c>
      <c r="BK2185">
        <v>167564</v>
      </c>
      <c r="BL2185" t="s">
        <v>242</v>
      </c>
      <c r="BM2185">
        <v>2</v>
      </c>
      <c r="BN2185">
        <v>5000</v>
      </c>
      <c r="BO2185">
        <v>0</v>
      </c>
      <c r="BP2185">
        <v>0</v>
      </c>
      <c r="BQ2185">
        <v>326.22013780051248</v>
      </c>
      <c r="BR2185" t="s">
        <v>58</v>
      </c>
    </row>
    <row r="2186" spans="1:70" x14ac:dyDescent="0.3">
      <c r="A2186" t="s">
        <v>798</v>
      </c>
      <c r="B2186">
        <v>52200938</v>
      </c>
      <c r="C2186">
        <v>26269572</v>
      </c>
      <c r="D2186" t="s">
        <v>144</v>
      </c>
      <c r="E2186" t="s">
        <v>438</v>
      </c>
      <c r="F2186" t="s">
        <v>431</v>
      </c>
      <c r="G2186" t="s">
        <v>82</v>
      </c>
      <c r="H2186" t="s">
        <v>83</v>
      </c>
      <c r="J2186" t="s">
        <v>52</v>
      </c>
      <c r="K2186" s="15">
        <v>3000</v>
      </c>
      <c r="M2186">
        <v>45345</v>
      </c>
      <c r="N2186" t="s">
        <v>1013</v>
      </c>
      <c r="O2186">
        <v>0</v>
      </c>
      <c r="P2186">
        <v>0</v>
      </c>
      <c r="Q2186">
        <v>0</v>
      </c>
      <c r="R2186">
        <v>742.49738746257719</v>
      </c>
      <c r="S2186">
        <v>2826.9727115957835</v>
      </c>
      <c r="T2186">
        <v>0</v>
      </c>
      <c r="U2186">
        <v>0</v>
      </c>
      <c r="V2186">
        <v>47963.216707056527</v>
      </c>
      <c r="W2186">
        <v>0</v>
      </c>
      <c r="X2186">
        <v>0</v>
      </c>
      <c r="Y2186">
        <v>51532.686806114885</v>
      </c>
      <c r="Z2186">
        <v>3555.3132593056621</v>
      </c>
      <c r="AA2186">
        <v>55088.000065420551</v>
      </c>
      <c r="AB2186" t="s">
        <v>242</v>
      </c>
      <c r="AC2186">
        <v>11</v>
      </c>
      <c r="AD2186">
        <v>27000</v>
      </c>
      <c r="AE2186">
        <v>0</v>
      </c>
      <c r="AF2186">
        <v>0</v>
      </c>
      <c r="AG2186">
        <v>1740.481137497552</v>
      </c>
      <c r="AH2186" t="s">
        <v>58</v>
      </c>
      <c r="AK2186" t="s">
        <v>798</v>
      </c>
      <c r="AL2186">
        <v>4312300013</v>
      </c>
      <c r="AM2186" t="s">
        <v>67</v>
      </c>
      <c r="AN2186" t="s">
        <v>936</v>
      </c>
      <c r="AO2186" t="s">
        <v>448</v>
      </c>
      <c r="AP2186" t="s">
        <v>433</v>
      </c>
      <c r="AQ2186" t="s">
        <v>82</v>
      </c>
      <c r="AR2186" t="s">
        <v>71</v>
      </c>
      <c r="AT2186" t="s">
        <v>52</v>
      </c>
      <c r="AU2186">
        <v>25000</v>
      </c>
      <c r="AW2186">
        <v>45345</v>
      </c>
      <c r="AX2186" t="s">
        <v>1013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1828843.280373832</v>
      </c>
      <c r="BI2186">
        <v>1828843.280373832</v>
      </c>
      <c r="BJ2186">
        <v>128019.02962616825</v>
      </c>
      <c r="BK2186">
        <v>1956862.3100000003</v>
      </c>
      <c r="BL2186" t="s">
        <v>242</v>
      </c>
      <c r="BM2186">
        <v>2</v>
      </c>
      <c r="BN2186">
        <v>42500</v>
      </c>
      <c r="BO2186">
        <v>0</v>
      </c>
      <c r="BP2186">
        <v>0</v>
      </c>
      <c r="BQ2186">
        <v>2780.3738317757015</v>
      </c>
      <c r="BR2186" t="s">
        <v>58</v>
      </c>
    </row>
    <row r="2187" spans="1:70" x14ac:dyDescent="0.3">
      <c r="A2187" t="s">
        <v>798</v>
      </c>
      <c r="B2187">
        <v>4312300013</v>
      </c>
      <c r="C2187" t="s">
        <v>67</v>
      </c>
      <c r="D2187" t="s">
        <v>936</v>
      </c>
      <c r="E2187" t="s">
        <v>448</v>
      </c>
      <c r="F2187" t="s">
        <v>433</v>
      </c>
      <c r="G2187" t="s">
        <v>82</v>
      </c>
      <c r="H2187" t="s">
        <v>71</v>
      </c>
      <c r="J2187" t="s">
        <v>52</v>
      </c>
      <c r="K2187" s="15">
        <v>25000</v>
      </c>
      <c r="M2187">
        <v>45345</v>
      </c>
      <c r="N2187" t="s">
        <v>1013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1828843.280373832</v>
      </c>
      <c r="Y2187">
        <v>1828843.280373832</v>
      </c>
      <c r="Z2187">
        <v>128019.02962616825</v>
      </c>
      <c r="AA2187">
        <v>1956862.3100000003</v>
      </c>
      <c r="AB2187" t="s">
        <v>242</v>
      </c>
      <c r="AC2187">
        <v>2</v>
      </c>
      <c r="AD2187">
        <v>42500</v>
      </c>
      <c r="AE2187">
        <v>0</v>
      </c>
      <c r="AF2187">
        <v>0</v>
      </c>
      <c r="AG2187">
        <v>2780.3738317757015</v>
      </c>
      <c r="AH2187" t="s">
        <v>58</v>
      </c>
      <c r="AK2187" t="s">
        <v>798</v>
      </c>
      <c r="AL2187">
        <v>4312300014</v>
      </c>
      <c r="AM2187" t="s">
        <v>69</v>
      </c>
      <c r="AN2187" t="s">
        <v>936</v>
      </c>
      <c r="AO2187" t="s">
        <v>448</v>
      </c>
      <c r="AP2187" t="s">
        <v>433</v>
      </c>
      <c r="AQ2187" t="s">
        <v>82</v>
      </c>
      <c r="AR2187" t="s">
        <v>71</v>
      </c>
      <c r="AT2187" t="s">
        <v>52</v>
      </c>
      <c r="AU2187">
        <v>25000</v>
      </c>
      <c r="AW2187">
        <v>45345</v>
      </c>
      <c r="AX2187" t="s">
        <v>1013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1853826.373831776</v>
      </c>
      <c r="BI2187">
        <v>1853826.373831776</v>
      </c>
      <c r="BJ2187">
        <v>129767.84616822434</v>
      </c>
      <c r="BK2187">
        <v>1983594.2200000002</v>
      </c>
      <c r="BL2187" t="s">
        <v>242</v>
      </c>
      <c r="BM2187">
        <v>2</v>
      </c>
      <c r="BN2187">
        <v>42500</v>
      </c>
      <c r="BO2187">
        <v>0</v>
      </c>
      <c r="BP2187">
        <v>0</v>
      </c>
      <c r="BQ2187">
        <v>2780.3738317757015</v>
      </c>
      <c r="BR2187" t="s">
        <v>58</v>
      </c>
    </row>
    <row r="2188" spans="1:70" x14ac:dyDescent="0.3">
      <c r="A2188" t="s">
        <v>798</v>
      </c>
      <c r="B2188">
        <v>4312300014</v>
      </c>
      <c r="C2188" t="s">
        <v>69</v>
      </c>
      <c r="D2188" t="s">
        <v>936</v>
      </c>
      <c r="E2188" t="s">
        <v>448</v>
      </c>
      <c r="F2188" t="s">
        <v>433</v>
      </c>
      <c r="G2188" t="s">
        <v>82</v>
      </c>
      <c r="H2188" t="s">
        <v>71</v>
      </c>
      <c r="J2188" t="s">
        <v>52</v>
      </c>
      <c r="K2188" s="15">
        <v>25000</v>
      </c>
      <c r="M2188">
        <v>45345</v>
      </c>
      <c r="N2188" t="s">
        <v>1013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1853826.373831776</v>
      </c>
      <c r="Y2188">
        <v>1853826.373831776</v>
      </c>
      <c r="Z2188">
        <v>129767.84616822434</v>
      </c>
      <c r="AA2188">
        <v>1983594.2200000002</v>
      </c>
      <c r="AB2188" t="s">
        <v>242</v>
      </c>
      <c r="AC2188">
        <v>2</v>
      </c>
      <c r="AD2188">
        <v>42500</v>
      </c>
      <c r="AE2188">
        <v>0</v>
      </c>
      <c r="AF2188">
        <v>0</v>
      </c>
      <c r="AG2188">
        <v>2780.3738317757015</v>
      </c>
      <c r="AH2188" t="s">
        <v>58</v>
      </c>
      <c r="AK2188" t="s">
        <v>798</v>
      </c>
      <c r="AL2188">
        <v>52200938</v>
      </c>
      <c r="AM2188">
        <v>26269572</v>
      </c>
      <c r="AN2188" t="s">
        <v>144</v>
      </c>
      <c r="AO2188" t="s">
        <v>438</v>
      </c>
      <c r="AP2188" t="s">
        <v>431</v>
      </c>
      <c r="AQ2188" t="s">
        <v>82</v>
      </c>
      <c r="AR2188" t="s">
        <v>83</v>
      </c>
      <c r="AT2188" t="s">
        <v>52</v>
      </c>
      <c r="AU2188">
        <v>3000</v>
      </c>
      <c r="AW2188">
        <v>45345</v>
      </c>
      <c r="AX2188" t="s">
        <v>1013</v>
      </c>
      <c r="AY2188">
        <v>0</v>
      </c>
      <c r="AZ2188">
        <v>0</v>
      </c>
      <c r="BA2188">
        <v>0</v>
      </c>
      <c r="BB2188">
        <v>742.49738746257719</v>
      </c>
      <c r="BC2188">
        <v>2826.9727115957835</v>
      </c>
      <c r="BD2188">
        <v>0</v>
      </c>
      <c r="BE2188">
        <v>0</v>
      </c>
      <c r="BF2188">
        <v>47963.216707056527</v>
      </c>
      <c r="BG2188">
        <v>0</v>
      </c>
      <c r="BH2188">
        <v>0</v>
      </c>
      <c r="BI2188">
        <v>51532.686806114885</v>
      </c>
      <c r="BJ2188">
        <v>3555.3132593056621</v>
      </c>
      <c r="BK2188">
        <v>55088.000065420551</v>
      </c>
      <c r="BL2188" t="s">
        <v>242</v>
      </c>
      <c r="BM2188">
        <v>11</v>
      </c>
      <c r="BN2188">
        <v>27000</v>
      </c>
      <c r="BO2188">
        <v>0</v>
      </c>
      <c r="BP2188">
        <v>0</v>
      </c>
      <c r="BQ2188">
        <v>1740.481137497552</v>
      </c>
      <c r="BR2188" t="s">
        <v>58</v>
      </c>
    </row>
    <row r="2189" spans="1:70" x14ac:dyDescent="0.3">
      <c r="A2189" t="s">
        <v>798</v>
      </c>
      <c r="B2189">
        <v>2200001</v>
      </c>
      <c r="C2189">
        <v>22961523</v>
      </c>
      <c r="D2189" t="s">
        <v>407</v>
      </c>
      <c r="E2189" t="s">
        <v>435</v>
      </c>
      <c r="F2189" t="s">
        <v>675</v>
      </c>
      <c r="G2189" t="s">
        <v>235</v>
      </c>
      <c r="H2189" t="s">
        <v>235</v>
      </c>
      <c r="J2189" t="s">
        <v>52</v>
      </c>
      <c r="K2189" s="15">
        <v>3000</v>
      </c>
      <c r="M2189">
        <v>45347</v>
      </c>
      <c r="N2189" t="s">
        <v>1013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30246.990000000005</v>
      </c>
      <c r="W2189">
        <v>0</v>
      </c>
      <c r="X2189">
        <v>0</v>
      </c>
      <c r="Y2189">
        <v>30246.990000000005</v>
      </c>
      <c r="Z2189">
        <v>0</v>
      </c>
      <c r="AA2189">
        <v>30246.990000000005</v>
      </c>
      <c r="AB2189" t="s">
        <v>242</v>
      </c>
      <c r="AC2189">
        <v>13</v>
      </c>
      <c r="AD2189">
        <v>39000</v>
      </c>
      <c r="AE2189">
        <v>0</v>
      </c>
      <c r="AF2189">
        <v>0</v>
      </c>
      <c r="AG2189">
        <v>0</v>
      </c>
      <c r="AH2189" t="s">
        <v>58</v>
      </c>
      <c r="AK2189" t="s">
        <v>798</v>
      </c>
      <c r="AL2189">
        <v>52201226</v>
      </c>
      <c r="AM2189">
        <v>25511663</v>
      </c>
      <c r="AN2189" t="s">
        <v>667</v>
      </c>
      <c r="AO2189" t="s">
        <v>438</v>
      </c>
      <c r="AP2189" t="s">
        <v>431</v>
      </c>
      <c r="AQ2189" t="s">
        <v>235</v>
      </c>
      <c r="AR2189" t="s">
        <v>236</v>
      </c>
      <c r="AT2189" t="s">
        <v>52</v>
      </c>
      <c r="AU2189">
        <v>3000</v>
      </c>
      <c r="AW2189">
        <v>45347</v>
      </c>
      <c r="AX2189" t="s">
        <v>1013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212345.79439252338</v>
      </c>
      <c r="BG2189">
        <v>0</v>
      </c>
      <c r="BH2189">
        <v>0</v>
      </c>
      <c r="BI2189">
        <v>212345.79439252338</v>
      </c>
      <c r="BJ2189">
        <v>14864.205607476639</v>
      </c>
      <c r="BK2189">
        <v>227210.00000000003</v>
      </c>
      <c r="BL2189" t="s">
        <v>242</v>
      </c>
      <c r="BM2189">
        <v>2</v>
      </c>
      <c r="BN2189">
        <v>4000</v>
      </c>
      <c r="BO2189">
        <v>0</v>
      </c>
      <c r="BP2189">
        <v>0</v>
      </c>
      <c r="BQ2189">
        <v>260.83088332430134</v>
      </c>
      <c r="BR2189" t="s">
        <v>58</v>
      </c>
    </row>
    <row r="2190" spans="1:70" x14ac:dyDescent="0.3">
      <c r="A2190" t="s">
        <v>798</v>
      </c>
      <c r="B2190">
        <v>52200619</v>
      </c>
      <c r="C2190">
        <v>6102060118</v>
      </c>
      <c r="D2190" t="s">
        <v>138</v>
      </c>
      <c r="E2190" t="s">
        <v>437</v>
      </c>
      <c r="F2190" t="s">
        <v>431</v>
      </c>
      <c r="G2190" t="s">
        <v>82</v>
      </c>
      <c r="H2190" t="s">
        <v>83</v>
      </c>
      <c r="J2190" t="s">
        <v>52</v>
      </c>
      <c r="K2190" s="15">
        <v>700</v>
      </c>
      <c r="M2190">
        <v>45347</v>
      </c>
      <c r="N2190" t="s">
        <v>1013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4145.9626168224331</v>
      </c>
      <c r="W2190">
        <v>0</v>
      </c>
      <c r="X2190">
        <v>0</v>
      </c>
      <c r="Y2190">
        <v>4145.9626168224331</v>
      </c>
      <c r="Z2190">
        <v>290.21738317757035</v>
      </c>
      <c r="AA2190">
        <v>4436.1800000000039</v>
      </c>
      <c r="AB2190" t="s">
        <v>242</v>
      </c>
      <c r="AC2190">
        <v>20</v>
      </c>
      <c r="AD2190">
        <v>13500</v>
      </c>
      <c r="AE2190">
        <v>0</v>
      </c>
      <c r="AF2190">
        <v>0</v>
      </c>
      <c r="AG2190">
        <v>883.17757009345803</v>
      </c>
      <c r="AH2190" t="s">
        <v>58</v>
      </c>
      <c r="AK2190" t="s">
        <v>798</v>
      </c>
      <c r="AL2190">
        <v>4142301423</v>
      </c>
      <c r="AM2190">
        <v>10476549</v>
      </c>
      <c r="AN2190" t="s">
        <v>217</v>
      </c>
      <c r="AO2190" t="s">
        <v>446</v>
      </c>
      <c r="AP2190" t="s">
        <v>430</v>
      </c>
      <c r="AQ2190" t="s">
        <v>230</v>
      </c>
      <c r="AR2190" t="s">
        <v>234</v>
      </c>
      <c r="AT2190" t="s">
        <v>52</v>
      </c>
      <c r="AU2190">
        <v>4000</v>
      </c>
      <c r="AW2190">
        <v>45347</v>
      </c>
      <c r="AX2190" t="s">
        <v>1013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236545.38471386506</v>
      </c>
      <c r="BI2190">
        <v>236545.38471386506</v>
      </c>
      <c r="BJ2190">
        <v>16558.176929970556</v>
      </c>
      <c r="BK2190">
        <v>253103.56164383562</v>
      </c>
      <c r="BL2190" t="s">
        <v>242</v>
      </c>
      <c r="BM2190">
        <v>3</v>
      </c>
      <c r="BN2190">
        <v>12000</v>
      </c>
      <c r="BO2190">
        <v>0</v>
      </c>
      <c r="BP2190">
        <v>0</v>
      </c>
      <c r="BQ2190">
        <v>785.04672897196269</v>
      </c>
      <c r="BR2190" t="s">
        <v>58</v>
      </c>
    </row>
    <row r="2191" spans="1:70" x14ac:dyDescent="0.3">
      <c r="A2191" t="s">
        <v>798</v>
      </c>
      <c r="B2191">
        <v>52201226</v>
      </c>
      <c r="C2191">
        <v>25511663</v>
      </c>
      <c r="D2191" t="s">
        <v>667</v>
      </c>
      <c r="E2191" t="s">
        <v>438</v>
      </c>
      <c r="F2191" t="s">
        <v>431</v>
      </c>
      <c r="G2191" t="s">
        <v>235</v>
      </c>
      <c r="H2191" t="s">
        <v>236</v>
      </c>
      <c r="J2191" t="s">
        <v>52</v>
      </c>
      <c r="K2191" s="15">
        <v>3000</v>
      </c>
      <c r="M2191">
        <v>45347</v>
      </c>
      <c r="N2191" t="s">
        <v>1013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212345.79439252338</v>
      </c>
      <c r="W2191">
        <v>0</v>
      </c>
      <c r="X2191">
        <v>0</v>
      </c>
      <c r="Y2191">
        <v>212345.79439252338</v>
      </c>
      <c r="Z2191">
        <v>14864.205607476639</v>
      </c>
      <c r="AA2191">
        <v>227210.00000000003</v>
      </c>
      <c r="AB2191" t="s">
        <v>242</v>
      </c>
      <c r="AC2191">
        <v>2</v>
      </c>
      <c r="AD2191">
        <v>4000</v>
      </c>
      <c r="AE2191">
        <v>0</v>
      </c>
      <c r="AF2191">
        <v>0</v>
      </c>
      <c r="AG2191">
        <v>260.83088332430134</v>
      </c>
      <c r="AH2191" t="s">
        <v>58</v>
      </c>
      <c r="AK2191" t="s">
        <v>798</v>
      </c>
      <c r="AL2191">
        <v>2200001</v>
      </c>
      <c r="AM2191">
        <v>22961523</v>
      </c>
      <c r="AN2191" t="s">
        <v>407</v>
      </c>
      <c r="AO2191" t="s">
        <v>435</v>
      </c>
      <c r="AP2191" t="s">
        <v>675</v>
      </c>
      <c r="AQ2191" t="s">
        <v>235</v>
      </c>
      <c r="AR2191" t="s">
        <v>235</v>
      </c>
      <c r="AT2191" t="s">
        <v>52</v>
      </c>
      <c r="AU2191">
        <v>3000</v>
      </c>
      <c r="AW2191">
        <v>45347</v>
      </c>
      <c r="AX2191" t="s">
        <v>1013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30246.990000000005</v>
      </c>
      <c r="BG2191">
        <v>0</v>
      </c>
      <c r="BH2191">
        <v>0</v>
      </c>
      <c r="BI2191">
        <v>30246.990000000005</v>
      </c>
      <c r="BJ2191">
        <v>0</v>
      </c>
      <c r="BK2191">
        <v>30246.990000000005</v>
      </c>
      <c r="BL2191" t="s">
        <v>242</v>
      </c>
      <c r="BM2191">
        <v>13</v>
      </c>
      <c r="BN2191">
        <v>39000</v>
      </c>
      <c r="BO2191">
        <v>0</v>
      </c>
      <c r="BP2191">
        <v>0</v>
      </c>
      <c r="BQ2191">
        <v>0</v>
      </c>
      <c r="BR2191" t="s">
        <v>58</v>
      </c>
    </row>
    <row r="2192" spans="1:70" x14ac:dyDescent="0.3">
      <c r="A2192" t="s">
        <v>798</v>
      </c>
      <c r="B2192">
        <v>4142301423</v>
      </c>
      <c r="C2192">
        <v>10476549</v>
      </c>
      <c r="D2192" t="s">
        <v>217</v>
      </c>
      <c r="E2192" t="s">
        <v>446</v>
      </c>
      <c r="F2192" t="s">
        <v>430</v>
      </c>
      <c r="G2192" t="s">
        <v>230</v>
      </c>
      <c r="H2192" t="s">
        <v>234</v>
      </c>
      <c r="J2192" t="s">
        <v>52</v>
      </c>
      <c r="K2192" s="15">
        <v>4000</v>
      </c>
      <c r="M2192">
        <v>45347</v>
      </c>
      <c r="N2192" t="s">
        <v>1013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236545.38471386506</v>
      </c>
      <c r="Y2192">
        <v>236545.38471386506</v>
      </c>
      <c r="Z2192">
        <v>16558.176929970556</v>
      </c>
      <c r="AA2192">
        <v>253103.56164383562</v>
      </c>
      <c r="AB2192" t="s">
        <v>242</v>
      </c>
      <c r="AC2192">
        <v>3</v>
      </c>
      <c r="AD2192">
        <v>12000</v>
      </c>
      <c r="AE2192">
        <v>0</v>
      </c>
      <c r="AF2192">
        <v>0</v>
      </c>
      <c r="AG2192">
        <v>785.04672897196269</v>
      </c>
      <c r="AH2192" t="s">
        <v>58</v>
      </c>
      <c r="AK2192" t="s">
        <v>798</v>
      </c>
      <c r="AL2192">
        <v>52200619</v>
      </c>
      <c r="AM2192">
        <v>6102060118</v>
      </c>
      <c r="AN2192" t="s">
        <v>138</v>
      </c>
      <c r="AO2192" t="s">
        <v>437</v>
      </c>
      <c r="AP2192" t="s">
        <v>431</v>
      </c>
      <c r="AQ2192" t="s">
        <v>82</v>
      </c>
      <c r="AR2192" t="s">
        <v>83</v>
      </c>
      <c r="AT2192" t="s">
        <v>52</v>
      </c>
      <c r="AU2192">
        <v>700</v>
      </c>
      <c r="AW2192">
        <v>45347</v>
      </c>
      <c r="AX2192" t="s">
        <v>1013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4145.9626168224331</v>
      </c>
      <c r="BG2192">
        <v>0</v>
      </c>
      <c r="BH2192">
        <v>0</v>
      </c>
      <c r="BI2192">
        <v>4145.9626168224331</v>
      </c>
      <c r="BJ2192">
        <v>290.21738317757035</v>
      </c>
      <c r="BK2192">
        <v>4436.1800000000039</v>
      </c>
      <c r="BL2192" t="s">
        <v>242</v>
      </c>
      <c r="BM2192">
        <v>20</v>
      </c>
      <c r="BN2192">
        <v>13500</v>
      </c>
      <c r="BO2192">
        <v>0</v>
      </c>
      <c r="BP2192">
        <v>0</v>
      </c>
      <c r="BQ2192">
        <v>883.17757009345803</v>
      </c>
      <c r="BR2192" t="s">
        <v>58</v>
      </c>
    </row>
    <row r="2193" spans="1:70" x14ac:dyDescent="0.3">
      <c r="A2193" t="s">
        <v>798</v>
      </c>
      <c r="B2193">
        <v>52200044</v>
      </c>
      <c r="C2193">
        <v>24843920</v>
      </c>
      <c r="D2193" t="s">
        <v>383</v>
      </c>
      <c r="E2193" t="s">
        <v>435</v>
      </c>
      <c r="F2193" t="s">
        <v>431</v>
      </c>
      <c r="G2193" t="s">
        <v>235</v>
      </c>
      <c r="H2193" t="s">
        <v>236</v>
      </c>
      <c r="J2193" t="s">
        <v>52</v>
      </c>
      <c r="K2193" s="15">
        <v>5000</v>
      </c>
      <c r="M2193">
        <v>45348</v>
      </c>
      <c r="N2193" t="s">
        <v>1013</v>
      </c>
      <c r="O2193">
        <v>4113.5682353074717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122282.64650905845</v>
      </c>
      <c r="W2193">
        <v>0</v>
      </c>
      <c r="X2193">
        <v>0</v>
      </c>
      <c r="Y2193">
        <v>126396.21474436592</v>
      </c>
      <c r="Z2193">
        <v>8559.7852556340931</v>
      </c>
      <c r="AA2193">
        <v>134956</v>
      </c>
      <c r="AB2193" t="s">
        <v>242</v>
      </c>
      <c r="AC2193">
        <v>7</v>
      </c>
      <c r="AD2193">
        <v>29000</v>
      </c>
      <c r="AE2193">
        <v>0</v>
      </c>
      <c r="AF2193">
        <v>0</v>
      </c>
      <c r="AG2193">
        <v>1841.8058922441382</v>
      </c>
      <c r="AH2193" t="s">
        <v>58</v>
      </c>
      <c r="AK2193" t="s">
        <v>798</v>
      </c>
      <c r="AL2193">
        <v>4132300240</v>
      </c>
      <c r="AM2193">
        <v>1040196923</v>
      </c>
      <c r="AN2193" t="s">
        <v>697</v>
      </c>
      <c r="AO2193" t="s">
        <v>441</v>
      </c>
      <c r="AP2193" t="s">
        <v>430</v>
      </c>
      <c r="AQ2193" t="s">
        <v>230</v>
      </c>
      <c r="AR2193" t="s">
        <v>231</v>
      </c>
      <c r="AT2193" t="s">
        <v>416</v>
      </c>
      <c r="AU2193">
        <v>0.13671885859601218</v>
      </c>
      <c r="AW2193">
        <v>45348</v>
      </c>
      <c r="AX2193" t="s">
        <v>1016</v>
      </c>
      <c r="AY2193">
        <v>0</v>
      </c>
      <c r="AZ2193">
        <v>6673.9107348814996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159921.72943350056</v>
      </c>
      <c r="BH2193">
        <v>0</v>
      </c>
      <c r="BI2193">
        <v>166595.64016838206</v>
      </c>
      <c r="BJ2193">
        <v>11194.52106034504</v>
      </c>
      <c r="BK2193">
        <v>177790.16122872708</v>
      </c>
      <c r="BL2193" t="s">
        <v>242</v>
      </c>
      <c r="BM2193">
        <v>1</v>
      </c>
      <c r="BN2193">
        <v>50000</v>
      </c>
      <c r="BO2193">
        <v>0</v>
      </c>
      <c r="BP2193">
        <v>0</v>
      </c>
      <c r="BQ2193">
        <v>3137.8230025527737</v>
      </c>
      <c r="BR2193" t="s">
        <v>58</v>
      </c>
    </row>
    <row r="2194" spans="1:70" x14ac:dyDescent="0.3">
      <c r="A2194" t="s">
        <v>798</v>
      </c>
      <c r="B2194">
        <v>52200412</v>
      </c>
      <c r="C2194">
        <v>25145601</v>
      </c>
      <c r="D2194" t="s">
        <v>86</v>
      </c>
      <c r="E2194" t="s">
        <v>436</v>
      </c>
      <c r="F2194" t="s">
        <v>431</v>
      </c>
      <c r="G2194" t="s">
        <v>82</v>
      </c>
      <c r="H2194" t="s">
        <v>83</v>
      </c>
      <c r="J2194" t="s">
        <v>52</v>
      </c>
      <c r="K2194" s="15">
        <v>1700</v>
      </c>
      <c r="M2194">
        <v>45348</v>
      </c>
      <c r="N2194" t="s">
        <v>1013</v>
      </c>
      <c r="O2194">
        <v>0</v>
      </c>
      <c r="P2194">
        <v>0</v>
      </c>
      <c r="Q2194">
        <v>0</v>
      </c>
      <c r="R2194">
        <v>687.22505246892968</v>
      </c>
      <c r="S2194">
        <v>14786.330157968596</v>
      </c>
      <c r="T2194">
        <v>0</v>
      </c>
      <c r="U2194">
        <v>0</v>
      </c>
      <c r="V2194">
        <v>52616.263104201244</v>
      </c>
      <c r="W2194">
        <v>0</v>
      </c>
      <c r="X2194">
        <v>0</v>
      </c>
      <c r="Y2194">
        <v>68089.818314638775</v>
      </c>
      <c r="Z2194">
        <v>4718.1815283518899</v>
      </c>
      <c r="AA2194">
        <v>72807.99984299067</v>
      </c>
      <c r="AB2194" t="s">
        <v>242</v>
      </c>
      <c r="AC2194">
        <v>16</v>
      </c>
      <c r="AD2194">
        <v>20000</v>
      </c>
      <c r="AE2194">
        <v>0</v>
      </c>
      <c r="AF2194">
        <v>0</v>
      </c>
      <c r="AG2194">
        <v>1295.0801436194629</v>
      </c>
      <c r="AH2194" t="s">
        <v>58</v>
      </c>
      <c r="AK2194" t="s">
        <v>798</v>
      </c>
      <c r="AL2194">
        <v>52200044</v>
      </c>
      <c r="AM2194">
        <v>24843920</v>
      </c>
      <c r="AN2194" t="s">
        <v>383</v>
      </c>
      <c r="AO2194" t="s">
        <v>435</v>
      </c>
      <c r="AP2194" t="s">
        <v>431</v>
      </c>
      <c r="AQ2194" t="s">
        <v>235</v>
      </c>
      <c r="AR2194" t="s">
        <v>236</v>
      </c>
      <c r="AT2194" t="s">
        <v>52</v>
      </c>
      <c r="AU2194">
        <v>5000</v>
      </c>
      <c r="AW2194">
        <v>45348</v>
      </c>
      <c r="AX2194" t="s">
        <v>1013</v>
      </c>
      <c r="AY2194">
        <v>4113.5682353074717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122282.64650905845</v>
      </c>
      <c r="BG2194">
        <v>0</v>
      </c>
      <c r="BH2194">
        <v>0</v>
      </c>
      <c r="BI2194">
        <v>126396.21474436592</v>
      </c>
      <c r="BJ2194">
        <v>8559.7852556340931</v>
      </c>
      <c r="BK2194">
        <v>134956</v>
      </c>
      <c r="BL2194" t="s">
        <v>242</v>
      </c>
      <c r="BM2194">
        <v>7</v>
      </c>
      <c r="BN2194">
        <v>29000</v>
      </c>
      <c r="BO2194">
        <v>0</v>
      </c>
      <c r="BP2194">
        <v>0</v>
      </c>
      <c r="BQ2194">
        <v>1841.8058922441382</v>
      </c>
      <c r="BR2194" t="s">
        <v>58</v>
      </c>
    </row>
    <row r="2195" spans="1:70" x14ac:dyDescent="0.3">
      <c r="A2195" t="s">
        <v>798</v>
      </c>
      <c r="B2195">
        <v>52201063</v>
      </c>
      <c r="C2195">
        <v>23710909</v>
      </c>
      <c r="D2195" t="s">
        <v>147</v>
      </c>
      <c r="E2195" t="s">
        <v>438</v>
      </c>
      <c r="F2195" t="s">
        <v>431</v>
      </c>
      <c r="G2195" t="s">
        <v>82</v>
      </c>
      <c r="H2195" t="s">
        <v>83</v>
      </c>
      <c r="J2195" t="s">
        <v>52</v>
      </c>
      <c r="K2195" s="15">
        <v>1000</v>
      </c>
      <c r="M2195">
        <v>45348</v>
      </c>
      <c r="N2195" t="s">
        <v>1013</v>
      </c>
      <c r="O2195">
        <v>0</v>
      </c>
      <c r="P2195">
        <v>0</v>
      </c>
      <c r="Q2195">
        <v>0</v>
      </c>
      <c r="R2195">
        <v>790.99039961301958</v>
      </c>
      <c r="S2195">
        <v>20737.008999714024</v>
      </c>
      <c r="T2195">
        <v>0</v>
      </c>
      <c r="U2195">
        <v>0</v>
      </c>
      <c r="V2195">
        <v>49966.73843998649</v>
      </c>
      <c r="W2195">
        <v>0</v>
      </c>
      <c r="X2195">
        <v>0</v>
      </c>
      <c r="Y2195">
        <v>71494.73783931353</v>
      </c>
      <c r="Z2195">
        <v>4949.2623207790366</v>
      </c>
      <c r="AA2195">
        <v>76444.000160092561</v>
      </c>
      <c r="AB2195" t="s">
        <v>242</v>
      </c>
      <c r="AC2195">
        <v>9</v>
      </c>
      <c r="AD2195">
        <v>9000</v>
      </c>
      <c r="AE2195">
        <v>0</v>
      </c>
      <c r="AF2195">
        <v>0</v>
      </c>
      <c r="AG2195">
        <v>582.24236259150609</v>
      </c>
      <c r="AH2195" t="s">
        <v>58</v>
      </c>
      <c r="AK2195" t="s">
        <v>798</v>
      </c>
      <c r="AL2195">
        <v>4132300240</v>
      </c>
      <c r="AM2195">
        <v>1040196923</v>
      </c>
      <c r="AN2195" t="s">
        <v>697</v>
      </c>
      <c r="AO2195" t="s">
        <v>441</v>
      </c>
      <c r="AP2195" t="s">
        <v>430</v>
      </c>
      <c r="AQ2195" t="s">
        <v>230</v>
      </c>
      <c r="AR2195" t="s">
        <v>231</v>
      </c>
      <c r="AT2195" t="s">
        <v>52</v>
      </c>
      <c r="AU2195">
        <v>50000</v>
      </c>
      <c r="AW2195">
        <v>45348</v>
      </c>
      <c r="AX2195" t="s">
        <v>1041</v>
      </c>
      <c r="AY2195">
        <v>0</v>
      </c>
      <c r="AZ2195">
        <v>7730.8658961638594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185248.72346152912</v>
      </c>
      <c r="BH2195">
        <v>0</v>
      </c>
      <c r="BI2195">
        <v>192979.58935769298</v>
      </c>
      <c r="BJ2195">
        <v>12967.410642307041</v>
      </c>
      <c r="BK2195">
        <v>205947.00000000003</v>
      </c>
      <c r="BL2195" t="s">
        <v>242</v>
      </c>
      <c r="BM2195">
        <v>1</v>
      </c>
      <c r="BN2195">
        <v>50000</v>
      </c>
      <c r="BO2195">
        <v>0</v>
      </c>
      <c r="BP2195">
        <v>0</v>
      </c>
      <c r="BQ2195">
        <v>3137.8230025527737</v>
      </c>
      <c r="BR2195" t="s">
        <v>72</v>
      </c>
    </row>
    <row r="2196" spans="1:70" x14ac:dyDescent="0.3">
      <c r="A2196" t="s">
        <v>798</v>
      </c>
      <c r="B2196">
        <v>52201351</v>
      </c>
      <c r="C2196">
        <v>22940816</v>
      </c>
      <c r="D2196" t="s">
        <v>155</v>
      </c>
      <c r="E2196" t="s">
        <v>438</v>
      </c>
      <c r="F2196" t="s">
        <v>431</v>
      </c>
      <c r="G2196" t="s">
        <v>82</v>
      </c>
      <c r="H2196" t="s">
        <v>83</v>
      </c>
      <c r="J2196" t="s">
        <v>52</v>
      </c>
      <c r="K2196" s="15">
        <v>500</v>
      </c>
      <c r="M2196">
        <v>45348</v>
      </c>
      <c r="N2196" t="s">
        <v>1013</v>
      </c>
      <c r="O2196">
        <v>0</v>
      </c>
      <c r="P2196">
        <v>0</v>
      </c>
      <c r="Q2196">
        <v>0</v>
      </c>
      <c r="R2196">
        <v>762.43479150872599</v>
      </c>
      <c r="S2196">
        <v>16640.880425433403</v>
      </c>
      <c r="T2196">
        <v>0</v>
      </c>
      <c r="U2196">
        <v>0</v>
      </c>
      <c r="V2196">
        <v>73829.741339665459</v>
      </c>
      <c r="W2196">
        <v>0</v>
      </c>
      <c r="X2196">
        <v>0</v>
      </c>
      <c r="Y2196">
        <v>91233.056556607597</v>
      </c>
      <c r="Z2196">
        <v>6332.9435235569208</v>
      </c>
      <c r="AA2196">
        <v>97566.000080164522</v>
      </c>
      <c r="AB2196" t="s">
        <v>242</v>
      </c>
      <c r="AC2196">
        <v>21</v>
      </c>
      <c r="AD2196">
        <v>15300</v>
      </c>
      <c r="AE2196">
        <v>0</v>
      </c>
      <c r="AF2196">
        <v>0</v>
      </c>
      <c r="AG2196">
        <v>992.52377140711314</v>
      </c>
      <c r="AH2196" t="s">
        <v>58</v>
      </c>
      <c r="AK2196" t="s">
        <v>798</v>
      </c>
      <c r="AL2196">
        <v>4132301740</v>
      </c>
      <c r="AM2196" t="s">
        <v>686</v>
      </c>
      <c r="AN2196" t="s">
        <v>959</v>
      </c>
      <c r="AO2196" t="s">
        <v>442</v>
      </c>
      <c r="AP2196" t="s">
        <v>430</v>
      </c>
      <c r="AQ2196" t="s">
        <v>230</v>
      </c>
      <c r="AR2196" t="s">
        <v>231</v>
      </c>
      <c r="AT2196" t="s">
        <v>52</v>
      </c>
      <c r="AU2196">
        <v>3000</v>
      </c>
      <c r="AW2196">
        <v>45348</v>
      </c>
      <c r="AX2196" t="s">
        <v>1013</v>
      </c>
      <c r="AY2196">
        <v>0</v>
      </c>
      <c r="AZ2196">
        <v>11881.422177900258</v>
      </c>
      <c r="BA2196">
        <v>0</v>
      </c>
      <c r="BB2196">
        <v>0</v>
      </c>
      <c r="BC2196">
        <v>25539.360000000001</v>
      </c>
      <c r="BD2196">
        <v>32353.81104869135</v>
      </c>
      <c r="BE2196">
        <v>13084.11214953271</v>
      </c>
      <c r="BF2196">
        <v>0</v>
      </c>
      <c r="BG2196">
        <v>280373.83177570091</v>
      </c>
      <c r="BH2196">
        <v>0</v>
      </c>
      <c r="BI2196">
        <v>363232.53715182521</v>
      </c>
      <c r="BJ2196">
        <v>22806.82284817475</v>
      </c>
      <c r="BK2196">
        <v>386039.36</v>
      </c>
      <c r="BL2196" t="s">
        <v>242</v>
      </c>
      <c r="BM2196">
        <v>2</v>
      </c>
      <c r="BN2196">
        <v>6000</v>
      </c>
      <c r="BO2196">
        <v>0</v>
      </c>
      <c r="BP2196">
        <v>0</v>
      </c>
      <c r="BQ2196">
        <v>352.05565649814753</v>
      </c>
      <c r="BR2196" t="s">
        <v>58</v>
      </c>
    </row>
    <row r="2197" spans="1:70" x14ac:dyDescent="0.3">
      <c r="A2197" t="s">
        <v>798</v>
      </c>
      <c r="B2197">
        <v>4132300240</v>
      </c>
      <c r="C2197">
        <v>1040196923</v>
      </c>
      <c r="D2197" t="s">
        <v>697</v>
      </c>
      <c r="E2197" t="s">
        <v>441</v>
      </c>
      <c r="F2197" t="s">
        <v>430</v>
      </c>
      <c r="G2197" t="s">
        <v>230</v>
      </c>
      <c r="H2197" t="s">
        <v>231</v>
      </c>
      <c r="J2197" t="s">
        <v>52</v>
      </c>
      <c r="K2197" s="15">
        <v>50000</v>
      </c>
      <c r="M2197">
        <v>45348</v>
      </c>
      <c r="N2197" t="s">
        <v>1041</v>
      </c>
      <c r="O2197">
        <v>0</v>
      </c>
      <c r="P2197">
        <v>7730.8658961638594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185248.72346152912</v>
      </c>
      <c r="X2197">
        <v>0</v>
      </c>
      <c r="Y2197">
        <v>192979.58935769298</v>
      </c>
      <c r="Z2197">
        <v>12967.410642307041</v>
      </c>
      <c r="AA2197">
        <v>205947.00000000003</v>
      </c>
      <c r="AB2197" t="s">
        <v>242</v>
      </c>
      <c r="AC2197">
        <v>1</v>
      </c>
      <c r="AD2197">
        <v>50000</v>
      </c>
      <c r="AE2197">
        <v>0</v>
      </c>
      <c r="AF2197">
        <v>0</v>
      </c>
      <c r="AG2197">
        <v>3137.8230025527737</v>
      </c>
      <c r="AH2197" t="s">
        <v>72</v>
      </c>
      <c r="AK2197" t="s">
        <v>798</v>
      </c>
      <c r="AL2197">
        <v>52200412</v>
      </c>
      <c r="AM2197">
        <v>25145601</v>
      </c>
      <c r="AN2197" t="s">
        <v>86</v>
      </c>
      <c r="AO2197" t="s">
        <v>436</v>
      </c>
      <c r="AP2197" t="s">
        <v>431</v>
      </c>
      <c r="AQ2197" t="s">
        <v>82</v>
      </c>
      <c r="AR2197" t="s">
        <v>83</v>
      </c>
      <c r="AT2197" t="s">
        <v>52</v>
      </c>
      <c r="AU2197">
        <v>1700</v>
      </c>
      <c r="AW2197">
        <v>45348</v>
      </c>
      <c r="AX2197" t="s">
        <v>1013</v>
      </c>
      <c r="AY2197">
        <v>0</v>
      </c>
      <c r="AZ2197">
        <v>0</v>
      </c>
      <c r="BA2197">
        <v>0</v>
      </c>
      <c r="BB2197">
        <v>687.22505246892968</v>
      </c>
      <c r="BC2197">
        <v>14786.330157968596</v>
      </c>
      <c r="BD2197">
        <v>0</v>
      </c>
      <c r="BE2197">
        <v>0</v>
      </c>
      <c r="BF2197">
        <v>52616.263104201244</v>
      </c>
      <c r="BG2197">
        <v>0</v>
      </c>
      <c r="BH2197">
        <v>0</v>
      </c>
      <c r="BI2197">
        <v>68089.818314638775</v>
      </c>
      <c r="BJ2197">
        <v>4718.1815283518899</v>
      </c>
      <c r="BK2197">
        <v>72807.99984299067</v>
      </c>
      <c r="BL2197" t="s">
        <v>242</v>
      </c>
      <c r="BM2197">
        <v>16</v>
      </c>
      <c r="BN2197">
        <v>20000</v>
      </c>
      <c r="BO2197">
        <v>0</v>
      </c>
      <c r="BP2197">
        <v>0</v>
      </c>
      <c r="BQ2197">
        <v>1295.0801436194629</v>
      </c>
      <c r="BR2197" t="s">
        <v>58</v>
      </c>
    </row>
    <row r="2198" spans="1:70" x14ac:dyDescent="0.3">
      <c r="A2198" t="s">
        <v>798</v>
      </c>
      <c r="B2198">
        <v>4132300240</v>
      </c>
      <c r="C2198">
        <v>1040196923</v>
      </c>
      <c r="D2198" t="s">
        <v>697</v>
      </c>
      <c r="E2198" t="s">
        <v>441</v>
      </c>
      <c r="F2198" t="s">
        <v>430</v>
      </c>
      <c r="G2198" t="s">
        <v>230</v>
      </c>
      <c r="H2198" t="s">
        <v>231</v>
      </c>
      <c r="J2198" t="s">
        <v>416</v>
      </c>
      <c r="K2198" s="15">
        <v>0.13671885859601218</v>
      </c>
      <c r="M2198">
        <v>45348</v>
      </c>
      <c r="N2198" t="s">
        <v>1016</v>
      </c>
      <c r="O2198">
        <v>0</v>
      </c>
      <c r="P2198">
        <v>6673.9107348814996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159921.72943350056</v>
      </c>
      <c r="X2198">
        <v>0</v>
      </c>
      <c r="Y2198">
        <v>166595.64016838206</v>
      </c>
      <c r="Z2198">
        <v>11194.52106034504</v>
      </c>
      <c r="AA2198">
        <v>177790.16122872708</v>
      </c>
      <c r="AB2198" t="s">
        <v>242</v>
      </c>
      <c r="AC2198">
        <v>1</v>
      </c>
      <c r="AD2198">
        <v>50000</v>
      </c>
      <c r="AE2198">
        <v>0</v>
      </c>
      <c r="AF2198">
        <v>0</v>
      </c>
      <c r="AG2198">
        <v>3137.8230025527737</v>
      </c>
      <c r="AH2198" t="s">
        <v>58</v>
      </c>
      <c r="AK2198" t="s">
        <v>798</v>
      </c>
      <c r="AL2198">
        <v>52201063</v>
      </c>
      <c r="AM2198">
        <v>23710909</v>
      </c>
      <c r="AN2198" t="s">
        <v>147</v>
      </c>
      <c r="AO2198" t="s">
        <v>438</v>
      </c>
      <c r="AP2198" t="s">
        <v>431</v>
      </c>
      <c r="AQ2198" t="s">
        <v>82</v>
      </c>
      <c r="AR2198" t="s">
        <v>83</v>
      </c>
      <c r="AT2198" t="s">
        <v>52</v>
      </c>
      <c r="AU2198">
        <v>1000</v>
      </c>
      <c r="AW2198">
        <v>45348</v>
      </c>
      <c r="AX2198" t="s">
        <v>1013</v>
      </c>
      <c r="AY2198">
        <v>0</v>
      </c>
      <c r="AZ2198">
        <v>0</v>
      </c>
      <c r="BA2198">
        <v>0</v>
      </c>
      <c r="BB2198">
        <v>790.99039961301958</v>
      </c>
      <c r="BC2198">
        <v>20737.008999714024</v>
      </c>
      <c r="BD2198">
        <v>0</v>
      </c>
      <c r="BE2198">
        <v>0</v>
      </c>
      <c r="BF2198">
        <v>49966.73843998649</v>
      </c>
      <c r="BG2198">
        <v>0</v>
      </c>
      <c r="BH2198">
        <v>0</v>
      </c>
      <c r="BI2198">
        <v>71494.73783931353</v>
      </c>
      <c r="BJ2198">
        <v>4949.2623207790366</v>
      </c>
      <c r="BK2198">
        <v>76444.000160092561</v>
      </c>
      <c r="BL2198" t="s">
        <v>242</v>
      </c>
      <c r="BM2198">
        <v>9</v>
      </c>
      <c r="BN2198">
        <v>9000</v>
      </c>
      <c r="BO2198">
        <v>0</v>
      </c>
      <c r="BP2198">
        <v>0</v>
      </c>
      <c r="BQ2198">
        <v>582.24236259150609</v>
      </c>
      <c r="BR2198" t="s">
        <v>58</v>
      </c>
    </row>
    <row r="2199" spans="1:70" x14ac:dyDescent="0.3">
      <c r="A2199" t="s">
        <v>798</v>
      </c>
      <c r="B2199">
        <v>4132301740</v>
      </c>
      <c r="C2199" t="s">
        <v>686</v>
      </c>
      <c r="D2199" t="s">
        <v>959</v>
      </c>
      <c r="E2199" t="s">
        <v>442</v>
      </c>
      <c r="F2199" t="s">
        <v>430</v>
      </c>
      <c r="G2199" t="s">
        <v>230</v>
      </c>
      <c r="H2199" t="s">
        <v>231</v>
      </c>
      <c r="J2199" t="s">
        <v>52</v>
      </c>
      <c r="K2199" s="15">
        <v>3000</v>
      </c>
      <c r="M2199">
        <v>45348</v>
      </c>
      <c r="N2199" t="s">
        <v>1013</v>
      </c>
      <c r="O2199">
        <v>0</v>
      </c>
      <c r="P2199">
        <v>11881.422177900258</v>
      </c>
      <c r="Q2199">
        <v>0</v>
      </c>
      <c r="R2199">
        <v>0</v>
      </c>
      <c r="S2199">
        <v>25539.360000000001</v>
      </c>
      <c r="T2199">
        <v>32353.81104869135</v>
      </c>
      <c r="U2199">
        <v>13084.11214953271</v>
      </c>
      <c r="V2199">
        <v>0</v>
      </c>
      <c r="W2199">
        <v>280373.83177570091</v>
      </c>
      <c r="X2199">
        <v>0</v>
      </c>
      <c r="Y2199">
        <v>363232.53715182521</v>
      </c>
      <c r="Z2199">
        <v>22806.82284817475</v>
      </c>
      <c r="AA2199">
        <v>386039.36</v>
      </c>
      <c r="AB2199" t="s">
        <v>242</v>
      </c>
      <c r="AC2199">
        <v>2</v>
      </c>
      <c r="AD2199">
        <v>6000</v>
      </c>
      <c r="AE2199">
        <v>0</v>
      </c>
      <c r="AF2199">
        <v>0</v>
      </c>
      <c r="AG2199">
        <v>352.05565649814753</v>
      </c>
      <c r="AH2199" t="s">
        <v>58</v>
      </c>
      <c r="AK2199" t="s">
        <v>798</v>
      </c>
      <c r="AL2199">
        <v>52201351</v>
      </c>
      <c r="AM2199">
        <v>22940816</v>
      </c>
      <c r="AN2199" t="s">
        <v>155</v>
      </c>
      <c r="AO2199" t="s">
        <v>438</v>
      </c>
      <c r="AP2199" t="s">
        <v>431</v>
      </c>
      <c r="AQ2199" t="s">
        <v>82</v>
      </c>
      <c r="AR2199" t="s">
        <v>83</v>
      </c>
      <c r="AT2199" t="s">
        <v>52</v>
      </c>
      <c r="AU2199">
        <v>500</v>
      </c>
      <c r="AW2199">
        <v>45348</v>
      </c>
      <c r="AX2199" t="s">
        <v>1013</v>
      </c>
      <c r="AY2199">
        <v>0</v>
      </c>
      <c r="AZ2199">
        <v>0</v>
      </c>
      <c r="BA2199">
        <v>0</v>
      </c>
      <c r="BB2199">
        <v>762.43479150872599</v>
      </c>
      <c r="BC2199">
        <v>16640.880425433403</v>
      </c>
      <c r="BD2199">
        <v>0</v>
      </c>
      <c r="BE2199">
        <v>0</v>
      </c>
      <c r="BF2199">
        <v>73829.741339665459</v>
      </c>
      <c r="BG2199">
        <v>0</v>
      </c>
      <c r="BH2199">
        <v>0</v>
      </c>
      <c r="BI2199">
        <v>91233.056556607597</v>
      </c>
      <c r="BJ2199">
        <v>6332.9435235569208</v>
      </c>
      <c r="BK2199">
        <v>97566.000080164522</v>
      </c>
      <c r="BL2199" t="s">
        <v>242</v>
      </c>
      <c r="BM2199">
        <v>21</v>
      </c>
      <c r="BN2199">
        <v>15300</v>
      </c>
      <c r="BO2199">
        <v>0</v>
      </c>
      <c r="BP2199">
        <v>0</v>
      </c>
      <c r="BQ2199">
        <v>992.52377140711314</v>
      </c>
      <c r="BR2199" t="s">
        <v>58</v>
      </c>
    </row>
    <row r="2200" spans="1:70" x14ac:dyDescent="0.3">
      <c r="A2200" t="s">
        <v>798</v>
      </c>
      <c r="B2200">
        <v>52200764</v>
      </c>
      <c r="C2200">
        <v>29315611</v>
      </c>
      <c r="D2200" t="s">
        <v>142</v>
      </c>
      <c r="E2200" t="s">
        <v>438</v>
      </c>
      <c r="F2200" t="s">
        <v>431</v>
      </c>
      <c r="G2200" t="s">
        <v>82</v>
      </c>
      <c r="H2200" t="s">
        <v>83</v>
      </c>
      <c r="J2200" t="s">
        <v>52</v>
      </c>
      <c r="K2200" s="15">
        <v>1000</v>
      </c>
      <c r="M2200">
        <v>45349</v>
      </c>
      <c r="N2200" t="s">
        <v>1013</v>
      </c>
      <c r="O2200">
        <v>0</v>
      </c>
      <c r="P2200">
        <v>0</v>
      </c>
      <c r="Q2200">
        <v>0</v>
      </c>
      <c r="R2200">
        <v>820.45857368759107</v>
      </c>
      <c r="S2200">
        <v>12771.693856366743</v>
      </c>
      <c r="T2200">
        <v>0</v>
      </c>
      <c r="U2200">
        <v>0</v>
      </c>
      <c r="V2200">
        <v>50364.328598130844</v>
      </c>
      <c r="W2200">
        <v>0</v>
      </c>
      <c r="X2200">
        <v>0</v>
      </c>
      <c r="Y2200">
        <v>63956.481028185175</v>
      </c>
      <c r="Z2200">
        <v>4419.5215718148311</v>
      </c>
      <c r="AA2200">
        <v>68376.002600000007</v>
      </c>
      <c r="AB2200" t="s">
        <v>242</v>
      </c>
      <c r="AC2200">
        <v>6</v>
      </c>
      <c r="AD2200">
        <v>9268</v>
      </c>
      <c r="AE2200">
        <v>0</v>
      </c>
      <c r="AF2200">
        <v>0</v>
      </c>
      <c r="AG2200">
        <v>598.49728986741263</v>
      </c>
      <c r="AH2200" t="s">
        <v>58</v>
      </c>
      <c r="AK2200" t="s">
        <v>798</v>
      </c>
      <c r="AL2200">
        <v>4142301400</v>
      </c>
      <c r="AM2200">
        <v>10447242</v>
      </c>
      <c r="AN2200" t="s">
        <v>755</v>
      </c>
      <c r="AO2200" t="s">
        <v>446</v>
      </c>
      <c r="AP2200" t="s">
        <v>430</v>
      </c>
      <c r="AQ2200" t="s">
        <v>230</v>
      </c>
      <c r="AR2200" t="s">
        <v>234</v>
      </c>
      <c r="AT2200" t="s">
        <v>52</v>
      </c>
      <c r="AU2200">
        <v>3000</v>
      </c>
      <c r="AW2200">
        <v>45349</v>
      </c>
      <c r="AX2200" t="s">
        <v>1013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203953.0186915888</v>
      </c>
      <c r="BI2200">
        <v>203953.0186915888</v>
      </c>
      <c r="BJ2200">
        <v>14276.711308411217</v>
      </c>
      <c r="BK2200">
        <v>218229.73</v>
      </c>
      <c r="BL2200" t="s">
        <v>242</v>
      </c>
      <c r="BM2200">
        <v>1</v>
      </c>
      <c r="BN2200">
        <v>3000</v>
      </c>
      <c r="BO2200">
        <v>0</v>
      </c>
      <c r="BP2200">
        <v>0</v>
      </c>
      <c r="BQ2200">
        <v>196.2616822429909</v>
      </c>
      <c r="BR2200" t="s">
        <v>72</v>
      </c>
    </row>
    <row r="2201" spans="1:70" x14ac:dyDescent="0.3">
      <c r="A2201" t="s">
        <v>798</v>
      </c>
      <c r="B2201">
        <v>82200001</v>
      </c>
      <c r="C2201">
        <v>901018012979</v>
      </c>
      <c r="D2201" t="s">
        <v>988</v>
      </c>
      <c r="E2201" t="s">
        <v>440</v>
      </c>
      <c r="F2201" t="s">
        <v>433</v>
      </c>
      <c r="G2201" t="s">
        <v>235</v>
      </c>
      <c r="H2201" t="s">
        <v>236</v>
      </c>
      <c r="J2201" t="s">
        <v>672</v>
      </c>
      <c r="M2201">
        <v>45349</v>
      </c>
      <c r="N2201" t="s">
        <v>1024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2056074.7663551401</v>
      </c>
      <c r="W2201">
        <v>0</v>
      </c>
      <c r="X2201">
        <v>0</v>
      </c>
      <c r="Y2201">
        <v>2056074.7663551401</v>
      </c>
      <c r="Z2201">
        <v>143925.23364485984</v>
      </c>
      <c r="AA2201">
        <v>2200000</v>
      </c>
      <c r="AB2201" t="s">
        <v>242</v>
      </c>
      <c r="AC2201">
        <v>5</v>
      </c>
      <c r="AD2201">
        <v>105000</v>
      </c>
      <c r="AE2201">
        <v>0</v>
      </c>
      <c r="AF2201">
        <v>0</v>
      </c>
      <c r="AG2201">
        <v>6397.5141176879297</v>
      </c>
      <c r="AH2201" t="s">
        <v>58</v>
      </c>
      <c r="AK2201" t="s">
        <v>798</v>
      </c>
      <c r="AL2201">
        <v>4302300048</v>
      </c>
      <c r="AM2201">
        <v>901020006420</v>
      </c>
      <c r="AN2201" t="s">
        <v>228</v>
      </c>
      <c r="AO2201" t="s">
        <v>447</v>
      </c>
      <c r="AP2201" t="s">
        <v>433</v>
      </c>
      <c r="AQ2201" t="s">
        <v>82</v>
      </c>
      <c r="AR2201" t="s">
        <v>83</v>
      </c>
      <c r="AT2201" t="s">
        <v>52</v>
      </c>
      <c r="AU2201">
        <v>10000</v>
      </c>
      <c r="AW2201">
        <v>45349</v>
      </c>
      <c r="AX2201" t="s">
        <v>1013</v>
      </c>
      <c r="AY2201">
        <v>0</v>
      </c>
      <c r="AZ2201">
        <v>0</v>
      </c>
      <c r="BA2201">
        <v>19418.170797358795</v>
      </c>
      <c r="BB2201">
        <v>2772.12</v>
      </c>
      <c r="BC2201">
        <v>0</v>
      </c>
      <c r="BD2201">
        <v>0</v>
      </c>
      <c r="BE2201">
        <v>0</v>
      </c>
      <c r="BF2201">
        <v>303574.54402115988</v>
      </c>
      <c r="BG2201">
        <v>0</v>
      </c>
      <c r="BH2201">
        <v>0</v>
      </c>
      <c r="BI2201">
        <v>325764.83481851866</v>
      </c>
      <c r="BJ2201">
        <v>21250.218081481195</v>
      </c>
      <c r="BK2201">
        <v>347015.05289999984</v>
      </c>
      <c r="BL2201" t="s">
        <v>242</v>
      </c>
      <c r="BM2201">
        <v>10</v>
      </c>
      <c r="BN2201">
        <v>214206</v>
      </c>
      <c r="BO2201">
        <v>0</v>
      </c>
      <c r="BP2201">
        <v>0</v>
      </c>
      <c r="BQ2201">
        <v>13040.504818518797</v>
      </c>
      <c r="BR2201" t="s">
        <v>58</v>
      </c>
    </row>
    <row r="2202" spans="1:70" x14ac:dyDescent="0.3">
      <c r="A2202" t="s">
        <v>798</v>
      </c>
      <c r="B2202">
        <v>4132300037</v>
      </c>
      <c r="C2202">
        <v>1011233607</v>
      </c>
      <c r="D2202" t="s">
        <v>171</v>
      </c>
      <c r="E2202" t="s">
        <v>441</v>
      </c>
      <c r="F2202" t="s">
        <v>430</v>
      </c>
      <c r="G2202" t="s">
        <v>237</v>
      </c>
      <c r="H2202" t="s">
        <v>231</v>
      </c>
      <c r="J2202" t="s">
        <v>425</v>
      </c>
      <c r="K2202" s="15">
        <v>50000</v>
      </c>
      <c r="M2202">
        <v>45349</v>
      </c>
      <c r="N2202" t="s">
        <v>1023</v>
      </c>
      <c r="O2202">
        <v>0</v>
      </c>
      <c r="P2202">
        <v>4043.3851474734961</v>
      </c>
      <c r="Q2202">
        <v>0</v>
      </c>
      <c r="R2202">
        <v>0</v>
      </c>
      <c r="S2202">
        <v>0</v>
      </c>
      <c r="T2202">
        <v>36118.331637875242</v>
      </c>
      <c r="U2202">
        <v>0</v>
      </c>
      <c r="V2202">
        <v>0</v>
      </c>
      <c r="W2202">
        <v>52803.738317757015</v>
      </c>
      <c r="X2202">
        <v>0</v>
      </c>
      <c r="Y2202">
        <v>92965.455103105749</v>
      </c>
      <c r="Z2202">
        <v>6224.5448968942592</v>
      </c>
      <c r="AA2202">
        <v>99190.000000000015</v>
      </c>
      <c r="AB2202" t="s">
        <v>331</v>
      </c>
      <c r="AC2202">
        <v>1</v>
      </c>
      <c r="AD2202">
        <v>2000</v>
      </c>
      <c r="AE2202">
        <v>0</v>
      </c>
      <c r="AF2202">
        <v>53500</v>
      </c>
      <c r="AG2202">
        <v>3627.1373460963969</v>
      </c>
      <c r="AH2202" t="s">
        <v>58</v>
      </c>
      <c r="AK2202" t="s">
        <v>798</v>
      </c>
      <c r="AL2202">
        <v>4312300012</v>
      </c>
      <c r="AM2202" t="s">
        <v>61</v>
      </c>
      <c r="AN2202" t="s">
        <v>963</v>
      </c>
      <c r="AO2202" t="s">
        <v>448</v>
      </c>
      <c r="AP2202" t="s">
        <v>433</v>
      </c>
      <c r="AQ2202" t="s">
        <v>82</v>
      </c>
      <c r="AR2202" t="s">
        <v>71</v>
      </c>
      <c r="AT2202" t="s">
        <v>52</v>
      </c>
      <c r="AU2202">
        <v>30000</v>
      </c>
      <c r="AW2202">
        <v>45349</v>
      </c>
      <c r="AX2202" t="s">
        <v>1013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1824210.5420560748</v>
      </c>
      <c r="BI2202">
        <v>1824210.5420560748</v>
      </c>
      <c r="BJ2202">
        <v>127694.73794392525</v>
      </c>
      <c r="BK2202">
        <v>1951905.28</v>
      </c>
      <c r="BL2202" t="s">
        <v>242</v>
      </c>
      <c r="BM2202">
        <v>10</v>
      </c>
      <c r="BN2202">
        <v>160165</v>
      </c>
      <c r="BO2202">
        <v>0</v>
      </c>
      <c r="BP2202">
        <v>0</v>
      </c>
      <c r="BQ2202">
        <v>10478.084112149534</v>
      </c>
      <c r="BR2202" t="s">
        <v>58</v>
      </c>
    </row>
    <row r="2203" spans="1:70" x14ac:dyDescent="0.3">
      <c r="A2203" t="s">
        <v>798</v>
      </c>
      <c r="B2203">
        <v>4132300375</v>
      </c>
      <c r="C2203">
        <v>1010227956</v>
      </c>
      <c r="D2203" t="s">
        <v>175</v>
      </c>
      <c r="E2203" t="s">
        <v>441</v>
      </c>
      <c r="F2203" t="s">
        <v>430</v>
      </c>
      <c r="G2203" t="s">
        <v>233</v>
      </c>
      <c r="H2203" t="s">
        <v>231</v>
      </c>
      <c r="J2203" t="s">
        <v>52</v>
      </c>
      <c r="K2203" s="15">
        <v>2000</v>
      </c>
      <c r="M2203">
        <v>45349</v>
      </c>
      <c r="N2203" t="s">
        <v>1013</v>
      </c>
      <c r="O2203">
        <v>0</v>
      </c>
      <c r="P2203">
        <v>0</v>
      </c>
      <c r="Q2203">
        <v>0</v>
      </c>
      <c r="R2203">
        <v>0</v>
      </c>
      <c r="S2203">
        <v>8801.3539470684627</v>
      </c>
      <c r="T2203">
        <v>2408.1252319037558</v>
      </c>
      <c r="U2203">
        <v>0</v>
      </c>
      <c r="V2203">
        <v>0</v>
      </c>
      <c r="W2203">
        <v>0</v>
      </c>
      <c r="X2203">
        <v>0</v>
      </c>
      <c r="Y2203">
        <v>11209.479178972219</v>
      </c>
      <c r="Z2203">
        <v>168.56876623326292</v>
      </c>
      <c r="AA2203">
        <v>11378.047945205481</v>
      </c>
      <c r="AB2203" t="s">
        <v>242</v>
      </c>
      <c r="AC2203">
        <v>7</v>
      </c>
      <c r="AD2203">
        <v>14000</v>
      </c>
      <c r="AE2203">
        <v>0</v>
      </c>
      <c r="AF2203">
        <v>0</v>
      </c>
      <c r="AG2203">
        <v>191.2443178788867</v>
      </c>
      <c r="AH2203" t="s">
        <v>58</v>
      </c>
      <c r="AK2203" t="s">
        <v>798</v>
      </c>
      <c r="AL2203">
        <v>52200764</v>
      </c>
      <c r="AM2203">
        <v>29315611</v>
      </c>
      <c r="AN2203" t="s">
        <v>142</v>
      </c>
      <c r="AO2203" t="s">
        <v>438</v>
      </c>
      <c r="AP2203" t="s">
        <v>431</v>
      </c>
      <c r="AQ2203" t="s">
        <v>82</v>
      </c>
      <c r="AR2203" t="s">
        <v>83</v>
      </c>
      <c r="AT2203" t="s">
        <v>52</v>
      </c>
      <c r="AU2203">
        <v>1000</v>
      </c>
      <c r="AW2203">
        <v>45349</v>
      </c>
      <c r="AX2203" t="s">
        <v>1013</v>
      </c>
      <c r="AY2203">
        <v>0</v>
      </c>
      <c r="AZ2203">
        <v>0</v>
      </c>
      <c r="BA2203">
        <v>0</v>
      </c>
      <c r="BB2203">
        <v>820.45857368759107</v>
      </c>
      <c r="BC2203">
        <v>12771.693856366743</v>
      </c>
      <c r="BD2203">
        <v>0</v>
      </c>
      <c r="BE2203">
        <v>0</v>
      </c>
      <c r="BF2203">
        <v>50364.328598130844</v>
      </c>
      <c r="BG2203">
        <v>0</v>
      </c>
      <c r="BH2203">
        <v>0</v>
      </c>
      <c r="BI2203">
        <v>63956.481028185175</v>
      </c>
      <c r="BJ2203">
        <v>4419.5215718148311</v>
      </c>
      <c r="BK2203">
        <v>68376.002600000007</v>
      </c>
      <c r="BL2203" t="s">
        <v>242</v>
      </c>
      <c r="BM2203">
        <v>6</v>
      </c>
      <c r="BN2203">
        <v>9268</v>
      </c>
      <c r="BO2203">
        <v>0</v>
      </c>
      <c r="BP2203">
        <v>0</v>
      </c>
      <c r="BQ2203">
        <v>598.49728986741263</v>
      </c>
      <c r="BR2203" t="s">
        <v>58</v>
      </c>
    </row>
    <row r="2204" spans="1:70" x14ac:dyDescent="0.3">
      <c r="A2204" t="s">
        <v>798</v>
      </c>
      <c r="B2204">
        <v>4132301903</v>
      </c>
      <c r="C2204" t="s">
        <v>676</v>
      </c>
      <c r="D2204" t="s">
        <v>989</v>
      </c>
      <c r="E2204" t="s">
        <v>442</v>
      </c>
      <c r="F2204" t="s">
        <v>430</v>
      </c>
      <c r="G2204" t="s">
        <v>237</v>
      </c>
      <c r="H2204" t="s">
        <v>231</v>
      </c>
      <c r="J2204" t="s">
        <v>425</v>
      </c>
      <c r="K2204" s="15">
        <v>90000</v>
      </c>
      <c r="M2204">
        <v>45349</v>
      </c>
      <c r="N2204" t="s">
        <v>1023</v>
      </c>
      <c r="O2204">
        <v>0</v>
      </c>
      <c r="P2204">
        <v>4940</v>
      </c>
      <c r="Q2204">
        <v>0</v>
      </c>
      <c r="R2204">
        <v>0</v>
      </c>
      <c r="S2204">
        <v>5212.62</v>
      </c>
      <c r="T2204">
        <v>8971.9626168224295</v>
      </c>
      <c r="U2204">
        <v>6728.9719626168226</v>
      </c>
      <c r="V2204">
        <v>0</v>
      </c>
      <c r="W2204">
        <v>87570.093457943934</v>
      </c>
      <c r="X2204">
        <v>0</v>
      </c>
      <c r="Y2204">
        <v>113423.64803738319</v>
      </c>
      <c r="Z2204">
        <v>7228.9719626168244</v>
      </c>
      <c r="AA2204">
        <v>120652.62000000001</v>
      </c>
      <c r="AB2204" t="s">
        <v>331</v>
      </c>
      <c r="AC2204">
        <v>0</v>
      </c>
      <c r="AD2204">
        <v>0</v>
      </c>
      <c r="AE2204">
        <v>0</v>
      </c>
      <c r="AF2204">
        <v>96300</v>
      </c>
      <c r="AG2204">
        <v>6300</v>
      </c>
      <c r="AH2204" t="s">
        <v>72</v>
      </c>
      <c r="AK2204" t="s">
        <v>798</v>
      </c>
      <c r="AL2204">
        <v>4132300375</v>
      </c>
      <c r="AM2204">
        <v>1010227956</v>
      </c>
      <c r="AN2204" t="s">
        <v>175</v>
      </c>
      <c r="AO2204" t="s">
        <v>441</v>
      </c>
      <c r="AP2204" t="s">
        <v>430</v>
      </c>
      <c r="AQ2204" t="s">
        <v>233</v>
      </c>
      <c r="AR2204" t="s">
        <v>231</v>
      </c>
      <c r="AT2204" t="s">
        <v>52</v>
      </c>
      <c r="AU2204">
        <v>2000</v>
      </c>
      <c r="AW2204">
        <v>45349</v>
      </c>
      <c r="AX2204" t="s">
        <v>1013</v>
      </c>
      <c r="AY2204">
        <v>0</v>
      </c>
      <c r="AZ2204">
        <v>0</v>
      </c>
      <c r="BA2204">
        <v>0</v>
      </c>
      <c r="BB2204">
        <v>0</v>
      </c>
      <c r="BC2204">
        <v>8801.3539470684627</v>
      </c>
      <c r="BD2204">
        <v>2408.1252319037558</v>
      </c>
      <c r="BE2204">
        <v>0</v>
      </c>
      <c r="BF2204">
        <v>0</v>
      </c>
      <c r="BG2204">
        <v>0</v>
      </c>
      <c r="BH2204">
        <v>0</v>
      </c>
      <c r="BI2204">
        <v>11209.479178972219</v>
      </c>
      <c r="BJ2204">
        <v>168.56876623326292</v>
      </c>
      <c r="BK2204">
        <v>11378.047945205481</v>
      </c>
      <c r="BL2204" t="s">
        <v>242</v>
      </c>
      <c r="BM2204">
        <v>7</v>
      </c>
      <c r="BN2204">
        <v>14000</v>
      </c>
      <c r="BO2204">
        <v>0</v>
      </c>
      <c r="BP2204">
        <v>0</v>
      </c>
      <c r="BQ2204">
        <v>191.2443178788867</v>
      </c>
      <c r="BR2204" t="s">
        <v>58</v>
      </c>
    </row>
    <row r="2205" spans="1:70" x14ac:dyDescent="0.3">
      <c r="A2205" t="s">
        <v>798</v>
      </c>
      <c r="B2205">
        <v>4142301400</v>
      </c>
      <c r="C2205">
        <v>10447242</v>
      </c>
      <c r="D2205" t="s">
        <v>755</v>
      </c>
      <c r="E2205" t="s">
        <v>446</v>
      </c>
      <c r="F2205" t="s">
        <v>430</v>
      </c>
      <c r="G2205" t="s">
        <v>230</v>
      </c>
      <c r="H2205" t="s">
        <v>234</v>
      </c>
      <c r="J2205" t="s">
        <v>52</v>
      </c>
      <c r="K2205" s="15">
        <v>3000</v>
      </c>
      <c r="M2205">
        <v>45349</v>
      </c>
      <c r="N2205" t="s">
        <v>1013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203953.0186915888</v>
      </c>
      <c r="Y2205">
        <v>203953.0186915888</v>
      </c>
      <c r="Z2205">
        <v>14276.711308411217</v>
      </c>
      <c r="AA2205">
        <v>218229.73</v>
      </c>
      <c r="AB2205" t="s">
        <v>242</v>
      </c>
      <c r="AC2205">
        <v>1</v>
      </c>
      <c r="AD2205">
        <v>3000</v>
      </c>
      <c r="AE2205">
        <v>0</v>
      </c>
      <c r="AF2205">
        <v>0</v>
      </c>
      <c r="AG2205">
        <v>196.2616822429909</v>
      </c>
      <c r="AH2205" t="s">
        <v>72</v>
      </c>
      <c r="AK2205" t="s">
        <v>798</v>
      </c>
      <c r="AL2205">
        <v>4132300037</v>
      </c>
      <c r="AM2205">
        <v>1011233607</v>
      </c>
      <c r="AN2205" t="s">
        <v>171</v>
      </c>
      <c r="AO2205" t="s">
        <v>441</v>
      </c>
      <c r="AP2205" t="s">
        <v>430</v>
      </c>
      <c r="AQ2205" t="s">
        <v>237</v>
      </c>
      <c r="AR2205" t="s">
        <v>231</v>
      </c>
      <c r="AT2205" t="s">
        <v>425</v>
      </c>
      <c r="AU2205">
        <v>50000</v>
      </c>
      <c r="AW2205">
        <v>45349</v>
      </c>
      <c r="AX2205" t="s">
        <v>1023</v>
      </c>
      <c r="AY2205">
        <v>0</v>
      </c>
      <c r="AZ2205">
        <v>4043.3851474734961</v>
      </c>
      <c r="BA2205">
        <v>0</v>
      </c>
      <c r="BB2205">
        <v>0</v>
      </c>
      <c r="BC2205">
        <v>0</v>
      </c>
      <c r="BD2205">
        <v>36118.331637875242</v>
      </c>
      <c r="BE2205">
        <v>0</v>
      </c>
      <c r="BF2205">
        <v>0</v>
      </c>
      <c r="BG2205">
        <v>52803.738317757015</v>
      </c>
      <c r="BH2205">
        <v>0</v>
      </c>
      <c r="BI2205">
        <v>92965.455103105749</v>
      </c>
      <c r="BJ2205">
        <v>6224.5448968942592</v>
      </c>
      <c r="BK2205">
        <v>99190.000000000015</v>
      </c>
      <c r="BL2205" t="s">
        <v>331</v>
      </c>
      <c r="BM2205">
        <v>1</v>
      </c>
      <c r="BN2205">
        <v>2000</v>
      </c>
      <c r="BO2205">
        <v>0</v>
      </c>
      <c r="BP2205">
        <v>53500</v>
      </c>
      <c r="BQ2205">
        <v>3627.1373460963969</v>
      </c>
      <c r="BR2205" t="s">
        <v>58</v>
      </c>
    </row>
    <row r="2206" spans="1:70" x14ac:dyDescent="0.3">
      <c r="A2206" t="s">
        <v>798</v>
      </c>
      <c r="B2206">
        <v>4302300048</v>
      </c>
      <c r="C2206">
        <v>901020006420</v>
      </c>
      <c r="D2206" t="s">
        <v>228</v>
      </c>
      <c r="E2206" t="s">
        <v>447</v>
      </c>
      <c r="F2206" t="s">
        <v>433</v>
      </c>
      <c r="G2206" t="s">
        <v>82</v>
      </c>
      <c r="H2206" t="s">
        <v>83</v>
      </c>
      <c r="J2206" t="s">
        <v>52</v>
      </c>
      <c r="K2206" s="15">
        <v>10000</v>
      </c>
      <c r="M2206">
        <v>45349</v>
      </c>
      <c r="N2206" t="s">
        <v>1013</v>
      </c>
      <c r="O2206">
        <v>0</v>
      </c>
      <c r="P2206">
        <v>0</v>
      </c>
      <c r="Q2206">
        <v>19418.170797358795</v>
      </c>
      <c r="R2206">
        <v>2772.12</v>
      </c>
      <c r="S2206">
        <v>0</v>
      </c>
      <c r="T2206">
        <v>0</v>
      </c>
      <c r="U2206">
        <v>0</v>
      </c>
      <c r="V2206">
        <v>303574.54402115988</v>
      </c>
      <c r="W2206">
        <v>0</v>
      </c>
      <c r="X2206">
        <v>0</v>
      </c>
      <c r="Y2206">
        <v>325764.83481851866</v>
      </c>
      <c r="Z2206">
        <v>21250.218081481195</v>
      </c>
      <c r="AA2206">
        <v>347015.05289999984</v>
      </c>
      <c r="AB2206" t="s">
        <v>242</v>
      </c>
      <c r="AC2206">
        <v>10</v>
      </c>
      <c r="AD2206">
        <v>214206</v>
      </c>
      <c r="AE2206">
        <v>0</v>
      </c>
      <c r="AF2206">
        <v>0</v>
      </c>
      <c r="AG2206">
        <v>13040.504818518797</v>
      </c>
      <c r="AH2206" t="s">
        <v>58</v>
      </c>
      <c r="AK2206" t="s">
        <v>798</v>
      </c>
      <c r="AL2206">
        <v>4132301903</v>
      </c>
      <c r="AM2206" t="s">
        <v>676</v>
      </c>
      <c r="AN2206" t="s">
        <v>989</v>
      </c>
      <c r="AO2206" t="s">
        <v>442</v>
      </c>
      <c r="AP2206" t="s">
        <v>430</v>
      </c>
      <c r="AQ2206" t="s">
        <v>237</v>
      </c>
      <c r="AR2206" t="s">
        <v>231</v>
      </c>
      <c r="AT2206" t="s">
        <v>425</v>
      </c>
      <c r="AU2206">
        <v>90000</v>
      </c>
      <c r="AW2206">
        <v>45349</v>
      </c>
      <c r="AX2206" t="s">
        <v>1023</v>
      </c>
      <c r="AY2206">
        <v>0</v>
      </c>
      <c r="AZ2206">
        <v>4940</v>
      </c>
      <c r="BA2206">
        <v>0</v>
      </c>
      <c r="BB2206">
        <v>0</v>
      </c>
      <c r="BC2206">
        <v>5212.62</v>
      </c>
      <c r="BD2206">
        <v>8971.9626168224295</v>
      </c>
      <c r="BE2206">
        <v>6728.9719626168226</v>
      </c>
      <c r="BF2206">
        <v>0</v>
      </c>
      <c r="BG2206">
        <v>87570.093457943934</v>
      </c>
      <c r="BH2206">
        <v>0</v>
      </c>
      <c r="BI2206">
        <v>113423.64803738319</v>
      </c>
      <c r="BJ2206">
        <v>7228.9719626168244</v>
      </c>
      <c r="BK2206">
        <v>120652.62000000001</v>
      </c>
      <c r="BL2206" t="s">
        <v>331</v>
      </c>
      <c r="BM2206">
        <v>0</v>
      </c>
      <c r="BN2206">
        <v>0</v>
      </c>
      <c r="BO2206">
        <v>0</v>
      </c>
      <c r="BP2206">
        <v>96300</v>
      </c>
      <c r="BQ2206">
        <v>6300</v>
      </c>
      <c r="BR2206" t="s">
        <v>72</v>
      </c>
    </row>
    <row r="2207" spans="1:70" x14ac:dyDescent="0.3">
      <c r="A2207" t="s">
        <v>798</v>
      </c>
      <c r="B2207">
        <v>4312300012</v>
      </c>
      <c r="C2207" t="s">
        <v>61</v>
      </c>
      <c r="D2207" t="s">
        <v>963</v>
      </c>
      <c r="E2207" t="s">
        <v>448</v>
      </c>
      <c r="F2207" t="s">
        <v>433</v>
      </c>
      <c r="G2207" t="s">
        <v>82</v>
      </c>
      <c r="H2207" t="s">
        <v>71</v>
      </c>
      <c r="J2207" t="s">
        <v>52</v>
      </c>
      <c r="K2207" s="15">
        <v>30000</v>
      </c>
      <c r="M2207">
        <v>45349</v>
      </c>
      <c r="N2207" t="s">
        <v>1013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1824210.5420560748</v>
      </c>
      <c r="Y2207">
        <v>1824210.5420560748</v>
      </c>
      <c r="Z2207">
        <v>127694.73794392525</v>
      </c>
      <c r="AA2207">
        <v>1951905.28</v>
      </c>
      <c r="AB2207" t="s">
        <v>242</v>
      </c>
      <c r="AC2207">
        <v>10</v>
      </c>
      <c r="AD2207">
        <v>160165</v>
      </c>
      <c r="AE2207">
        <v>0</v>
      </c>
      <c r="AF2207">
        <v>0</v>
      </c>
      <c r="AG2207">
        <v>10478.084112149534</v>
      </c>
      <c r="AH2207" t="s">
        <v>58</v>
      </c>
      <c r="AK2207" t="s">
        <v>798</v>
      </c>
      <c r="AL2207">
        <v>82200001</v>
      </c>
      <c r="AM2207">
        <v>901018012979</v>
      </c>
      <c r="AN2207" t="s">
        <v>988</v>
      </c>
      <c r="AO2207" t="s">
        <v>440</v>
      </c>
      <c r="AP2207" t="s">
        <v>433</v>
      </c>
      <c r="AQ2207" t="s">
        <v>235</v>
      </c>
      <c r="AR2207" t="s">
        <v>236</v>
      </c>
      <c r="AT2207" t="s">
        <v>672</v>
      </c>
      <c r="AW2207">
        <v>45349</v>
      </c>
      <c r="AX2207" t="s">
        <v>1024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2056074.7663551401</v>
      </c>
      <c r="BG2207">
        <v>0</v>
      </c>
      <c r="BH2207">
        <v>0</v>
      </c>
      <c r="BI2207">
        <v>2056074.7663551401</v>
      </c>
      <c r="BJ2207">
        <v>143925.23364485984</v>
      </c>
      <c r="BK2207">
        <v>2200000</v>
      </c>
      <c r="BL2207" t="s">
        <v>242</v>
      </c>
      <c r="BM2207">
        <v>5</v>
      </c>
      <c r="BN2207">
        <v>105000</v>
      </c>
      <c r="BO2207">
        <v>0</v>
      </c>
      <c r="BP2207">
        <v>0</v>
      </c>
      <c r="BQ2207">
        <v>6397.5141176879297</v>
      </c>
      <c r="BR2207" t="s">
        <v>58</v>
      </c>
    </row>
    <row r="2208" spans="1:70" x14ac:dyDescent="0.3">
      <c r="A2208" t="s">
        <v>798</v>
      </c>
      <c r="B2208">
        <v>42200314</v>
      </c>
      <c r="C2208">
        <v>2758018019</v>
      </c>
      <c r="D2208" t="s">
        <v>990</v>
      </c>
      <c r="E2208" t="s">
        <v>439</v>
      </c>
      <c r="F2208" t="s">
        <v>430</v>
      </c>
      <c r="G2208" t="s">
        <v>232</v>
      </c>
      <c r="H2208" t="s">
        <v>71</v>
      </c>
      <c r="J2208" t="s">
        <v>52</v>
      </c>
      <c r="K2208" s="15">
        <v>200</v>
      </c>
      <c r="M2208">
        <v>45350</v>
      </c>
      <c r="N2208" t="s">
        <v>1013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78977.570093457951</v>
      </c>
      <c r="Y2208">
        <v>78977.570093457951</v>
      </c>
      <c r="Z2208">
        <v>5528.4299065420573</v>
      </c>
      <c r="AA2208">
        <v>84506.000000000015</v>
      </c>
      <c r="AB2208" t="s">
        <v>242</v>
      </c>
      <c r="AC2208">
        <v>1</v>
      </c>
      <c r="AD2208">
        <v>200</v>
      </c>
      <c r="AE2208">
        <v>0</v>
      </c>
      <c r="AF2208">
        <v>0</v>
      </c>
      <c r="AG2208">
        <v>13.0841121495327</v>
      </c>
      <c r="AH2208" t="s">
        <v>72</v>
      </c>
      <c r="AK2208" t="s">
        <v>798</v>
      </c>
      <c r="AL2208">
        <v>4132300945</v>
      </c>
      <c r="AM2208">
        <v>1020271465</v>
      </c>
      <c r="AN2208" t="s">
        <v>698</v>
      </c>
      <c r="AO2208" t="s">
        <v>441</v>
      </c>
      <c r="AP2208" t="s">
        <v>430</v>
      </c>
      <c r="AQ2208" t="s">
        <v>237</v>
      </c>
      <c r="AR2208" t="s">
        <v>231</v>
      </c>
      <c r="AT2208" t="s">
        <v>416</v>
      </c>
      <c r="AU2208">
        <v>0.49419999999999997</v>
      </c>
      <c r="AW2208">
        <v>45350</v>
      </c>
      <c r="AX2208" t="s">
        <v>1016</v>
      </c>
      <c r="AY2208">
        <v>0</v>
      </c>
      <c r="AZ2208">
        <v>6616.8756000000003</v>
      </c>
      <c r="BA2208">
        <v>0</v>
      </c>
      <c r="BB2208">
        <v>0</v>
      </c>
      <c r="BC2208">
        <v>10299.508397260273</v>
      </c>
      <c r="BD2208">
        <v>42586.469158878506</v>
      </c>
      <c r="BE2208">
        <v>33184.261682242992</v>
      </c>
      <c r="BF2208">
        <v>0</v>
      </c>
      <c r="BG2208">
        <v>0</v>
      </c>
      <c r="BH2208">
        <v>0</v>
      </c>
      <c r="BI2208">
        <v>92687.114838381764</v>
      </c>
      <c r="BJ2208">
        <v>5303.9511588785044</v>
      </c>
      <c r="BK2208">
        <v>97991.065997260273</v>
      </c>
      <c r="BL2208" t="s">
        <v>242</v>
      </c>
      <c r="BM2208">
        <v>0</v>
      </c>
      <c r="BN2208">
        <v>0</v>
      </c>
      <c r="BO2208">
        <v>0</v>
      </c>
      <c r="BP2208">
        <v>0</v>
      </c>
      <c r="BQ2208">
        <v>0</v>
      </c>
      <c r="BR2208" t="s">
        <v>72</v>
      </c>
    </row>
    <row r="2209" spans="1:70" x14ac:dyDescent="0.3">
      <c r="A2209" t="s">
        <v>798</v>
      </c>
      <c r="B2209">
        <v>42200661</v>
      </c>
      <c r="C2209">
        <v>2760035800</v>
      </c>
      <c r="D2209" t="s">
        <v>958</v>
      </c>
      <c r="E2209" t="s">
        <v>439</v>
      </c>
      <c r="F2209" t="s">
        <v>430</v>
      </c>
      <c r="G2209" t="s">
        <v>232</v>
      </c>
      <c r="H2209" t="s">
        <v>71</v>
      </c>
      <c r="J2209" t="s">
        <v>52</v>
      </c>
      <c r="K2209" s="15">
        <v>1000</v>
      </c>
      <c r="M2209">
        <v>45350</v>
      </c>
      <c r="N2209" t="s">
        <v>1013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154532.99065420561</v>
      </c>
      <c r="Y2209">
        <v>154532.99065420561</v>
      </c>
      <c r="Z2209">
        <v>10817.309345794394</v>
      </c>
      <c r="AA2209">
        <v>165350.30000000002</v>
      </c>
      <c r="AB2209" t="s">
        <v>242</v>
      </c>
      <c r="AC2209">
        <v>3</v>
      </c>
      <c r="AD2209">
        <v>6000</v>
      </c>
      <c r="AE2209">
        <v>0</v>
      </c>
      <c r="AF2209">
        <v>0</v>
      </c>
      <c r="AG2209">
        <v>392.52336448598157</v>
      </c>
      <c r="AH2209" t="s">
        <v>58</v>
      </c>
      <c r="AK2209" t="s">
        <v>798</v>
      </c>
      <c r="AL2209">
        <v>42200661</v>
      </c>
      <c r="AM2209">
        <v>2760035800</v>
      </c>
      <c r="AN2209" t="s">
        <v>958</v>
      </c>
      <c r="AO2209" t="s">
        <v>439</v>
      </c>
      <c r="AP2209" t="s">
        <v>430</v>
      </c>
      <c r="AQ2209" t="s">
        <v>232</v>
      </c>
      <c r="AR2209" t="s">
        <v>71</v>
      </c>
      <c r="AT2209" t="s">
        <v>52</v>
      </c>
      <c r="AU2209">
        <v>1000</v>
      </c>
      <c r="AW2209">
        <v>45350</v>
      </c>
      <c r="AX2209" t="s">
        <v>1013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154532.99065420561</v>
      </c>
      <c r="BI2209">
        <v>154532.99065420561</v>
      </c>
      <c r="BJ2209">
        <v>10817.309345794394</v>
      </c>
      <c r="BK2209">
        <v>165350.30000000002</v>
      </c>
      <c r="BL2209" t="s">
        <v>242</v>
      </c>
      <c r="BM2209">
        <v>3</v>
      </c>
      <c r="BN2209">
        <v>6000</v>
      </c>
      <c r="BO2209">
        <v>0</v>
      </c>
      <c r="BP2209">
        <v>0</v>
      </c>
      <c r="BQ2209">
        <v>392.52336448598157</v>
      </c>
      <c r="BR2209" t="s">
        <v>58</v>
      </c>
    </row>
    <row r="2210" spans="1:70" x14ac:dyDescent="0.3">
      <c r="A2210" t="s">
        <v>798</v>
      </c>
      <c r="B2210">
        <v>52200112</v>
      </c>
      <c r="C2210">
        <v>25062909</v>
      </c>
      <c r="D2210" t="s">
        <v>132</v>
      </c>
      <c r="E2210" t="s">
        <v>436</v>
      </c>
      <c r="F2210" t="s">
        <v>431</v>
      </c>
      <c r="G2210" t="s">
        <v>82</v>
      </c>
      <c r="H2210" t="s">
        <v>83</v>
      </c>
      <c r="J2210" t="s">
        <v>52</v>
      </c>
      <c r="K2210" s="15">
        <v>1000</v>
      </c>
      <c r="M2210">
        <v>45350</v>
      </c>
      <c r="N2210" t="s">
        <v>1013</v>
      </c>
      <c r="O2210">
        <v>0</v>
      </c>
      <c r="P2210">
        <v>0</v>
      </c>
      <c r="Q2210">
        <v>0</v>
      </c>
      <c r="R2210">
        <v>703.99546822807235</v>
      </c>
      <c r="S2210">
        <v>10582.99219844176</v>
      </c>
      <c r="T2210">
        <v>0</v>
      </c>
      <c r="U2210">
        <v>0</v>
      </c>
      <c r="V2210">
        <v>48171.217589309104</v>
      </c>
      <c r="W2210">
        <v>0</v>
      </c>
      <c r="X2210">
        <v>0</v>
      </c>
      <c r="Y2210">
        <v>59458.205255978937</v>
      </c>
      <c r="Z2210">
        <v>4112.7946851425613</v>
      </c>
      <c r="AA2210">
        <v>63570.999941121496</v>
      </c>
      <c r="AB2210" t="s">
        <v>242</v>
      </c>
      <c r="AC2210">
        <v>8</v>
      </c>
      <c r="AD2210">
        <v>7400</v>
      </c>
      <c r="AE2210">
        <v>0</v>
      </c>
      <c r="AF2210">
        <v>0</v>
      </c>
      <c r="AG2210">
        <v>478.35484371585522</v>
      </c>
      <c r="AH2210" t="s">
        <v>58</v>
      </c>
      <c r="AK2210" t="s">
        <v>798</v>
      </c>
      <c r="AL2210">
        <v>52200769</v>
      </c>
      <c r="AM2210">
        <v>27455935</v>
      </c>
      <c r="AN2210" t="s">
        <v>665</v>
      </c>
      <c r="AO2210" t="s">
        <v>438</v>
      </c>
      <c r="AP2210" t="s">
        <v>431</v>
      </c>
      <c r="AQ2210" t="s">
        <v>230</v>
      </c>
      <c r="AR2210" t="s">
        <v>231</v>
      </c>
      <c r="AT2210" t="s">
        <v>52</v>
      </c>
      <c r="AU2210">
        <v>2000</v>
      </c>
      <c r="AW2210">
        <v>45350</v>
      </c>
      <c r="AX2210" t="s">
        <v>1013</v>
      </c>
      <c r="AY2210">
        <v>5051.1885358151821</v>
      </c>
      <c r="AZ2210">
        <v>0</v>
      </c>
      <c r="BA2210">
        <v>0</v>
      </c>
      <c r="BB2210">
        <v>0</v>
      </c>
      <c r="BC2210">
        <v>0</v>
      </c>
      <c r="BD2210">
        <v>7802.6275366213249</v>
      </c>
      <c r="BE2210">
        <v>0</v>
      </c>
      <c r="BF2210">
        <v>0</v>
      </c>
      <c r="BG2210">
        <v>88785.046728971967</v>
      </c>
      <c r="BH2210">
        <v>0</v>
      </c>
      <c r="BI2210">
        <v>101638.86280140848</v>
      </c>
      <c r="BJ2210">
        <v>6761.1371985915312</v>
      </c>
      <c r="BK2210">
        <v>108400.00000000001</v>
      </c>
      <c r="BL2210" t="s">
        <v>242</v>
      </c>
      <c r="BM2210">
        <v>4</v>
      </c>
      <c r="BN2210">
        <v>7000</v>
      </c>
      <c r="BO2210">
        <v>0</v>
      </c>
      <c r="BP2210">
        <v>0</v>
      </c>
      <c r="BQ2210">
        <v>435.12448365146054</v>
      </c>
      <c r="BR2210" t="s">
        <v>58</v>
      </c>
    </row>
    <row r="2211" spans="1:70" x14ac:dyDescent="0.3">
      <c r="A2211" t="s">
        <v>798</v>
      </c>
      <c r="B2211">
        <v>52200647</v>
      </c>
      <c r="C2211">
        <v>29594859</v>
      </c>
      <c r="D2211" t="s">
        <v>139</v>
      </c>
      <c r="E2211" t="s">
        <v>438</v>
      </c>
      <c r="F2211" t="s">
        <v>431</v>
      </c>
      <c r="G2211" t="s">
        <v>82</v>
      </c>
      <c r="H2211" t="s">
        <v>83</v>
      </c>
      <c r="J2211" t="s">
        <v>52</v>
      </c>
      <c r="K2211" s="15">
        <v>5000</v>
      </c>
      <c r="M2211">
        <v>45350</v>
      </c>
      <c r="N2211" t="s">
        <v>1013</v>
      </c>
      <c r="O2211">
        <v>0</v>
      </c>
      <c r="P2211">
        <v>0</v>
      </c>
      <c r="Q2211">
        <v>0</v>
      </c>
      <c r="R2211">
        <v>724.29214930628314</v>
      </c>
      <c r="S2211">
        <v>15563.484813732441</v>
      </c>
      <c r="T2211">
        <v>0</v>
      </c>
      <c r="U2211">
        <v>0</v>
      </c>
      <c r="V2211">
        <v>58470.824672897194</v>
      </c>
      <c r="W2211">
        <v>0</v>
      </c>
      <c r="X2211">
        <v>0</v>
      </c>
      <c r="Y2211">
        <v>74758.60163593592</v>
      </c>
      <c r="Z2211">
        <v>5182.4016640640748</v>
      </c>
      <c r="AA2211">
        <v>79941.003299999997</v>
      </c>
      <c r="AB2211" t="s">
        <v>242</v>
      </c>
      <c r="AC2211">
        <v>9</v>
      </c>
      <c r="AD2211">
        <v>32000</v>
      </c>
      <c r="AE2211">
        <v>0</v>
      </c>
      <c r="AF2211">
        <v>0</v>
      </c>
      <c r="AG2211">
        <v>2072.8695798611598</v>
      </c>
      <c r="AH2211" t="s">
        <v>58</v>
      </c>
      <c r="AK2211" t="s">
        <v>798</v>
      </c>
      <c r="AL2211">
        <v>4142300192</v>
      </c>
      <c r="AM2211">
        <v>10067571</v>
      </c>
      <c r="AN2211" t="s">
        <v>192</v>
      </c>
      <c r="AO2211" t="s">
        <v>445</v>
      </c>
      <c r="AP2211" t="s">
        <v>430</v>
      </c>
      <c r="AQ2211" t="s">
        <v>233</v>
      </c>
      <c r="AR2211" t="s">
        <v>234</v>
      </c>
      <c r="AT2211" t="s">
        <v>52</v>
      </c>
      <c r="AU2211">
        <v>5000</v>
      </c>
      <c r="AW2211">
        <v>45350</v>
      </c>
      <c r="AX2211" t="s">
        <v>1013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261235.44859813084</v>
      </c>
      <c r="BI2211">
        <v>261235.44859813084</v>
      </c>
      <c r="BJ2211">
        <v>18286.481401869161</v>
      </c>
      <c r="BK2211">
        <v>279521.93</v>
      </c>
      <c r="BL2211" t="s">
        <v>242</v>
      </c>
      <c r="BM2211">
        <v>7</v>
      </c>
      <c r="BN2211">
        <v>35000</v>
      </c>
      <c r="BO2211">
        <v>0</v>
      </c>
      <c r="BP2211">
        <v>0</v>
      </c>
      <c r="BQ2211">
        <v>2289.7196261682229</v>
      </c>
      <c r="BR2211" t="s">
        <v>58</v>
      </c>
    </row>
    <row r="2212" spans="1:70" x14ac:dyDescent="0.3">
      <c r="A2212" t="s">
        <v>798</v>
      </c>
      <c r="B2212">
        <v>52200769</v>
      </c>
      <c r="C2212">
        <v>27455935</v>
      </c>
      <c r="D2212" t="s">
        <v>665</v>
      </c>
      <c r="E2212" t="s">
        <v>438</v>
      </c>
      <c r="F2212" t="s">
        <v>431</v>
      </c>
      <c r="G2212" t="s">
        <v>230</v>
      </c>
      <c r="H2212" t="s">
        <v>231</v>
      </c>
      <c r="J2212" t="s">
        <v>52</v>
      </c>
      <c r="K2212" s="15">
        <v>2000</v>
      </c>
      <c r="M2212">
        <v>45350</v>
      </c>
      <c r="N2212" t="s">
        <v>1013</v>
      </c>
      <c r="O2212">
        <v>5051.1885358151821</v>
      </c>
      <c r="P2212">
        <v>0</v>
      </c>
      <c r="Q2212">
        <v>0</v>
      </c>
      <c r="R2212">
        <v>0</v>
      </c>
      <c r="S2212">
        <v>0</v>
      </c>
      <c r="T2212">
        <v>7802.6275366213249</v>
      </c>
      <c r="U2212">
        <v>0</v>
      </c>
      <c r="V2212">
        <v>0</v>
      </c>
      <c r="W2212">
        <v>88785.046728971967</v>
      </c>
      <c r="X2212">
        <v>0</v>
      </c>
      <c r="Y2212">
        <v>101638.86280140848</v>
      </c>
      <c r="Z2212">
        <v>6761.1371985915312</v>
      </c>
      <c r="AA2212">
        <v>108400.00000000001</v>
      </c>
      <c r="AB2212" t="s">
        <v>242</v>
      </c>
      <c r="AC2212">
        <v>4</v>
      </c>
      <c r="AD2212">
        <v>7000</v>
      </c>
      <c r="AE2212">
        <v>0</v>
      </c>
      <c r="AF2212">
        <v>0</v>
      </c>
      <c r="AG2212">
        <v>435.12448365146054</v>
      </c>
      <c r="AH2212" t="s">
        <v>58</v>
      </c>
      <c r="AK2212" t="s">
        <v>798</v>
      </c>
      <c r="AL2212">
        <v>4142301021</v>
      </c>
      <c r="AM2212">
        <v>10498847</v>
      </c>
      <c r="AN2212" t="s">
        <v>745</v>
      </c>
      <c r="AO2212" t="s">
        <v>445</v>
      </c>
      <c r="AP2212" t="s">
        <v>430</v>
      </c>
      <c r="AQ2212" t="s">
        <v>230</v>
      </c>
      <c r="AR2212" t="s">
        <v>234</v>
      </c>
      <c r="AT2212" t="s">
        <v>52</v>
      </c>
      <c r="AU2212">
        <v>5000</v>
      </c>
      <c r="AW2212">
        <v>45350</v>
      </c>
      <c r="AX2212" t="s">
        <v>1013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267116.62616822426</v>
      </c>
      <c r="BI2212">
        <v>267116.62616822426</v>
      </c>
      <c r="BJ2212">
        <v>18698.163831775699</v>
      </c>
      <c r="BK2212">
        <v>285814.78999999998</v>
      </c>
      <c r="BL2212" t="s">
        <v>242</v>
      </c>
      <c r="BM2212">
        <v>1</v>
      </c>
      <c r="BN2212">
        <v>5000</v>
      </c>
      <c r="BO2212">
        <v>0</v>
      </c>
      <c r="BP2212">
        <v>0</v>
      </c>
      <c r="BQ2212">
        <v>327.10280373831756</v>
      </c>
      <c r="BR2212" t="s">
        <v>72</v>
      </c>
    </row>
    <row r="2213" spans="1:70" x14ac:dyDescent="0.3">
      <c r="A2213" t="s">
        <v>798</v>
      </c>
      <c r="B2213">
        <v>52201384</v>
      </c>
      <c r="C2213">
        <v>25169091</v>
      </c>
      <c r="D2213" t="s">
        <v>157</v>
      </c>
      <c r="E2213" t="s">
        <v>438</v>
      </c>
      <c r="F2213" t="s">
        <v>431</v>
      </c>
      <c r="G2213" t="s">
        <v>82</v>
      </c>
      <c r="H2213" t="s">
        <v>83</v>
      </c>
      <c r="J2213" t="s">
        <v>52</v>
      </c>
      <c r="K2213" s="15">
        <v>1000</v>
      </c>
      <c r="M2213">
        <v>45350</v>
      </c>
      <c r="N2213" t="s">
        <v>1013</v>
      </c>
      <c r="O2213">
        <v>0</v>
      </c>
      <c r="P2213">
        <v>0</v>
      </c>
      <c r="Q2213">
        <v>0</v>
      </c>
      <c r="R2213">
        <v>941.86943750183775</v>
      </c>
      <c r="S2213">
        <v>9401.1011833653793</v>
      </c>
      <c r="T2213">
        <v>0</v>
      </c>
      <c r="U2213">
        <v>0</v>
      </c>
      <c r="V2213">
        <v>44175.65693863044</v>
      </c>
      <c r="W2213">
        <v>0</v>
      </c>
      <c r="X2213">
        <v>0</v>
      </c>
      <c r="Y2213">
        <v>54518.627559497661</v>
      </c>
      <c r="Z2213">
        <v>3750.3730685397081</v>
      </c>
      <c r="AA2213">
        <v>58269.000628037371</v>
      </c>
      <c r="AB2213" t="s">
        <v>242</v>
      </c>
      <c r="AC2213">
        <v>2</v>
      </c>
      <c r="AD2213">
        <v>2779</v>
      </c>
      <c r="AE2213">
        <v>0</v>
      </c>
      <c r="AF2213">
        <v>0</v>
      </c>
      <c r="AG2213">
        <v>178.65500993002684</v>
      </c>
      <c r="AH2213" t="s">
        <v>58</v>
      </c>
      <c r="AK2213" t="s">
        <v>798</v>
      </c>
      <c r="AL2213">
        <v>4302300038</v>
      </c>
      <c r="AM2213">
        <v>901016002316</v>
      </c>
      <c r="AN2213" t="s">
        <v>226</v>
      </c>
      <c r="AO2213" t="s">
        <v>447</v>
      </c>
      <c r="AP2213" t="s">
        <v>433</v>
      </c>
      <c r="AQ2213" t="s">
        <v>82</v>
      </c>
      <c r="AR2213" t="s">
        <v>83</v>
      </c>
      <c r="AT2213" t="s">
        <v>52</v>
      </c>
      <c r="AU2213">
        <v>15858.02</v>
      </c>
      <c r="AW2213">
        <v>45350</v>
      </c>
      <c r="AX2213" t="s">
        <v>1013</v>
      </c>
      <c r="AY2213">
        <v>0</v>
      </c>
      <c r="AZ2213">
        <v>0</v>
      </c>
      <c r="BA2213">
        <v>17571.387409310781</v>
      </c>
      <c r="BB2213">
        <v>11130.72</v>
      </c>
      <c r="BC2213">
        <v>13324.837187560013</v>
      </c>
      <c r="BD2213">
        <v>0</v>
      </c>
      <c r="BE2213">
        <v>0</v>
      </c>
      <c r="BF2213">
        <v>290550.83</v>
      </c>
      <c r="BG2213">
        <v>0</v>
      </c>
      <c r="BH2213">
        <v>0</v>
      </c>
      <c r="BI2213">
        <v>332577.77459687082</v>
      </c>
      <c r="BJ2213">
        <v>21271.296703129203</v>
      </c>
      <c r="BK2213">
        <v>353849.07130000001</v>
      </c>
      <c r="BL2213" t="s">
        <v>242</v>
      </c>
      <c r="BM2213">
        <v>7</v>
      </c>
      <c r="BN2213">
        <v>38058.020000000004</v>
      </c>
      <c r="BO2213">
        <v>0</v>
      </c>
      <c r="BP2213">
        <v>0</v>
      </c>
      <c r="BQ2213">
        <v>2274.0145968707984</v>
      </c>
      <c r="BR2213" t="s">
        <v>58</v>
      </c>
    </row>
    <row r="2214" spans="1:70" x14ac:dyDescent="0.3">
      <c r="A2214" t="s">
        <v>798</v>
      </c>
      <c r="B2214">
        <v>52201479</v>
      </c>
      <c r="C2214">
        <v>26373941</v>
      </c>
      <c r="D2214" t="s">
        <v>159</v>
      </c>
      <c r="E2214" t="s">
        <v>438</v>
      </c>
      <c r="F2214" t="s">
        <v>431</v>
      </c>
      <c r="G2214" t="s">
        <v>82</v>
      </c>
      <c r="H2214" t="s">
        <v>83</v>
      </c>
      <c r="J2214" t="s">
        <v>52</v>
      </c>
      <c r="K2214" s="15">
        <v>4700</v>
      </c>
      <c r="M2214">
        <v>45350</v>
      </c>
      <c r="N2214" t="s">
        <v>1013</v>
      </c>
      <c r="O2214">
        <v>0</v>
      </c>
      <c r="P2214">
        <v>0</v>
      </c>
      <c r="Q2214">
        <v>0</v>
      </c>
      <c r="R2214">
        <v>217.65441815794065</v>
      </c>
      <c r="S2214">
        <v>0</v>
      </c>
      <c r="T2214">
        <v>0</v>
      </c>
      <c r="U2214">
        <v>0</v>
      </c>
      <c r="V2214">
        <v>18332.098754101673</v>
      </c>
      <c r="W2214">
        <v>0</v>
      </c>
      <c r="X2214">
        <v>0</v>
      </c>
      <c r="Y2214">
        <v>18549.753172259614</v>
      </c>
      <c r="Z2214">
        <v>1283.2469127871173</v>
      </c>
      <c r="AA2214">
        <v>19833.000085046733</v>
      </c>
      <c r="AB2214" t="s">
        <v>242</v>
      </c>
      <c r="AC2214">
        <v>12</v>
      </c>
      <c r="AD2214">
        <v>53800</v>
      </c>
      <c r="AE2214">
        <v>0</v>
      </c>
      <c r="AF2214">
        <v>0</v>
      </c>
      <c r="AG2214">
        <v>3475.5755226832302</v>
      </c>
      <c r="AH2214" t="s">
        <v>58</v>
      </c>
      <c r="AK2214" t="s">
        <v>798</v>
      </c>
      <c r="AL2214">
        <v>42200314</v>
      </c>
      <c r="AM2214">
        <v>2758018019</v>
      </c>
      <c r="AN2214" t="s">
        <v>990</v>
      </c>
      <c r="AO2214" t="s">
        <v>439</v>
      </c>
      <c r="AP2214" t="s">
        <v>430</v>
      </c>
      <c r="AQ2214" t="s">
        <v>232</v>
      </c>
      <c r="AR2214" t="s">
        <v>71</v>
      </c>
      <c r="AT2214" t="s">
        <v>52</v>
      </c>
      <c r="AU2214">
        <v>200</v>
      </c>
      <c r="AW2214">
        <v>45350</v>
      </c>
      <c r="AX2214" t="s">
        <v>1013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78977.570093457951</v>
      </c>
      <c r="BI2214">
        <v>78977.570093457951</v>
      </c>
      <c r="BJ2214">
        <v>5528.4299065420573</v>
      </c>
      <c r="BK2214">
        <v>84506.000000000015</v>
      </c>
      <c r="BL2214" t="s">
        <v>242</v>
      </c>
      <c r="BM2214">
        <v>1</v>
      </c>
      <c r="BN2214">
        <v>200</v>
      </c>
      <c r="BO2214">
        <v>0</v>
      </c>
      <c r="BP2214">
        <v>0</v>
      </c>
      <c r="BQ2214">
        <v>13.0841121495327</v>
      </c>
      <c r="BR2214" t="s">
        <v>72</v>
      </c>
    </row>
    <row r="2215" spans="1:70" x14ac:dyDescent="0.3">
      <c r="A2215" t="s">
        <v>798</v>
      </c>
      <c r="B2215">
        <v>52201541</v>
      </c>
      <c r="C2215">
        <v>28683740</v>
      </c>
      <c r="D2215" t="s">
        <v>160</v>
      </c>
      <c r="E2215" t="s">
        <v>438</v>
      </c>
      <c r="F2215" t="s">
        <v>431</v>
      </c>
      <c r="G2215" t="s">
        <v>82</v>
      </c>
      <c r="H2215" t="s">
        <v>83</v>
      </c>
      <c r="J2215" t="s">
        <v>52</v>
      </c>
      <c r="K2215" s="15">
        <v>1000</v>
      </c>
      <c r="M2215">
        <v>45350</v>
      </c>
      <c r="N2215" t="s">
        <v>1013</v>
      </c>
      <c r="O2215">
        <v>0</v>
      </c>
      <c r="P2215">
        <v>0</v>
      </c>
      <c r="Q2215">
        <v>0</v>
      </c>
      <c r="R2215">
        <v>971.17010679083239</v>
      </c>
      <c r="S2215">
        <v>5508.2668218715835</v>
      </c>
      <c r="T2215">
        <v>0</v>
      </c>
      <c r="U2215">
        <v>0</v>
      </c>
      <c r="V2215">
        <v>84588.770761090957</v>
      </c>
      <c r="W2215">
        <v>0</v>
      </c>
      <c r="X2215">
        <v>0</v>
      </c>
      <c r="Y2215">
        <v>91068.20768975337</v>
      </c>
      <c r="Z2215">
        <v>6306.7926308073784</v>
      </c>
      <c r="AA2215">
        <v>97375.00032056075</v>
      </c>
      <c r="AB2215" t="s">
        <v>242</v>
      </c>
      <c r="AC2215">
        <v>6</v>
      </c>
      <c r="AD2215">
        <v>11000</v>
      </c>
      <c r="AE2215">
        <v>0</v>
      </c>
      <c r="AF2215">
        <v>0</v>
      </c>
      <c r="AG2215">
        <v>711.9176705377181</v>
      </c>
      <c r="AH2215" t="s">
        <v>58</v>
      </c>
      <c r="AK2215" t="s">
        <v>798</v>
      </c>
      <c r="AL2215">
        <v>52200112</v>
      </c>
      <c r="AM2215">
        <v>25062909</v>
      </c>
      <c r="AN2215" t="s">
        <v>132</v>
      </c>
      <c r="AO2215" t="s">
        <v>436</v>
      </c>
      <c r="AP2215" t="s">
        <v>431</v>
      </c>
      <c r="AQ2215" t="s">
        <v>82</v>
      </c>
      <c r="AR2215" t="s">
        <v>83</v>
      </c>
      <c r="AT2215" t="s">
        <v>52</v>
      </c>
      <c r="AU2215">
        <v>1000</v>
      </c>
      <c r="AW2215">
        <v>45350</v>
      </c>
      <c r="AX2215" t="s">
        <v>1013</v>
      </c>
      <c r="AY2215">
        <v>0</v>
      </c>
      <c r="AZ2215">
        <v>0</v>
      </c>
      <c r="BA2215">
        <v>0</v>
      </c>
      <c r="BB2215">
        <v>703.99546822807235</v>
      </c>
      <c r="BC2215">
        <v>10582.99219844176</v>
      </c>
      <c r="BD2215">
        <v>0</v>
      </c>
      <c r="BE2215">
        <v>0</v>
      </c>
      <c r="BF2215">
        <v>48171.217589309104</v>
      </c>
      <c r="BG2215">
        <v>0</v>
      </c>
      <c r="BH2215">
        <v>0</v>
      </c>
      <c r="BI2215">
        <v>59458.205255978937</v>
      </c>
      <c r="BJ2215">
        <v>4112.7946851425613</v>
      </c>
      <c r="BK2215">
        <v>63570.999941121496</v>
      </c>
      <c r="BL2215" t="s">
        <v>242</v>
      </c>
      <c r="BM2215">
        <v>8</v>
      </c>
      <c r="BN2215">
        <v>7400</v>
      </c>
      <c r="BO2215">
        <v>0</v>
      </c>
      <c r="BP2215">
        <v>0</v>
      </c>
      <c r="BQ2215">
        <v>478.35484371585522</v>
      </c>
      <c r="BR2215" t="s">
        <v>58</v>
      </c>
    </row>
    <row r="2216" spans="1:70" x14ac:dyDescent="0.3">
      <c r="A2216" t="s">
        <v>798</v>
      </c>
      <c r="B2216">
        <v>4132300945</v>
      </c>
      <c r="C2216">
        <v>1020271465</v>
      </c>
      <c r="D2216" t="s">
        <v>698</v>
      </c>
      <c r="E2216" t="s">
        <v>441</v>
      </c>
      <c r="F2216" t="s">
        <v>430</v>
      </c>
      <c r="G2216" t="s">
        <v>237</v>
      </c>
      <c r="H2216" t="s">
        <v>231</v>
      </c>
      <c r="J2216" t="s">
        <v>416</v>
      </c>
      <c r="K2216" s="15">
        <v>0.49419999999999997</v>
      </c>
      <c r="M2216">
        <v>45350</v>
      </c>
      <c r="N2216" t="s">
        <v>1016</v>
      </c>
      <c r="O2216">
        <v>0</v>
      </c>
      <c r="P2216">
        <v>6616.8756000000003</v>
      </c>
      <c r="Q2216">
        <v>0</v>
      </c>
      <c r="R2216">
        <v>0</v>
      </c>
      <c r="S2216">
        <v>10299.508397260273</v>
      </c>
      <c r="T2216">
        <v>42586.469158878506</v>
      </c>
      <c r="U2216">
        <v>33184.261682242992</v>
      </c>
      <c r="V2216">
        <v>0</v>
      </c>
      <c r="W2216">
        <v>0</v>
      </c>
      <c r="X2216">
        <v>0</v>
      </c>
      <c r="Y2216">
        <v>92687.114838381764</v>
      </c>
      <c r="Z2216">
        <v>5303.9511588785044</v>
      </c>
      <c r="AA2216">
        <v>97991.065997260273</v>
      </c>
      <c r="AB2216" t="s">
        <v>242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 t="s">
        <v>72</v>
      </c>
      <c r="AK2216" t="s">
        <v>798</v>
      </c>
      <c r="AL2216">
        <v>52200647</v>
      </c>
      <c r="AM2216">
        <v>29594859</v>
      </c>
      <c r="AN2216" t="s">
        <v>139</v>
      </c>
      <c r="AO2216" t="s">
        <v>438</v>
      </c>
      <c r="AP2216" t="s">
        <v>431</v>
      </c>
      <c r="AQ2216" t="s">
        <v>82</v>
      </c>
      <c r="AR2216" t="s">
        <v>83</v>
      </c>
      <c r="AT2216" t="s">
        <v>52</v>
      </c>
      <c r="AU2216">
        <v>5000</v>
      </c>
      <c r="AW2216">
        <v>45350</v>
      </c>
      <c r="AX2216" t="s">
        <v>1013</v>
      </c>
      <c r="AY2216">
        <v>0</v>
      </c>
      <c r="AZ2216">
        <v>0</v>
      </c>
      <c r="BA2216">
        <v>0</v>
      </c>
      <c r="BB2216">
        <v>724.29214930628314</v>
      </c>
      <c r="BC2216">
        <v>15563.484813732441</v>
      </c>
      <c r="BD2216">
        <v>0</v>
      </c>
      <c r="BE2216">
        <v>0</v>
      </c>
      <c r="BF2216">
        <v>58470.824672897194</v>
      </c>
      <c r="BG2216">
        <v>0</v>
      </c>
      <c r="BH2216">
        <v>0</v>
      </c>
      <c r="BI2216">
        <v>74758.60163593592</v>
      </c>
      <c r="BJ2216">
        <v>5182.4016640640748</v>
      </c>
      <c r="BK2216">
        <v>79941.003299999997</v>
      </c>
      <c r="BL2216" t="s">
        <v>242</v>
      </c>
      <c r="BM2216">
        <v>9</v>
      </c>
      <c r="BN2216">
        <v>32000</v>
      </c>
      <c r="BO2216">
        <v>0</v>
      </c>
      <c r="BP2216">
        <v>0</v>
      </c>
      <c r="BQ2216">
        <v>2072.8695798611598</v>
      </c>
      <c r="BR2216" t="s">
        <v>58</v>
      </c>
    </row>
    <row r="2217" spans="1:70" x14ac:dyDescent="0.3">
      <c r="A2217" t="s">
        <v>798</v>
      </c>
      <c r="B2217">
        <v>4132301112</v>
      </c>
      <c r="C2217">
        <v>3010184753</v>
      </c>
      <c r="D2217" t="s">
        <v>179</v>
      </c>
      <c r="E2217" t="s">
        <v>441</v>
      </c>
      <c r="F2217" t="s">
        <v>430</v>
      </c>
      <c r="G2217" t="s">
        <v>233</v>
      </c>
      <c r="H2217" t="s">
        <v>231</v>
      </c>
      <c r="J2217" t="s">
        <v>52</v>
      </c>
      <c r="K2217" s="15">
        <v>500</v>
      </c>
      <c r="M2217">
        <v>45350</v>
      </c>
      <c r="N2217" t="s">
        <v>1013</v>
      </c>
      <c r="O2217">
        <v>0</v>
      </c>
      <c r="P2217">
        <v>3316.757326712755</v>
      </c>
      <c r="Q2217">
        <v>0</v>
      </c>
      <c r="R2217">
        <v>0</v>
      </c>
      <c r="S2217">
        <v>21290.753424657534</v>
      </c>
      <c r="T2217">
        <v>54003.030535782462</v>
      </c>
      <c r="U2217">
        <v>0</v>
      </c>
      <c r="V2217">
        <v>0</v>
      </c>
      <c r="W2217">
        <v>0</v>
      </c>
      <c r="X2217">
        <v>0</v>
      </c>
      <c r="Y2217">
        <v>78610.541287152751</v>
      </c>
      <c r="Z2217">
        <v>3780.2121375047727</v>
      </c>
      <c r="AA2217">
        <v>82390.753424657523</v>
      </c>
      <c r="AB2217" t="s">
        <v>242</v>
      </c>
      <c r="AC2217">
        <v>5</v>
      </c>
      <c r="AD2217">
        <v>2500</v>
      </c>
      <c r="AE2217">
        <v>0</v>
      </c>
      <c r="AF2217">
        <v>0</v>
      </c>
      <c r="AG2217">
        <v>112.31122698120828</v>
      </c>
      <c r="AH2217" t="s">
        <v>58</v>
      </c>
      <c r="AK2217" t="s">
        <v>798</v>
      </c>
      <c r="AL2217">
        <v>52201384</v>
      </c>
      <c r="AM2217">
        <v>25169091</v>
      </c>
      <c r="AN2217" t="s">
        <v>157</v>
      </c>
      <c r="AO2217" t="s">
        <v>438</v>
      </c>
      <c r="AP2217" t="s">
        <v>431</v>
      </c>
      <c r="AQ2217" t="s">
        <v>82</v>
      </c>
      <c r="AR2217" t="s">
        <v>83</v>
      </c>
      <c r="AT2217" t="s">
        <v>52</v>
      </c>
      <c r="AU2217">
        <v>1000</v>
      </c>
      <c r="AW2217">
        <v>45350</v>
      </c>
      <c r="AX2217" t="s">
        <v>1013</v>
      </c>
      <c r="AY2217">
        <v>0</v>
      </c>
      <c r="AZ2217">
        <v>0</v>
      </c>
      <c r="BA2217">
        <v>0</v>
      </c>
      <c r="BB2217">
        <v>941.86943750183775</v>
      </c>
      <c r="BC2217">
        <v>9401.1011833653793</v>
      </c>
      <c r="BD2217">
        <v>0</v>
      </c>
      <c r="BE2217">
        <v>0</v>
      </c>
      <c r="BF2217">
        <v>44175.65693863044</v>
      </c>
      <c r="BG2217">
        <v>0</v>
      </c>
      <c r="BH2217">
        <v>0</v>
      </c>
      <c r="BI2217">
        <v>54518.627559497661</v>
      </c>
      <c r="BJ2217">
        <v>3750.3730685397081</v>
      </c>
      <c r="BK2217">
        <v>58269.000628037371</v>
      </c>
      <c r="BL2217" t="s">
        <v>242</v>
      </c>
      <c r="BM2217">
        <v>2</v>
      </c>
      <c r="BN2217">
        <v>2779</v>
      </c>
      <c r="BO2217">
        <v>0</v>
      </c>
      <c r="BP2217">
        <v>0</v>
      </c>
      <c r="BQ2217">
        <v>178.65500993002684</v>
      </c>
      <c r="BR2217" t="s">
        <v>58</v>
      </c>
    </row>
    <row r="2218" spans="1:70" x14ac:dyDescent="0.3">
      <c r="A2218" t="s">
        <v>798</v>
      </c>
      <c r="B2218">
        <v>4142300192</v>
      </c>
      <c r="C2218">
        <v>10067571</v>
      </c>
      <c r="D2218" t="s">
        <v>192</v>
      </c>
      <c r="E2218" t="s">
        <v>445</v>
      </c>
      <c r="F2218" t="s">
        <v>430</v>
      </c>
      <c r="G2218" t="s">
        <v>233</v>
      </c>
      <c r="H2218" t="s">
        <v>234</v>
      </c>
      <c r="J2218" t="s">
        <v>52</v>
      </c>
      <c r="K2218" s="15">
        <v>5000</v>
      </c>
      <c r="M2218">
        <v>45350</v>
      </c>
      <c r="N2218" t="s">
        <v>1013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261235.44859813084</v>
      </c>
      <c r="Y2218">
        <v>261235.44859813084</v>
      </c>
      <c r="Z2218">
        <v>18286.481401869161</v>
      </c>
      <c r="AA2218">
        <v>279521.93</v>
      </c>
      <c r="AB2218" t="s">
        <v>242</v>
      </c>
      <c r="AC2218">
        <v>7</v>
      </c>
      <c r="AD2218">
        <v>35000</v>
      </c>
      <c r="AE2218">
        <v>0</v>
      </c>
      <c r="AF2218">
        <v>0</v>
      </c>
      <c r="AG2218">
        <v>2289.7196261682229</v>
      </c>
      <c r="AH2218" t="s">
        <v>58</v>
      </c>
      <c r="AK2218" t="s">
        <v>798</v>
      </c>
      <c r="AL2218">
        <v>52201479</v>
      </c>
      <c r="AM2218">
        <v>26373941</v>
      </c>
      <c r="AN2218" t="s">
        <v>159</v>
      </c>
      <c r="AO2218" t="s">
        <v>438</v>
      </c>
      <c r="AP2218" t="s">
        <v>431</v>
      </c>
      <c r="AQ2218" t="s">
        <v>82</v>
      </c>
      <c r="AR2218" t="s">
        <v>83</v>
      </c>
      <c r="AT2218" t="s">
        <v>52</v>
      </c>
      <c r="AU2218">
        <v>4700</v>
      </c>
      <c r="AW2218">
        <v>45350</v>
      </c>
      <c r="AX2218" t="s">
        <v>1013</v>
      </c>
      <c r="AY2218">
        <v>0</v>
      </c>
      <c r="AZ2218">
        <v>0</v>
      </c>
      <c r="BA2218">
        <v>0</v>
      </c>
      <c r="BB2218">
        <v>217.65441815794065</v>
      </c>
      <c r="BC2218">
        <v>0</v>
      </c>
      <c r="BD2218">
        <v>0</v>
      </c>
      <c r="BE2218">
        <v>0</v>
      </c>
      <c r="BF2218">
        <v>18332.098754101673</v>
      </c>
      <c r="BG2218">
        <v>0</v>
      </c>
      <c r="BH2218">
        <v>0</v>
      </c>
      <c r="BI2218">
        <v>18549.753172259614</v>
      </c>
      <c r="BJ2218">
        <v>1283.2469127871173</v>
      </c>
      <c r="BK2218">
        <v>19833.000085046733</v>
      </c>
      <c r="BL2218" t="s">
        <v>242</v>
      </c>
      <c r="BM2218">
        <v>12</v>
      </c>
      <c r="BN2218">
        <v>53800</v>
      </c>
      <c r="BO2218">
        <v>0</v>
      </c>
      <c r="BP2218">
        <v>0</v>
      </c>
      <c r="BQ2218">
        <v>3475.5755226832302</v>
      </c>
      <c r="BR2218" t="s">
        <v>58</v>
      </c>
    </row>
    <row r="2219" spans="1:70" x14ac:dyDescent="0.3">
      <c r="A2219" t="s">
        <v>798</v>
      </c>
      <c r="B2219">
        <v>4142301021</v>
      </c>
      <c r="C2219">
        <v>10498847</v>
      </c>
      <c r="D2219" t="s">
        <v>745</v>
      </c>
      <c r="E2219" t="s">
        <v>445</v>
      </c>
      <c r="F2219" t="s">
        <v>430</v>
      </c>
      <c r="G2219" t="s">
        <v>230</v>
      </c>
      <c r="H2219" t="s">
        <v>234</v>
      </c>
      <c r="J2219" t="s">
        <v>52</v>
      </c>
      <c r="K2219" s="15">
        <v>5000</v>
      </c>
      <c r="M2219">
        <v>45350</v>
      </c>
      <c r="N2219" t="s">
        <v>1013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267116.62616822426</v>
      </c>
      <c r="Y2219">
        <v>267116.62616822426</v>
      </c>
      <c r="Z2219">
        <v>18698.163831775699</v>
      </c>
      <c r="AA2219">
        <v>285814.78999999998</v>
      </c>
      <c r="AB2219" t="s">
        <v>242</v>
      </c>
      <c r="AC2219">
        <v>1</v>
      </c>
      <c r="AD2219">
        <v>5000</v>
      </c>
      <c r="AE2219">
        <v>0</v>
      </c>
      <c r="AF2219">
        <v>0</v>
      </c>
      <c r="AG2219">
        <v>327.10280373831756</v>
      </c>
      <c r="AH2219" t="s">
        <v>72</v>
      </c>
      <c r="AK2219" t="s">
        <v>798</v>
      </c>
      <c r="AL2219">
        <v>52201541</v>
      </c>
      <c r="AM2219">
        <v>28683740</v>
      </c>
      <c r="AN2219" t="s">
        <v>160</v>
      </c>
      <c r="AO2219" t="s">
        <v>438</v>
      </c>
      <c r="AP2219" t="s">
        <v>431</v>
      </c>
      <c r="AQ2219" t="s">
        <v>82</v>
      </c>
      <c r="AR2219" t="s">
        <v>83</v>
      </c>
      <c r="AT2219" t="s">
        <v>52</v>
      </c>
      <c r="AU2219">
        <v>1000</v>
      </c>
      <c r="AW2219">
        <v>45350</v>
      </c>
      <c r="AX2219" t="s">
        <v>1013</v>
      </c>
      <c r="AY2219">
        <v>0</v>
      </c>
      <c r="AZ2219">
        <v>0</v>
      </c>
      <c r="BA2219">
        <v>0</v>
      </c>
      <c r="BB2219">
        <v>971.17010679083239</v>
      </c>
      <c r="BC2219">
        <v>5508.2668218715835</v>
      </c>
      <c r="BD2219">
        <v>0</v>
      </c>
      <c r="BE2219">
        <v>0</v>
      </c>
      <c r="BF2219">
        <v>84588.770761090957</v>
      </c>
      <c r="BG2219">
        <v>0</v>
      </c>
      <c r="BH2219">
        <v>0</v>
      </c>
      <c r="BI2219">
        <v>91068.20768975337</v>
      </c>
      <c r="BJ2219">
        <v>6306.7926308073784</v>
      </c>
      <c r="BK2219">
        <v>97375.00032056075</v>
      </c>
      <c r="BL2219" t="s">
        <v>242</v>
      </c>
      <c r="BM2219">
        <v>6</v>
      </c>
      <c r="BN2219">
        <v>11000</v>
      </c>
      <c r="BO2219">
        <v>0</v>
      </c>
      <c r="BP2219">
        <v>0</v>
      </c>
      <c r="BQ2219">
        <v>711.9176705377181</v>
      </c>
      <c r="BR2219" t="s">
        <v>58</v>
      </c>
    </row>
    <row r="2220" spans="1:70" x14ac:dyDescent="0.3">
      <c r="A2220" t="s">
        <v>798</v>
      </c>
      <c r="B2220">
        <v>4302300038</v>
      </c>
      <c r="C2220">
        <v>901016002316</v>
      </c>
      <c r="D2220" t="s">
        <v>226</v>
      </c>
      <c r="E2220" t="s">
        <v>447</v>
      </c>
      <c r="F2220" t="s">
        <v>433</v>
      </c>
      <c r="G2220" t="s">
        <v>82</v>
      </c>
      <c r="H2220" t="s">
        <v>83</v>
      </c>
      <c r="J2220" t="s">
        <v>52</v>
      </c>
      <c r="K2220" s="15">
        <v>15858.02</v>
      </c>
      <c r="M2220">
        <v>45350</v>
      </c>
      <c r="N2220" t="s">
        <v>1013</v>
      </c>
      <c r="O2220">
        <v>0</v>
      </c>
      <c r="P2220">
        <v>0</v>
      </c>
      <c r="Q2220">
        <v>17571.387409310781</v>
      </c>
      <c r="R2220">
        <v>11130.72</v>
      </c>
      <c r="S2220">
        <v>13324.837187560013</v>
      </c>
      <c r="T2220">
        <v>0</v>
      </c>
      <c r="U2220">
        <v>0</v>
      </c>
      <c r="V2220">
        <v>290550.83</v>
      </c>
      <c r="W2220">
        <v>0</v>
      </c>
      <c r="X2220">
        <v>0</v>
      </c>
      <c r="Y2220">
        <v>332577.77459687082</v>
      </c>
      <c r="Z2220">
        <v>21271.296703129203</v>
      </c>
      <c r="AA2220">
        <v>353849.07130000001</v>
      </c>
      <c r="AB2220" t="s">
        <v>242</v>
      </c>
      <c r="AC2220">
        <v>7</v>
      </c>
      <c r="AD2220">
        <v>38058.020000000004</v>
      </c>
      <c r="AE2220">
        <v>0</v>
      </c>
      <c r="AF2220">
        <v>0</v>
      </c>
      <c r="AG2220">
        <v>2274.0145968707984</v>
      </c>
      <c r="AH2220" t="s">
        <v>58</v>
      </c>
      <c r="AK2220" t="s">
        <v>798</v>
      </c>
      <c r="AL2220">
        <v>4132301112</v>
      </c>
      <c r="AM2220">
        <v>3010184753</v>
      </c>
      <c r="AN2220" t="s">
        <v>179</v>
      </c>
      <c r="AO2220" t="s">
        <v>441</v>
      </c>
      <c r="AP2220" t="s">
        <v>430</v>
      </c>
      <c r="AQ2220" t="s">
        <v>233</v>
      </c>
      <c r="AR2220" t="s">
        <v>231</v>
      </c>
      <c r="AT2220" t="s">
        <v>52</v>
      </c>
      <c r="AU2220">
        <v>500</v>
      </c>
      <c r="AW2220">
        <v>45350</v>
      </c>
      <c r="AX2220" t="s">
        <v>1013</v>
      </c>
      <c r="AY2220">
        <v>0</v>
      </c>
      <c r="AZ2220">
        <v>3316.757326712755</v>
      </c>
      <c r="BA2220">
        <v>0</v>
      </c>
      <c r="BB2220">
        <v>0</v>
      </c>
      <c r="BC2220">
        <v>21290.753424657534</v>
      </c>
      <c r="BD2220">
        <v>54003.030535782462</v>
      </c>
      <c r="BE2220">
        <v>0</v>
      </c>
      <c r="BF2220">
        <v>0</v>
      </c>
      <c r="BG2220">
        <v>0</v>
      </c>
      <c r="BH2220">
        <v>0</v>
      </c>
      <c r="BI2220">
        <v>78610.541287152751</v>
      </c>
      <c r="BJ2220">
        <v>3780.2121375047727</v>
      </c>
      <c r="BK2220">
        <v>82390.753424657523</v>
      </c>
      <c r="BL2220" t="s">
        <v>242</v>
      </c>
      <c r="BM2220">
        <v>5</v>
      </c>
      <c r="BN2220">
        <v>2500</v>
      </c>
      <c r="BO2220">
        <v>0</v>
      </c>
      <c r="BP2220">
        <v>0</v>
      </c>
      <c r="BQ2220">
        <v>112.31122698120828</v>
      </c>
      <c r="BR2220" t="s">
        <v>58</v>
      </c>
    </row>
    <row r="2221" spans="1:70" x14ac:dyDescent="0.3">
      <c r="A2221" t="s">
        <v>798</v>
      </c>
      <c r="B2221">
        <v>2200009</v>
      </c>
      <c r="C2221">
        <v>19887094</v>
      </c>
      <c r="D2221" t="s">
        <v>77</v>
      </c>
      <c r="E2221" t="s">
        <v>435</v>
      </c>
      <c r="F2221" t="s">
        <v>426</v>
      </c>
      <c r="G2221" t="s">
        <v>82</v>
      </c>
      <c r="H2221" t="s">
        <v>82</v>
      </c>
      <c r="J2221" t="s">
        <v>52</v>
      </c>
      <c r="K2221" s="15">
        <v>1800</v>
      </c>
      <c r="M2221">
        <v>45351</v>
      </c>
      <c r="N2221" t="s">
        <v>1013</v>
      </c>
      <c r="O2221">
        <v>0</v>
      </c>
      <c r="P2221">
        <v>0</v>
      </c>
      <c r="Q2221">
        <v>0</v>
      </c>
      <c r="R2221">
        <v>0</v>
      </c>
      <c r="S2221">
        <v>8901.6161805382981</v>
      </c>
      <c r="T2221">
        <v>0</v>
      </c>
      <c r="U2221">
        <v>0</v>
      </c>
      <c r="V2221">
        <v>107102.9400910782</v>
      </c>
      <c r="W2221">
        <v>0</v>
      </c>
      <c r="X2221">
        <v>0</v>
      </c>
      <c r="Y2221">
        <v>116004.5562716165</v>
      </c>
      <c r="Z2221">
        <v>0</v>
      </c>
      <c r="AA2221">
        <v>116004.5562716165</v>
      </c>
      <c r="AB2221" t="s">
        <v>242</v>
      </c>
      <c r="AC2221">
        <v>18</v>
      </c>
      <c r="AD2221">
        <v>18000</v>
      </c>
      <c r="AE2221">
        <v>0</v>
      </c>
      <c r="AF2221">
        <v>0</v>
      </c>
      <c r="AG2221">
        <v>0</v>
      </c>
      <c r="AH2221" t="s">
        <v>58</v>
      </c>
      <c r="AK2221" t="s">
        <v>798</v>
      </c>
      <c r="AL2221">
        <v>42200597</v>
      </c>
      <c r="AM2221">
        <v>2760015434</v>
      </c>
      <c r="AN2221" t="s">
        <v>992</v>
      </c>
      <c r="AO2221" t="s">
        <v>439</v>
      </c>
      <c r="AP2221" t="s">
        <v>430</v>
      </c>
      <c r="AQ2221" t="s">
        <v>232</v>
      </c>
      <c r="AR2221" t="s">
        <v>71</v>
      </c>
      <c r="AT2221" t="s">
        <v>416</v>
      </c>
      <c r="AU2221">
        <v>0.38279999999999997</v>
      </c>
      <c r="AW2221">
        <v>45351</v>
      </c>
      <c r="AX2221" t="s">
        <v>1016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21469.867285981305</v>
      </c>
      <c r="BI2221">
        <v>21469.867285981305</v>
      </c>
      <c r="BJ2221">
        <v>1502.8907100186916</v>
      </c>
      <c r="BK2221">
        <v>22972.757995999997</v>
      </c>
      <c r="BL2221" t="s">
        <v>242</v>
      </c>
      <c r="BM2221">
        <v>1</v>
      </c>
      <c r="BN2221">
        <v>60000</v>
      </c>
      <c r="BO2221">
        <v>0</v>
      </c>
      <c r="BP2221">
        <v>0</v>
      </c>
      <c r="BQ2221">
        <v>3925.2336448598144</v>
      </c>
      <c r="BR2221" t="s">
        <v>58</v>
      </c>
    </row>
    <row r="2222" spans="1:70" x14ac:dyDescent="0.3">
      <c r="A2222" t="s">
        <v>798</v>
      </c>
      <c r="B2222">
        <v>2200015</v>
      </c>
      <c r="C2222">
        <v>20972229</v>
      </c>
      <c r="D2222" t="s">
        <v>76</v>
      </c>
      <c r="E2222" t="s">
        <v>435</v>
      </c>
      <c r="F2222" t="s">
        <v>426</v>
      </c>
      <c r="G2222" t="s">
        <v>82</v>
      </c>
      <c r="H2222" t="s">
        <v>82</v>
      </c>
      <c r="J2222" t="s">
        <v>52</v>
      </c>
      <c r="K2222" s="15">
        <v>1000</v>
      </c>
      <c r="M2222">
        <v>45351</v>
      </c>
      <c r="N2222" t="s">
        <v>1029</v>
      </c>
      <c r="O2222">
        <v>0</v>
      </c>
      <c r="P2222">
        <v>0</v>
      </c>
      <c r="Q2222">
        <v>0</v>
      </c>
      <c r="R2222">
        <v>0</v>
      </c>
      <c r="S2222">
        <v>1809.5975322232734</v>
      </c>
      <c r="T2222">
        <v>0</v>
      </c>
      <c r="U2222">
        <v>0</v>
      </c>
      <c r="V2222">
        <v>122323.98354815517</v>
      </c>
      <c r="W2222">
        <v>0</v>
      </c>
      <c r="X2222">
        <v>0</v>
      </c>
      <c r="Y2222">
        <v>124133.58108037844</v>
      </c>
      <c r="Z2222">
        <v>0</v>
      </c>
      <c r="AA2222">
        <v>124133.58108037844</v>
      </c>
      <c r="AB2222" t="s">
        <v>242</v>
      </c>
      <c r="AC2222">
        <v>18</v>
      </c>
      <c r="AD2222">
        <v>18000</v>
      </c>
      <c r="AE2222">
        <v>0</v>
      </c>
      <c r="AF2222">
        <v>0</v>
      </c>
      <c r="AG2222">
        <v>0</v>
      </c>
      <c r="AH2222" t="s">
        <v>58</v>
      </c>
      <c r="AK2222" t="s">
        <v>798</v>
      </c>
      <c r="AL2222">
        <v>42200127</v>
      </c>
      <c r="AM2222">
        <v>2759020408</v>
      </c>
      <c r="AN2222" t="s">
        <v>991</v>
      </c>
      <c r="AO2222" t="s">
        <v>439</v>
      </c>
      <c r="AP2222" t="s">
        <v>430</v>
      </c>
      <c r="AQ2222" t="s">
        <v>232</v>
      </c>
      <c r="AR2222" t="s">
        <v>71</v>
      </c>
      <c r="AT2222" t="s">
        <v>416</v>
      </c>
      <c r="AU2222">
        <v>0.3735</v>
      </c>
      <c r="AW2222">
        <v>45351</v>
      </c>
      <c r="AX2222" t="s">
        <v>1016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140188.44461214953</v>
      </c>
      <c r="BI2222">
        <v>140188.44461214953</v>
      </c>
      <c r="BJ2222">
        <v>9813.1911228504687</v>
      </c>
      <c r="BK2222">
        <v>150001.63573499999</v>
      </c>
      <c r="BL2222" t="s">
        <v>242</v>
      </c>
      <c r="BM2222">
        <v>0</v>
      </c>
      <c r="BN2222">
        <v>0</v>
      </c>
      <c r="BO2222">
        <v>0</v>
      </c>
      <c r="BP2222">
        <v>0</v>
      </c>
      <c r="BQ2222">
        <v>0</v>
      </c>
      <c r="BR2222" t="s">
        <v>72</v>
      </c>
    </row>
    <row r="2223" spans="1:70" x14ac:dyDescent="0.3">
      <c r="A2223" t="s">
        <v>798</v>
      </c>
      <c r="B2223">
        <v>12200001</v>
      </c>
      <c r="C2223">
        <v>11371109</v>
      </c>
      <c r="D2223" t="s">
        <v>111</v>
      </c>
      <c r="E2223" t="s">
        <v>435</v>
      </c>
      <c r="F2223" t="s">
        <v>427</v>
      </c>
      <c r="G2223" t="s">
        <v>82</v>
      </c>
      <c r="H2223" t="s">
        <v>82</v>
      </c>
      <c r="J2223" t="s">
        <v>52</v>
      </c>
      <c r="K2223" s="15">
        <v>2000</v>
      </c>
      <c r="M2223">
        <v>45351</v>
      </c>
      <c r="N2223" t="s">
        <v>1013</v>
      </c>
      <c r="O2223">
        <v>0</v>
      </c>
      <c r="P2223">
        <v>0</v>
      </c>
      <c r="Q2223">
        <v>0</v>
      </c>
      <c r="R2223">
        <v>0</v>
      </c>
      <c r="S2223">
        <v>27274.413513237239</v>
      </c>
      <c r="T2223">
        <v>0</v>
      </c>
      <c r="U2223">
        <v>0</v>
      </c>
      <c r="V2223">
        <v>107144.0766813306</v>
      </c>
      <c r="W2223">
        <v>0</v>
      </c>
      <c r="X2223">
        <v>0</v>
      </c>
      <c r="Y2223">
        <v>134418.49019456783</v>
      </c>
      <c r="Z2223">
        <v>0</v>
      </c>
      <c r="AA2223">
        <v>134418.49019456783</v>
      </c>
      <c r="AB2223" t="s">
        <v>242</v>
      </c>
      <c r="AC2223">
        <v>9</v>
      </c>
      <c r="AD2223">
        <v>16000</v>
      </c>
      <c r="AE2223">
        <v>0</v>
      </c>
      <c r="AF2223">
        <v>0</v>
      </c>
      <c r="AG2223">
        <v>0</v>
      </c>
      <c r="AH2223" t="s">
        <v>58</v>
      </c>
      <c r="AK2223" t="s">
        <v>798</v>
      </c>
      <c r="AL2223">
        <v>42200597</v>
      </c>
      <c r="AM2223">
        <v>2760015434</v>
      </c>
      <c r="AN2223" t="s">
        <v>992</v>
      </c>
      <c r="AO2223" t="s">
        <v>439</v>
      </c>
      <c r="AP2223" t="s">
        <v>430</v>
      </c>
      <c r="AQ2223" t="s">
        <v>1078</v>
      </c>
      <c r="AR2223" t="s">
        <v>71</v>
      </c>
      <c r="AT2223" t="s">
        <v>52</v>
      </c>
      <c r="AU2223">
        <v>60000</v>
      </c>
      <c r="AW2223">
        <v>45351</v>
      </c>
      <c r="AX2223" t="s">
        <v>1018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4.4467252336398815</v>
      </c>
      <c r="BI2223">
        <v>4.4467252336398815</v>
      </c>
      <c r="BJ2223">
        <v>0.31127076635479173</v>
      </c>
      <c r="BK2223">
        <v>4.757995999994673</v>
      </c>
      <c r="BL2223" t="s">
        <v>242</v>
      </c>
      <c r="BM2223">
        <v>1</v>
      </c>
      <c r="BN2223">
        <v>60000</v>
      </c>
      <c r="BO2223">
        <v>0</v>
      </c>
      <c r="BP2223">
        <v>0</v>
      </c>
      <c r="BQ2223">
        <v>3925.2336448598144</v>
      </c>
      <c r="BR2223" t="s">
        <v>72</v>
      </c>
    </row>
    <row r="2224" spans="1:70" x14ac:dyDescent="0.3">
      <c r="A2224" t="s">
        <v>798</v>
      </c>
      <c r="B2224">
        <v>12200042</v>
      </c>
      <c r="C2224">
        <v>23526321</v>
      </c>
      <c r="D2224" t="s">
        <v>624</v>
      </c>
      <c r="E2224" t="s">
        <v>435</v>
      </c>
      <c r="F2224" t="s">
        <v>427</v>
      </c>
      <c r="G2224" t="s">
        <v>230</v>
      </c>
      <c r="H2224" t="s">
        <v>230</v>
      </c>
      <c r="J2224" t="s">
        <v>52</v>
      </c>
      <c r="K2224" s="15">
        <v>3000</v>
      </c>
      <c r="M2224">
        <v>45351</v>
      </c>
      <c r="N2224" t="s">
        <v>1013</v>
      </c>
      <c r="O2224">
        <v>0</v>
      </c>
      <c r="P2224">
        <v>0</v>
      </c>
      <c r="Q2224">
        <v>0</v>
      </c>
      <c r="R2224">
        <v>0</v>
      </c>
      <c r="S2224">
        <v>13173.699999999997</v>
      </c>
      <c r="T2224">
        <v>0</v>
      </c>
      <c r="U2224">
        <v>0</v>
      </c>
      <c r="V2224">
        <v>80000</v>
      </c>
      <c r="W2224">
        <v>0</v>
      </c>
      <c r="X2224">
        <v>0</v>
      </c>
      <c r="Y2224">
        <v>93173.7</v>
      </c>
      <c r="Z2224">
        <v>0</v>
      </c>
      <c r="AA2224">
        <v>93173.7</v>
      </c>
      <c r="AB2224" t="s">
        <v>242</v>
      </c>
      <c r="AC2224">
        <v>13</v>
      </c>
      <c r="AD2224">
        <v>27600</v>
      </c>
      <c r="AE2224">
        <v>0</v>
      </c>
      <c r="AF2224">
        <v>0</v>
      </c>
      <c r="AG2224">
        <v>0</v>
      </c>
      <c r="AH2224" t="s">
        <v>58</v>
      </c>
      <c r="AK2224" t="s">
        <v>798</v>
      </c>
      <c r="AL2224">
        <v>42200982</v>
      </c>
      <c r="AM2224">
        <v>2757006807</v>
      </c>
      <c r="AN2224" t="s">
        <v>957</v>
      </c>
      <c r="AO2224" t="s">
        <v>439</v>
      </c>
      <c r="AP2224" t="s">
        <v>430</v>
      </c>
      <c r="AQ2224" t="s">
        <v>233</v>
      </c>
      <c r="AR2224" t="s">
        <v>234</v>
      </c>
      <c r="AT2224" t="s">
        <v>52</v>
      </c>
      <c r="AU2224">
        <v>40000</v>
      </c>
      <c r="AW2224">
        <v>45351</v>
      </c>
      <c r="AX2224" t="s">
        <v>1042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37391.866777570081</v>
      </c>
      <c r="BI2224">
        <v>37391.866777570081</v>
      </c>
      <c r="BJ2224">
        <v>2617.430674429906</v>
      </c>
      <c r="BK2224">
        <v>40009.297451999984</v>
      </c>
      <c r="BL2224" t="s">
        <v>242</v>
      </c>
      <c r="BM2224">
        <v>2</v>
      </c>
      <c r="BN2224">
        <v>120000</v>
      </c>
      <c r="BO2224">
        <v>0</v>
      </c>
      <c r="BP2224">
        <v>0</v>
      </c>
      <c r="BQ2224">
        <v>7850.4672897196215</v>
      </c>
      <c r="BR2224" t="s">
        <v>58</v>
      </c>
    </row>
    <row r="2225" spans="1:70" x14ac:dyDescent="0.3">
      <c r="A2225" t="s">
        <v>798</v>
      </c>
      <c r="B2225">
        <v>12200047</v>
      </c>
      <c r="C2225">
        <v>25275500</v>
      </c>
      <c r="D2225" t="s">
        <v>88</v>
      </c>
      <c r="E2225" t="s">
        <v>436</v>
      </c>
      <c r="F2225" t="s">
        <v>427</v>
      </c>
      <c r="G2225" t="s">
        <v>82</v>
      </c>
      <c r="H2225" t="s">
        <v>82</v>
      </c>
      <c r="J2225" t="s">
        <v>52</v>
      </c>
      <c r="K2225" s="15">
        <v>1200</v>
      </c>
      <c r="M2225">
        <v>45351</v>
      </c>
      <c r="N2225" t="s">
        <v>1013</v>
      </c>
      <c r="O2225">
        <v>0</v>
      </c>
      <c r="P2225">
        <v>0</v>
      </c>
      <c r="Q2225">
        <v>0</v>
      </c>
      <c r="R2225">
        <v>0</v>
      </c>
      <c r="S2225">
        <v>54601.279504387319</v>
      </c>
      <c r="T2225">
        <v>0</v>
      </c>
      <c r="U2225">
        <v>0</v>
      </c>
      <c r="V2225">
        <v>278431.83561643836</v>
      </c>
      <c r="W2225">
        <v>0</v>
      </c>
      <c r="X2225">
        <v>0</v>
      </c>
      <c r="Y2225">
        <v>333033.11512082571</v>
      </c>
      <c r="Z2225">
        <v>0</v>
      </c>
      <c r="AA2225">
        <v>333033.11512082571</v>
      </c>
      <c r="AB2225" t="s">
        <v>242</v>
      </c>
      <c r="AC2225">
        <v>5</v>
      </c>
      <c r="AD2225">
        <v>4700</v>
      </c>
      <c r="AE2225">
        <v>0</v>
      </c>
      <c r="AF2225">
        <v>0</v>
      </c>
      <c r="AG2225">
        <v>0</v>
      </c>
      <c r="AH2225" t="s">
        <v>58</v>
      </c>
      <c r="AK2225" t="s">
        <v>798</v>
      </c>
      <c r="AL2225">
        <v>42200982</v>
      </c>
      <c r="AM2225">
        <v>2757006807</v>
      </c>
      <c r="AN2225" t="s">
        <v>957</v>
      </c>
      <c r="AO2225" t="s">
        <v>439</v>
      </c>
      <c r="AP2225" t="s">
        <v>430</v>
      </c>
      <c r="AQ2225" t="s">
        <v>419</v>
      </c>
      <c r="AR2225" t="s">
        <v>234</v>
      </c>
      <c r="AT2225" t="s">
        <v>52</v>
      </c>
      <c r="AU2225">
        <v>40000</v>
      </c>
      <c r="AW2225">
        <v>45351</v>
      </c>
      <c r="AX2225" t="s">
        <v>1042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8.6892074766219594</v>
      </c>
      <c r="BI2225">
        <v>8.6892074766219594</v>
      </c>
      <c r="BJ2225">
        <v>0.60824452336353718</v>
      </c>
      <c r="BK2225">
        <v>9.2974519999854959</v>
      </c>
      <c r="BL2225" t="s">
        <v>242</v>
      </c>
      <c r="BM2225">
        <v>3</v>
      </c>
      <c r="BN2225">
        <v>160000</v>
      </c>
      <c r="BO2225">
        <v>0</v>
      </c>
      <c r="BP2225">
        <v>0</v>
      </c>
      <c r="BQ2225">
        <v>10467.289719626162</v>
      </c>
      <c r="BR2225" t="s">
        <v>58</v>
      </c>
    </row>
    <row r="2226" spans="1:70" x14ac:dyDescent="0.3">
      <c r="A2226" t="s">
        <v>798</v>
      </c>
      <c r="B2226">
        <v>12200122</v>
      </c>
      <c r="C2226">
        <v>5900440096</v>
      </c>
      <c r="D2226" t="s">
        <v>113</v>
      </c>
      <c r="E2226" t="s">
        <v>437</v>
      </c>
      <c r="F2226" t="s">
        <v>427</v>
      </c>
      <c r="G2226" t="s">
        <v>82</v>
      </c>
      <c r="H2226" t="s">
        <v>82</v>
      </c>
      <c r="J2226" t="s">
        <v>52</v>
      </c>
      <c r="K2226" s="15">
        <v>1000</v>
      </c>
      <c r="M2226">
        <v>45351</v>
      </c>
      <c r="N2226" t="s">
        <v>1013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9999.4900000000016</v>
      </c>
      <c r="W2226">
        <v>0</v>
      </c>
      <c r="X2226">
        <v>0</v>
      </c>
      <c r="Y2226">
        <v>9999.4900000000016</v>
      </c>
      <c r="Z2226">
        <v>0</v>
      </c>
      <c r="AA2226">
        <v>9999.4900000000016</v>
      </c>
      <c r="AB2226" t="s">
        <v>242</v>
      </c>
      <c r="AC2226">
        <v>10</v>
      </c>
      <c r="AD2226">
        <v>11276</v>
      </c>
      <c r="AE2226">
        <v>0</v>
      </c>
      <c r="AF2226">
        <v>0</v>
      </c>
      <c r="AG2226">
        <v>0</v>
      </c>
      <c r="AH2226" t="s">
        <v>58</v>
      </c>
      <c r="AK2226" t="s">
        <v>798</v>
      </c>
      <c r="AL2226">
        <v>4132300945</v>
      </c>
      <c r="AM2226">
        <v>1020271465</v>
      </c>
      <c r="AN2226" t="s">
        <v>698</v>
      </c>
      <c r="AO2226" t="s">
        <v>441</v>
      </c>
      <c r="AP2226" t="s">
        <v>430</v>
      </c>
      <c r="AQ2226" t="s">
        <v>237</v>
      </c>
      <c r="AR2226" t="s">
        <v>231</v>
      </c>
      <c r="AT2226" t="s">
        <v>52</v>
      </c>
      <c r="AU2226">
        <v>35000</v>
      </c>
      <c r="AW2226">
        <v>45351</v>
      </c>
      <c r="AX2226" t="s">
        <v>1043</v>
      </c>
      <c r="AY2226">
        <v>0</v>
      </c>
      <c r="AZ2226">
        <v>229.00344607109491</v>
      </c>
      <c r="BA2226">
        <v>0</v>
      </c>
      <c r="BB2226">
        <v>0</v>
      </c>
      <c r="BC2226">
        <v>10299.508397260273</v>
      </c>
      <c r="BD2226">
        <v>15846.162760681222</v>
      </c>
      <c r="BE2226">
        <v>33184.261682242992</v>
      </c>
      <c r="BF2226">
        <v>0</v>
      </c>
      <c r="BG2226">
        <v>0</v>
      </c>
      <c r="BH2226">
        <v>0</v>
      </c>
      <c r="BI2226">
        <v>59558.936286255586</v>
      </c>
      <c r="BJ2226">
        <v>3432.1297110046949</v>
      </c>
      <c r="BK2226">
        <v>62991.065997260281</v>
      </c>
      <c r="BL2226" t="s">
        <v>242</v>
      </c>
      <c r="BM2226">
        <v>1</v>
      </c>
      <c r="BN2226">
        <v>35000</v>
      </c>
      <c r="BO2226">
        <v>0</v>
      </c>
      <c r="BP2226">
        <v>0</v>
      </c>
      <c r="BQ2226">
        <v>1871.8214478738118</v>
      </c>
      <c r="BR2226" t="s">
        <v>58</v>
      </c>
    </row>
    <row r="2227" spans="1:70" x14ac:dyDescent="0.3">
      <c r="A2227" t="s">
        <v>798</v>
      </c>
      <c r="B2227">
        <v>12200173</v>
      </c>
      <c r="C2227">
        <v>19267973</v>
      </c>
      <c r="D2227" t="s">
        <v>118</v>
      </c>
      <c r="E2227" t="s">
        <v>438</v>
      </c>
      <c r="F2227" t="s">
        <v>427</v>
      </c>
      <c r="G2227" t="s">
        <v>82</v>
      </c>
      <c r="H2227" t="s">
        <v>82</v>
      </c>
      <c r="J2227" t="s">
        <v>52</v>
      </c>
      <c r="K2227" s="15">
        <v>1000</v>
      </c>
      <c r="M2227">
        <v>45351</v>
      </c>
      <c r="N2227" t="s">
        <v>1013</v>
      </c>
      <c r="O2227">
        <v>0</v>
      </c>
      <c r="P2227">
        <v>0</v>
      </c>
      <c r="Q2227">
        <v>0</v>
      </c>
      <c r="R2227">
        <v>0</v>
      </c>
      <c r="S2227">
        <v>32764.983876681952</v>
      </c>
      <c r="T2227">
        <v>0</v>
      </c>
      <c r="U2227">
        <v>0</v>
      </c>
      <c r="V2227">
        <v>100001.5186470839</v>
      </c>
      <c r="W2227">
        <v>0</v>
      </c>
      <c r="X2227">
        <v>0</v>
      </c>
      <c r="Y2227">
        <v>132766.50252376584</v>
      </c>
      <c r="Z2227">
        <v>0</v>
      </c>
      <c r="AA2227">
        <v>132766.50252376584</v>
      </c>
      <c r="AB2227" t="s">
        <v>242</v>
      </c>
      <c r="AC2227">
        <v>5</v>
      </c>
      <c r="AD2227">
        <v>4500</v>
      </c>
      <c r="AE2227">
        <v>0</v>
      </c>
      <c r="AF2227">
        <v>0</v>
      </c>
      <c r="AG2227">
        <v>0</v>
      </c>
      <c r="AH2227" t="s">
        <v>58</v>
      </c>
      <c r="AK2227" t="s">
        <v>798</v>
      </c>
      <c r="AL2227">
        <v>4142301469</v>
      </c>
      <c r="AM2227">
        <v>10516523</v>
      </c>
      <c r="AN2227" t="s">
        <v>756</v>
      </c>
      <c r="AO2227" t="s">
        <v>446</v>
      </c>
      <c r="AP2227" t="s">
        <v>430</v>
      </c>
      <c r="AQ2227" t="s">
        <v>422</v>
      </c>
      <c r="AR2227" t="s">
        <v>234</v>
      </c>
      <c r="AT2227" t="s">
        <v>52</v>
      </c>
      <c r="AU2227">
        <v>80032.789999999994</v>
      </c>
      <c r="AW2227">
        <v>45351</v>
      </c>
      <c r="AX2227" t="s">
        <v>1017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 t="s">
        <v>242</v>
      </c>
      <c r="BM2227">
        <v>2</v>
      </c>
      <c r="BN2227">
        <v>82032.789999999994</v>
      </c>
      <c r="BO2227">
        <v>0</v>
      </c>
      <c r="BP2227">
        <v>0</v>
      </c>
      <c r="BQ2227">
        <v>5366.6311214953203</v>
      </c>
      <c r="BR2227" t="s">
        <v>58</v>
      </c>
    </row>
    <row r="2228" spans="1:70" x14ac:dyDescent="0.3">
      <c r="A2228" t="s">
        <v>798</v>
      </c>
      <c r="B2228">
        <v>12200176</v>
      </c>
      <c r="C2228">
        <v>28068851</v>
      </c>
      <c r="D2228" t="s">
        <v>119</v>
      </c>
      <c r="E2228" t="s">
        <v>438</v>
      </c>
      <c r="F2228" t="s">
        <v>427</v>
      </c>
      <c r="G2228" t="s">
        <v>82</v>
      </c>
      <c r="H2228" t="s">
        <v>82</v>
      </c>
      <c r="J2228" t="s">
        <v>52</v>
      </c>
      <c r="K2228" s="15">
        <v>3000</v>
      </c>
      <c r="M2228">
        <v>45351</v>
      </c>
      <c r="N2228" t="s">
        <v>1013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135725.36979491089</v>
      </c>
      <c r="W2228">
        <v>0</v>
      </c>
      <c r="X2228">
        <v>0</v>
      </c>
      <c r="Y2228">
        <v>135725.36979491089</v>
      </c>
      <c r="Z2228">
        <v>0</v>
      </c>
      <c r="AA2228">
        <v>135725.36979491089</v>
      </c>
      <c r="AB2228" t="s">
        <v>242</v>
      </c>
      <c r="AC2228">
        <v>8</v>
      </c>
      <c r="AD2228">
        <v>30000</v>
      </c>
      <c r="AE2228">
        <v>0</v>
      </c>
      <c r="AF2228">
        <v>0</v>
      </c>
      <c r="AG2228">
        <v>0</v>
      </c>
      <c r="AH2228" t="s">
        <v>58</v>
      </c>
      <c r="AK2228" t="s">
        <v>798</v>
      </c>
      <c r="AL2228">
        <v>2200009</v>
      </c>
      <c r="AM2228">
        <v>19887094</v>
      </c>
      <c r="AN2228" t="s">
        <v>77</v>
      </c>
      <c r="AO2228" t="s">
        <v>435</v>
      </c>
      <c r="AP2228" t="s">
        <v>426</v>
      </c>
      <c r="AQ2228" t="s">
        <v>82</v>
      </c>
      <c r="AR2228" t="s">
        <v>82</v>
      </c>
      <c r="AT2228" t="s">
        <v>52</v>
      </c>
      <c r="AU2228">
        <v>1800</v>
      </c>
      <c r="AW2228">
        <v>45351</v>
      </c>
      <c r="AX2228" t="s">
        <v>1013</v>
      </c>
      <c r="AY2228">
        <v>0</v>
      </c>
      <c r="AZ2228">
        <v>0</v>
      </c>
      <c r="BA2228">
        <v>0</v>
      </c>
      <c r="BB2228">
        <v>0</v>
      </c>
      <c r="BC2228">
        <v>8901.6161805382981</v>
      </c>
      <c r="BD2228">
        <v>0</v>
      </c>
      <c r="BE2228">
        <v>0</v>
      </c>
      <c r="BF2228">
        <v>107102.9400910782</v>
      </c>
      <c r="BG2228">
        <v>0</v>
      </c>
      <c r="BH2228">
        <v>0</v>
      </c>
      <c r="BI2228">
        <v>116004.5562716165</v>
      </c>
      <c r="BJ2228">
        <v>0</v>
      </c>
      <c r="BK2228">
        <v>116004.5562716165</v>
      </c>
      <c r="BL2228" t="s">
        <v>242</v>
      </c>
      <c r="BM2228">
        <v>18</v>
      </c>
      <c r="BN2228">
        <v>18000</v>
      </c>
      <c r="BO2228">
        <v>0</v>
      </c>
      <c r="BP2228">
        <v>0</v>
      </c>
      <c r="BQ2228">
        <v>0</v>
      </c>
      <c r="BR2228" t="s">
        <v>58</v>
      </c>
    </row>
    <row r="2229" spans="1:70" x14ac:dyDescent="0.3">
      <c r="A2229" t="s">
        <v>798</v>
      </c>
      <c r="B2229">
        <v>22200068</v>
      </c>
      <c r="C2229">
        <v>20579132</v>
      </c>
      <c r="D2229" t="s">
        <v>80</v>
      </c>
      <c r="E2229" t="s">
        <v>435</v>
      </c>
      <c r="F2229" t="s">
        <v>428</v>
      </c>
      <c r="G2229" t="s">
        <v>82</v>
      </c>
      <c r="H2229" t="s">
        <v>82</v>
      </c>
      <c r="J2229" t="s">
        <v>52</v>
      </c>
      <c r="K2229" s="15">
        <v>500</v>
      </c>
      <c r="M2229">
        <v>45351</v>
      </c>
      <c r="N2229" t="s">
        <v>1013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20191.271592123288</v>
      </c>
      <c r="W2229">
        <v>0</v>
      </c>
      <c r="X2229">
        <v>0</v>
      </c>
      <c r="Y2229">
        <v>20191.271592123288</v>
      </c>
      <c r="Z2229">
        <v>0</v>
      </c>
      <c r="AA2229">
        <v>20191.271592123288</v>
      </c>
      <c r="AB2229" t="s">
        <v>242</v>
      </c>
      <c r="AC2229">
        <v>16</v>
      </c>
      <c r="AD2229">
        <v>9500</v>
      </c>
      <c r="AE2229">
        <v>0</v>
      </c>
      <c r="AF2229">
        <v>0</v>
      </c>
      <c r="AG2229">
        <v>0</v>
      </c>
      <c r="AH2229" t="s">
        <v>58</v>
      </c>
      <c r="AK2229" t="s">
        <v>798</v>
      </c>
      <c r="AL2229">
        <v>2200015</v>
      </c>
      <c r="AM2229">
        <v>20972229</v>
      </c>
      <c r="AN2229" t="s">
        <v>76</v>
      </c>
      <c r="AO2229" t="s">
        <v>435</v>
      </c>
      <c r="AP2229" t="s">
        <v>426</v>
      </c>
      <c r="AQ2229" t="s">
        <v>82</v>
      </c>
      <c r="AR2229" t="s">
        <v>82</v>
      </c>
      <c r="AT2229" t="s">
        <v>52</v>
      </c>
      <c r="AU2229">
        <v>1000</v>
      </c>
      <c r="AW2229">
        <v>45351</v>
      </c>
      <c r="AX2229" t="s">
        <v>1029</v>
      </c>
      <c r="AY2229">
        <v>0</v>
      </c>
      <c r="AZ2229">
        <v>0</v>
      </c>
      <c r="BA2229">
        <v>0</v>
      </c>
      <c r="BB2229">
        <v>0</v>
      </c>
      <c r="BC2229">
        <v>1809.5975322232734</v>
      </c>
      <c r="BD2229">
        <v>0</v>
      </c>
      <c r="BE2229">
        <v>0</v>
      </c>
      <c r="BF2229">
        <v>122323.98354815517</v>
      </c>
      <c r="BG2229">
        <v>0</v>
      </c>
      <c r="BH2229">
        <v>0</v>
      </c>
      <c r="BI2229">
        <v>124133.58108037844</v>
      </c>
      <c r="BJ2229">
        <v>0</v>
      </c>
      <c r="BK2229">
        <v>124133.58108037844</v>
      </c>
      <c r="BL2229" t="s">
        <v>242</v>
      </c>
      <c r="BM2229">
        <v>18</v>
      </c>
      <c r="BN2229">
        <v>18000</v>
      </c>
      <c r="BO2229">
        <v>0</v>
      </c>
      <c r="BP2229">
        <v>0</v>
      </c>
      <c r="BQ2229">
        <v>0</v>
      </c>
      <c r="BR2229" t="s">
        <v>58</v>
      </c>
    </row>
    <row r="2230" spans="1:70" x14ac:dyDescent="0.3">
      <c r="A2230" t="s">
        <v>798</v>
      </c>
      <c r="B2230">
        <v>42200127</v>
      </c>
      <c r="C2230">
        <v>2759020408</v>
      </c>
      <c r="D2230" t="s">
        <v>991</v>
      </c>
      <c r="E2230" t="s">
        <v>439</v>
      </c>
      <c r="F2230" t="s">
        <v>430</v>
      </c>
      <c r="G2230" t="s">
        <v>232</v>
      </c>
      <c r="H2230" t="s">
        <v>71</v>
      </c>
      <c r="J2230" t="s">
        <v>416</v>
      </c>
      <c r="K2230" s="15">
        <v>0.3735</v>
      </c>
      <c r="M2230">
        <v>45351</v>
      </c>
      <c r="N2230" t="s">
        <v>1016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140188.44461214953</v>
      </c>
      <c r="Y2230">
        <v>140188.44461214953</v>
      </c>
      <c r="Z2230">
        <v>9813.1911228504687</v>
      </c>
      <c r="AA2230">
        <v>150001.63573499999</v>
      </c>
      <c r="AB2230" t="s">
        <v>242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 t="s">
        <v>72</v>
      </c>
      <c r="AK2230" t="s">
        <v>798</v>
      </c>
      <c r="AL2230">
        <v>12200001</v>
      </c>
      <c r="AM2230">
        <v>11371109</v>
      </c>
      <c r="AN2230" t="s">
        <v>111</v>
      </c>
      <c r="AO2230" t="s">
        <v>435</v>
      </c>
      <c r="AP2230" t="s">
        <v>427</v>
      </c>
      <c r="AQ2230" t="s">
        <v>82</v>
      </c>
      <c r="AR2230" t="s">
        <v>82</v>
      </c>
      <c r="AT2230" t="s">
        <v>52</v>
      </c>
      <c r="AU2230">
        <v>2000</v>
      </c>
      <c r="AW2230">
        <v>45351</v>
      </c>
      <c r="AX2230" t="s">
        <v>1013</v>
      </c>
      <c r="AY2230">
        <v>0</v>
      </c>
      <c r="AZ2230">
        <v>0</v>
      </c>
      <c r="BA2230">
        <v>0</v>
      </c>
      <c r="BB2230">
        <v>0</v>
      </c>
      <c r="BC2230">
        <v>27274.413513237239</v>
      </c>
      <c r="BD2230">
        <v>0</v>
      </c>
      <c r="BE2230">
        <v>0</v>
      </c>
      <c r="BF2230">
        <v>107144.0766813306</v>
      </c>
      <c r="BG2230">
        <v>0</v>
      </c>
      <c r="BH2230">
        <v>0</v>
      </c>
      <c r="BI2230">
        <v>134418.49019456783</v>
      </c>
      <c r="BJ2230">
        <v>0</v>
      </c>
      <c r="BK2230">
        <v>134418.49019456783</v>
      </c>
      <c r="BL2230" t="s">
        <v>242</v>
      </c>
      <c r="BM2230">
        <v>9</v>
      </c>
      <c r="BN2230">
        <v>16000</v>
      </c>
      <c r="BO2230">
        <v>0</v>
      </c>
      <c r="BP2230">
        <v>0</v>
      </c>
      <c r="BQ2230">
        <v>0</v>
      </c>
      <c r="BR2230" t="s">
        <v>58</v>
      </c>
    </row>
    <row r="2231" spans="1:70" x14ac:dyDescent="0.3">
      <c r="A2231" t="s">
        <v>798</v>
      </c>
      <c r="B2231">
        <v>42200597</v>
      </c>
      <c r="C2231">
        <v>2760015434</v>
      </c>
      <c r="D2231" t="s">
        <v>992</v>
      </c>
      <c r="E2231" t="s">
        <v>439</v>
      </c>
      <c r="F2231" t="s">
        <v>430</v>
      </c>
      <c r="G2231" t="s">
        <v>232</v>
      </c>
      <c r="H2231" t="s">
        <v>71</v>
      </c>
      <c r="J2231" t="s">
        <v>52</v>
      </c>
      <c r="K2231" s="15">
        <v>60000</v>
      </c>
      <c r="M2231">
        <v>45351</v>
      </c>
      <c r="N2231" t="s">
        <v>1018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34785.91588785046</v>
      </c>
      <c r="Y2231">
        <v>34785.91588785046</v>
      </c>
      <c r="Z2231">
        <v>2435.0141121495326</v>
      </c>
      <c r="AA2231">
        <v>37220.929999999993</v>
      </c>
      <c r="AB2231" t="s">
        <v>242</v>
      </c>
      <c r="AC2231">
        <v>1</v>
      </c>
      <c r="AD2231">
        <v>60000</v>
      </c>
      <c r="AE2231">
        <v>0</v>
      </c>
      <c r="AF2231">
        <v>0</v>
      </c>
      <c r="AG2231">
        <v>3925.2336448598144</v>
      </c>
      <c r="AH2231" t="s">
        <v>72</v>
      </c>
      <c r="AK2231" t="s">
        <v>798</v>
      </c>
      <c r="AL2231">
        <v>12200047</v>
      </c>
      <c r="AM2231">
        <v>25275500</v>
      </c>
      <c r="AN2231" t="s">
        <v>88</v>
      </c>
      <c r="AO2231" t="s">
        <v>436</v>
      </c>
      <c r="AP2231" t="s">
        <v>427</v>
      </c>
      <c r="AQ2231" t="s">
        <v>82</v>
      </c>
      <c r="AR2231" t="s">
        <v>82</v>
      </c>
      <c r="AT2231" t="s">
        <v>52</v>
      </c>
      <c r="AU2231">
        <v>1200</v>
      </c>
      <c r="AW2231">
        <v>45351</v>
      </c>
      <c r="AX2231" t="s">
        <v>1013</v>
      </c>
      <c r="AY2231">
        <v>0</v>
      </c>
      <c r="AZ2231">
        <v>0</v>
      </c>
      <c r="BA2231">
        <v>0</v>
      </c>
      <c r="BB2231">
        <v>0</v>
      </c>
      <c r="BC2231">
        <v>54601.279504387319</v>
      </c>
      <c r="BD2231">
        <v>0</v>
      </c>
      <c r="BE2231">
        <v>0</v>
      </c>
      <c r="BF2231">
        <v>278431.83561643836</v>
      </c>
      <c r="BG2231">
        <v>0</v>
      </c>
      <c r="BH2231">
        <v>0</v>
      </c>
      <c r="BI2231">
        <v>333033.11512082571</v>
      </c>
      <c r="BJ2231">
        <v>0</v>
      </c>
      <c r="BK2231">
        <v>333033.11512082571</v>
      </c>
      <c r="BL2231" t="s">
        <v>242</v>
      </c>
      <c r="BM2231">
        <v>5</v>
      </c>
      <c r="BN2231">
        <v>4700</v>
      </c>
      <c r="BO2231">
        <v>0</v>
      </c>
      <c r="BP2231">
        <v>0</v>
      </c>
      <c r="BQ2231">
        <v>0</v>
      </c>
      <c r="BR2231" t="s">
        <v>58</v>
      </c>
    </row>
    <row r="2232" spans="1:70" x14ac:dyDescent="0.3">
      <c r="A2232" t="s">
        <v>798</v>
      </c>
      <c r="B2232">
        <v>42200597</v>
      </c>
      <c r="C2232">
        <v>2760015434</v>
      </c>
      <c r="D2232" t="s">
        <v>992</v>
      </c>
      <c r="E2232" t="s">
        <v>439</v>
      </c>
      <c r="F2232" t="s">
        <v>430</v>
      </c>
      <c r="G2232" t="s">
        <v>232</v>
      </c>
      <c r="H2232" t="s">
        <v>71</v>
      </c>
      <c r="J2232" t="s">
        <v>416</v>
      </c>
      <c r="K2232" s="15">
        <v>0.38279999999999997</v>
      </c>
      <c r="M2232">
        <v>45351</v>
      </c>
      <c r="N2232" t="s">
        <v>1016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21469.867285981305</v>
      </c>
      <c r="Y2232">
        <v>21469.867285981305</v>
      </c>
      <c r="Z2232">
        <v>1502.8907100186916</v>
      </c>
      <c r="AA2232">
        <v>22972.757995999997</v>
      </c>
      <c r="AB2232" t="s">
        <v>242</v>
      </c>
      <c r="AC2232">
        <v>1</v>
      </c>
      <c r="AD2232">
        <v>60000</v>
      </c>
      <c r="AE2232">
        <v>0</v>
      </c>
      <c r="AF2232">
        <v>0</v>
      </c>
      <c r="AG2232">
        <v>3925.2336448598144</v>
      </c>
      <c r="AH2232" t="s">
        <v>58</v>
      </c>
      <c r="AK2232" t="s">
        <v>798</v>
      </c>
      <c r="AL2232">
        <v>12200173</v>
      </c>
      <c r="AM2232">
        <v>19267973</v>
      </c>
      <c r="AN2232" t="s">
        <v>118</v>
      </c>
      <c r="AO2232" t="s">
        <v>438</v>
      </c>
      <c r="AP2232" t="s">
        <v>427</v>
      </c>
      <c r="AQ2232" t="s">
        <v>82</v>
      </c>
      <c r="AR2232" t="s">
        <v>82</v>
      </c>
      <c r="AT2232" t="s">
        <v>52</v>
      </c>
      <c r="AU2232">
        <v>1000</v>
      </c>
      <c r="AW2232">
        <v>45351</v>
      </c>
      <c r="AX2232" t="s">
        <v>1013</v>
      </c>
      <c r="AY2232">
        <v>0</v>
      </c>
      <c r="AZ2232">
        <v>0</v>
      </c>
      <c r="BA2232">
        <v>0</v>
      </c>
      <c r="BB2232">
        <v>0</v>
      </c>
      <c r="BC2232">
        <v>32764.983876681952</v>
      </c>
      <c r="BD2232">
        <v>0</v>
      </c>
      <c r="BE2232">
        <v>0</v>
      </c>
      <c r="BF2232">
        <v>100001.5186470839</v>
      </c>
      <c r="BG2232">
        <v>0</v>
      </c>
      <c r="BH2232">
        <v>0</v>
      </c>
      <c r="BI2232">
        <v>132766.50252376584</v>
      </c>
      <c r="BJ2232">
        <v>0</v>
      </c>
      <c r="BK2232">
        <v>132766.50252376584</v>
      </c>
      <c r="BL2232" t="s">
        <v>242</v>
      </c>
      <c r="BM2232">
        <v>5</v>
      </c>
      <c r="BN2232">
        <v>4500</v>
      </c>
      <c r="BO2232">
        <v>0</v>
      </c>
      <c r="BP2232">
        <v>0</v>
      </c>
      <c r="BQ2232">
        <v>0</v>
      </c>
      <c r="BR2232" t="s">
        <v>58</v>
      </c>
    </row>
    <row r="2233" spans="1:70" x14ac:dyDescent="0.3">
      <c r="A2233" t="s">
        <v>798</v>
      </c>
      <c r="B2233">
        <v>42200982</v>
      </c>
      <c r="C2233">
        <v>2757006807</v>
      </c>
      <c r="D2233" t="s">
        <v>957</v>
      </c>
      <c r="E2233" t="s">
        <v>439</v>
      </c>
      <c r="F2233" t="s">
        <v>430</v>
      </c>
      <c r="G2233" t="s">
        <v>233</v>
      </c>
      <c r="H2233" t="s">
        <v>234</v>
      </c>
      <c r="J2233" t="s">
        <v>52</v>
      </c>
      <c r="K2233" s="15">
        <v>40000</v>
      </c>
      <c r="M2233">
        <v>45351</v>
      </c>
      <c r="N2233" t="s">
        <v>1042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37391.866777570081</v>
      </c>
      <c r="Y2233">
        <v>37391.866777570081</v>
      </c>
      <c r="Z2233">
        <v>2617.430674429906</v>
      </c>
      <c r="AA2233">
        <v>40009.297451999984</v>
      </c>
      <c r="AB2233" t="s">
        <v>242</v>
      </c>
      <c r="AC2233">
        <v>2</v>
      </c>
      <c r="AD2233">
        <v>120000</v>
      </c>
      <c r="AE2233">
        <v>0</v>
      </c>
      <c r="AF2233">
        <v>0</v>
      </c>
      <c r="AG2233">
        <v>7850.4672897196215</v>
      </c>
      <c r="AH2233" t="s">
        <v>58</v>
      </c>
      <c r="AK2233" t="s">
        <v>798</v>
      </c>
      <c r="AL2233">
        <v>12200176</v>
      </c>
      <c r="AM2233">
        <v>28068851</v>
      </c>
      <c r="AN2233" t="s">
        <v>119</v>
      </c>
      <c r="AO2233" t="s">
        <v>438</v>
      </c>
      <c r="AP2233" t="s">
        <v>427</v>
      </c>
      <c r="AQ2233" t="s">
        <v>82</v>
      </c>
      <c r="AR2233" t="s">
        <v>82</v>
      </c>
      <c r="AT2233" t="s">
        <v>52</v>
      </c>
      <c r="AU2233">
        <v>3000</v>
      </c>
      <c r="AW2233">
        <v>45351</v>
      </c>
      <c r="AX2233" t="s">
        <v>1013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135725.36979491089</v>
      </c>
      <c r="BG2233">
        <v>0</v>
      </c>
      <c r="BH2233">
        <v>0</v>
      </c>
      <c r="BI2233">
        <v>135725.36979491089</v>
      </c>
      <c r="BJ2233">
        <v>0</v>
      </c>
      <c r="BK2233">
        <v>135725.36979491089</v>
      </c>
      <c r="BL2233" t="s">
        <v>242</v>
      </c>
      <c r="BM2233">
        <v>8</v>
      </c>
      <c r="BN2233">
        <v>30000</v>
      </c>
      <c r="BO2233">
        <v>0</v>
      </c>
      <c r="BP2233">
        <v>0</v>
      </c>
      <c r="BQ2233">
        <v>0</v>
      </c>
      <c r="BR2233" t="s">
        <v>58</v>
      </c>
    </row>
    <row r="2234" spans="1:70" x14ac:dyDescent="0.3">
      <c r="A2234" t="s">
        <v>798</v>
      </c>
      <c r="B2234">
        <v>42200982</v>
      </c>
      <c r="C2234">
        <v>2757006807</v>
      </c>
      <c r="D2234" t="s">
        <v>957</v>
      </c>
      <c r="E2234" t="s">
        <v>439</v>
      </c>
      <c r="F2234" t="s">
        <v>430</v>
      </c>
      <c r="G2234" t="s">
        <v>233</v>
      </c>
      <c r="H2234" t="s">
        <v>234</v>
      </c>
      <c r="J2234" t="s">
        <v>52</v>
      </c>
      <c r="K2234" s="15">
        <v>40000</v>
      </c>
      <c r="M2234">
        <v>45351</v>
      </c>
      <c r="N2234" t="s">
        <v>1042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8.6892074766219594</v>
      </c>
      <c r="Y2234">
        <v>8.6892074766219594</v>
      </c>
      <c r="Z2234">
        <v>0.60824452336353718</v>
      </c>
      <c r="AA2234">
        <v>9.2974519999854959</v>
      </c>
      <c r="AB2234" t="s">
        <v>242</v>
      </c>
      <c r="AC2234">
        <v>3</v>
      </c>
      <c r="AD2234">
        <v>160000</v>
      </c>
      <c r="AE2234">
        <v>0</v>
      </c>
      <c r="AF2234">
        <v>0</v>
      </c>
      <c r="AG2234">
        <v>10467.289719626162</v>
      </c>
      <c r="AH2234" t="s">
        <v>58</v>
      </c>
      <c r="AK2234" t="s">
        <v>798</v>
      </c>
      <c r="AL2234">
        <v>42201078</v>
      </c>
      <c r="AM2234">
        <v>2760009558</v>
      </c>
      <c r="AN2234" t="s">
        <v>993</v>
      </c>
      <c r="AO2234" t="s">
        <v>439</v>
      </c>
      <c r="AP2234" t="s">
        <v>430</v>
      </c>
      <c r="AQ2234" t="s">
        <v>233</v>
      </c>
      <c r="AR2234" t="s">
        <v>234</v>
      </c>
      <c r="AT2234" t="s">
        <v>52</v>
      </c>
      <c r="AU2234">
        <v>1000</v>
      </c>
      <c r="AW2234">
        <v>45351</v>
      </c>
      <c r="AX2234" t="s">
        <v>1013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245371.91588785048</v>
      </c>
      <c r="BI2234">
        <v>245371.91588785048</v>
      </c>
      <c r="BJ2234">
        <v>17176.034112149537</v>
      </c>
      <c r="BK2234">
        <v>262547.95</v>
      </c>
      <c r="BL2234" t="s">
        <v>242</v>
      </c>
      <c r="BM2234">
        <v>1</v>
      </c>
      <c r="BN2234">
        <v>1000</v>
      </c>
      <c r="BO2234">
        <v>0</v>
      </c>
      <c r="BP2234">
        <v>0</v>
      </c>
      <c r="BQ2234">
        <v>65.420560747663558</v>
      </c>
      <c r="BR2234" t="s">
        <v>72</v>
      </c>
    </row>
    <row r="2235" spans="1:70" x14ac:dyDescent="0.3">
      <c r="A2235" t="s">
        <v>798</v>
      </c>
      <c r="B2235">
        <v>42201078</v>
      </c>
      <c r="C2235">
        <v>2760009558</v>
      </c>
      <c r="D2235" t="s">
        <v>993</v>
      </c>
      <c r="E2235" t="s">
        <v>439</v>
      </c>
      <c r="F2235" t="s">
        <v>430</v>
      </c>
      <c r="G2235" t="s">
        <v>233</v>
      </c>
      <c r="H2235" t="s">
        <v>234</v>
      </c>
      <c r="J2235" t="s">
        <v>52</v>
      </c>
      <c r="K2235" s="15">
        <v>1000</v>
      </c>
      <c r="M2235">
        <v>45351</v>
      </c>
      <c r="N2235" t="s">
        <v>1013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245371.91588785048</v>
      </c>
      <c r="Y2235">
        <v>245371.91588785048</v>
      </c>
      <c r="Z2235">
        <v>17176.034112149537</v>
      </c>
      <c r="AA2235">
        <v>262547.95</v>
      </c>
      <c r="AB2235" t="s">
        <v>242</v>
      </c>
      <c r="AC2235">
        <v>1</v>
      </c>
      <c r="AD2235">
        <v>1000</v>
      </c>
      <c r="AE2235">
        <v>0</v>
      </c>
      <c r="AF2235">
        <v>0</v>
      </c>
      <c r="AG2235">
        <v>65.420560747663558</v>
      </c>
      <c r="AH2235" t="s">
        <v>72</v>
      </c>
      <c r="AK2235" t="s">
        <v>798</v>
      </c>
      <c r="AL2235">
        <v>42201416</v>
      </c>
      <c r="AM2235">
        <v>2759018438</v>
      </c>
      <c r="AN2235" t="s">
        <v>965</v>
      </c>
      <c r="AO2235" t="s">
        <v>439</v>
      </c>
      <c r="AP2235" t="s">
        <v>430</v>
      </c>
      <c r="AQ2235" t="s">
        <v>230</v>
      </c>
      <c r="AR2235" t="s">
        <v>234</v>
      </c>
      <c r="AT2235" t="s">
        <v>52</v>
      </c>
      <c r="AU2235">
        <v>3000</v>
      </c>
      <c r="AW2235">
        <v>45351</v>
      </c>
      <c r="AX2235" t="s">
        <v>1013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594602.81308411213</v>
      </c>
      <c r="BI2235">
        <v>594602.81308411213</v>
      </c>
      <c r="BJ2235">
        <v>41622.196915887856</v>
      </c>
      <c r="BK2235">
        <v>636225.01</v>
      </c>
      <c r="BL2235" t="s">
        <v>242</v>
      </c>
      <c r="BM2235">
        <v>2</v>
      </c>
      <c r="BN2235">
        <v>6000</v>
      </c>
      <c r="BO2235">
        <v>0</v>
      </c>
      <c r="BP2235">
        <v>0</v>
      </c>
      <c r="BQ2235">
        <v>392.5233644859818</v>
      </c>
      <c r="BR2235" t="s">
        <v>58</v>
      </c>
    </row>
    <row r="2236" spans="1:70" x14ac:dyDescent="0.3">
      <c r="A2236" t="s">
        <v>798</v>
      </c>
      <c r="B2236">
        <v>42201416</v>
      </c>
      <c r="C2236">
        <v>2759018438</v>
      </c>
      <c r="D2236" t="s">
        <v>965</v>
      </c>
      <c r="E2236" t="s">
        <v>439</v>
      </c>
      <c r="F2236" t="s">
        <v>430</v>
      </c>
      <c r="G2236" t="s">
        <v>230</v>
      </c>
      <c r="H2236" t="s">
        <v>234</v>
      </c>
      <c r="J2236" t="s">
        <v>52</v>
      </c>
      <c r="K2236" s="15">
        <v>3000</v>
      </c>
      <c r="M2236">
        <v>45351</v>
      </c>
      <c r="N2236" t="s">
        <v>1013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594602.81308411213</v>
      </c>
      <c r="Y2236">
        <v>594602.81308411213</v>
      </c>
      <c r="Z2236">
        <v>41622.196915887856</v>
      </c>
      <c r="AA2236">
        <v>636225.01</v>
      </c>
      <c r="AB2236" t="s">
        <v>242</v>
      </c>
      <c r="AC2236">
        <v>2</v>
      </c>
      <c r="AD2236">
        <v>6000</v>
      </c>
      <c r="AE2236">
        <v>0</v>
      </c>
      <c r="AF2236">
        <v>0</v>
      </c>
      <c r="AG2236">
        <v>392.5233644859818</v>
      </c>
      <c r="AH2236" t="s">
        <v>58</v>
      </c>
      <c r="AK2236" t="s">
        <v>798</v>
      </c>
      <c r="AL2236">
        <v>52200644</v>
      </c>
      <c r="AM2236">
        <v>25645406</v>
      </c>
      <c r="AN2236" t="s">
        <v>662</v>
      </c>
      <c r="AO2236" t="s">
        <v>438</v>
      </c>
      <c r="AP2236" t="s">
        <v>431</v>
      </c>
      <c r="AQ2236" t="s">
        <v>230</v>
      </c>
      <c r="AR2236" t="s">
        <v>231</v>
      </c>
      <c r="AT2236" t="s">
        <v>52</v>
      </c>
      <c r="AU2236">
        <v>1500</v>
      </c>
      <c r="AW2236">
        <v>45351</v>
      </c>
      <c r="AX2236" t="s">
        <v>1013</v>
      </c>
      <c r="AY2236">
        <v>2936.8862025683948</v>
      </c>
      <c r="AZ2236">
        <v>0</v>
      </c>
      <c r="BA2236">
        <v>0</v>
      </c>
      <c r="BB2236">
        <v>0</v>
      </c>
      <c r="BC2236">
        <v>0</v>
      </c>
      <c r="BD2236">
        <v>35012.255885450097</v>
      </c>
      <c r="BE2236">
        <v>0</v>
      </c>
      <c r="BF2236">
        <v>0</v>
      </c>
      <c r="BG2236">
        <v>78504.672897196258</v>
      </c>
      <c r="BH2236">
        <v>0</v>
      </c>
      <c r="BI2236">
        <v>116453.81498521475</v>
      </c>
      <c r="BJ2236">
        <v>7946.1850147852456</v>
      </c>
      <c r="BK2236">
        <v>124400</v>
      </c>
      <c r="BL2236" t="s">
        <v>242</v>
      </c>
      <c r="BM2236">
        <v>3</v>
      </c>
      <c r="BN2236">
        <v>5000</v>
      </c>
      <c r="BO2236">
        <v>0</v>
      </c>
      <c r="BP2236">
        <v>0</v>
      </c>
      <c r="BQ2236">
        <v>321.79719177174889</v>
      </c>
      <c r="BR2236" t="s">
        <v>58</v>
      </c>
    </row>
    <row r="2237" spans="1:70" x14ac:dyDescent="0.3">
      <c r="A2237" t="s">
        <v>798</v>
      </c>
      <c r="B2237">
        <v>52200644</v>
      </c>
      <c r="C2237">
        <v>25645406</v>
      </c>
      <c r="D2237" t="s">
        <v>662</v>
      </c>
      <c r="E2237" t="s">
        <v>438</v>
      </c>
      <c r="F2237" t="s">
        <v>431</v>
      </c>
      <c r="G2237" t="s">
        <v>230</v>
      </c>
      <c r="H2237" t="s">
        <v>231</v>
      </c>
      <c r="J2237" t="s">
        <v>52</v>
      </c>
      <c r="K2237" s="15">
        <v>1500</v>
      </c>
      <c r="M2237">
        <v>45351</v>
      </c>
      <c r="N2237" t="s">
        <v>1013</v>
      </c>
      <c r="O2237">
        <v>2936.8862025683948</v>
      </c>
      <c r="P2237">
        <v>0</v>
      </c>
      <c r="Q2237">
        <v>0</v>
      </c>
      <c r="R2237">
        <v>0</v>
      </c>
      <c r="S2237">
        <v>0</v>
      </c>
      <c r="T2237">
        <v>35012.255885450097</v>
      </c>
      <c r="U2237">
        <v>0</v>
      </c>
      <c r="V2237">
        <v>0</v>
      </c>
      <c r="W2237">
        <v>78504.672897196258</v>
      </c>
      <c r="X2237">
        <v>0</v>
      </c>
      <c r="Y2237">
        <v>116453.81498521475</v>
      </c>
      <c r="Z2237">
        <v>7946.1850147852456</v>
      </c>
      <c r="AA2237">
        <v>124400</v>
      </c>
      <c r="AB2237" t="s">
        <v>242</v>
      </c>
      <c r="AC2237">
        <v>3</v>
      </c>
      <c r="AD2237">
        <v>5000</v>
      </c>
      <c r="AE2237">
        <v>0</v>
      </c>
      <c r="AF2237">
        <v>0</v>
      </c>
      <c r="AG2237">
        <v>321.79719177174889</v>
      </c>
      <c r="AH2237" t="s">
        <v>58</v>
      </c>
      <c r="AK2237" t="s">
        <v>798</v>
      </c>
      <c r="AL2237">
        <v>52201131</v>
      </c>
      <c r="AM2237">
        <v>25692011</v>
      </c>
      <c r="AN2237" t="s">
        <v>652</v>
      </c>
      <c r="AO2237" t="s">
        <v>438</v>
      </c>
      <c r="AP2237" t="s">
        <v>431</v>
      </c>
      <c r="AQ2237" t="s">
        <v>235</v>
      </c>
      <c r="AR2237" t="s">
        <v>236</v>
      </c>
      <c r="AT2237" t="s">
        <v>52</v>
      </c>
      <c r="AU2237">
        <v>3000</v>
      </c>
      <c r="AW2237">
        <v>45351</v>
      </c>
      <c r="AX2237" t="s">
        <v>1013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177957.94392523367</v>
      </c>
      <c r="BG2237">
        <v>0</v>
      </c>
      <c r="BH2237">
        <v>0</v>
      </c>
      <c r="BI2237">
        <v>177957.94392523367</v>
      </c>
      <c r="BJ2237">
        <v>12457.056074766359</v>
      </c>
      <c r="BK2237">
        <v>190415.00000000003</v>
      </c>
      <c r="BL2237" t="s">
        <v>242</v>
      </c>
      <c r="BM2237">
        <v>3</v>
      </c>
      <c r="BN2237">
        <v>8400</v>
      </c>
      <c r="BO2237">
        <v>0</v>
      </c>
      <c r="BP2237">
        <v>0</v>
      </c>
      <c r="BQ2237">
        <v>548.50270121422727</v>
      </c>
      <c r="BR2237" t="s">
        <v>58</v>
      </c>
    </row>
    <row r="2238" spans="1:70" x14ac:dyDescent="0.3">
      <c r="A2238" t="s">
        <v>798</v>
      </c>
      <c r="B2238">
        <v>52200688</v>
      </c>
      <c r="C2238">
        <v>27016577</v>
      </c>
      <c r="D2238" t="s">
        <v>733</v>
      </c>
      <c r="E2238" t="s">
        <v>438</v>
      </c>
      <c r="F2238" t="s">
        <v>431</v>
      </c>
      <c r="G2238" t="s">
        <v>230</v>
      </c>
      <c r="H2238" t="s">
        <v>231</v>
      </c>
      <c r="J2238" t="s">
        <v>52</v>
      </c>
      <c r="K2238" s="15">
        <v>1200</v>
      </c>
      <c r="M2238">
        <v>45351</v>
      </c>
      <c r="N2238" t="s">
        <v>1013</v>
      </c>
      <c r="O2238">
        <v>0</v>
      </c>
      <c r="P2238">
        <v>0</v>
      </c>
      <c r="Q2238">
        <v>0</v>
      </c>
      <c r="R2238">
        <v>0</v>
      </c>
      <c r="S2238">
        <v>29918.460611680639</v>
      </c>
      <c r="T2238">
        <v>0</v>
      </c>
      <c r="U2238">
        <v>0</v>
      </c>
      <c r="V2238">
        <v>42758.191510447803</v>
      </c>
      <c r="W2238">
        <v>0</v>
      </c>
      <c r="X2238">
        <v>0</v>
      </c>
      <c r="Y2238">
        <v>72676.652122128435</v>
      </c>
      <c r="Z2238">
        <v>0</v>
      </c>
      <c r="AA2238">
        <v>72676.652122128435</v>
      </c>
      <c r="AB2238" t="s">
        <v>242</v>
      </c>
      <c r="AC2238">
        <v>2</v>
      </c>
      <c r="AD2238">
        <v>2700</v>
      </c>
      <c r="AE2238">
        <v>0</v>
      </c>
      <c r="AF2238">
        <v>0</v>
      </c>
      <c r="AG2238">
        <v>96.947609662468494</v>
      </c>
      <c r="AH2238" t="s">
        <v>58</v>
      </c>
      <c r="AK2238" t="s">
        <v>798</v>
      </c>
      <c r="AL2238">
        <v>52201274</v>
      </c>
      <c r="AM2238">
        <v>25806950</v>
      </c>
      <c r="AN2238" t="s">
        <v>152</v>
      </c>
      <c r="AO2238" t="s">
        <v>438</v>
      </c>
      <c r="AP2238" t="s">
        <v>431</v>
      </c>
      <c r="AQ2238" t="s">
        <v>82</v>
      </c>
      <c r="AR2238" t="s">
        <v>83</v>
      </c>
      <c r="AT2238" t="s">
        <v>52</v>
      </c>
      <c r="AU2238">
        <v>1000</v>
      </c>
      <c r="AW2238">
        <v>45351</v>
      </c>
      <c r="AX2238" t="s">
        <v>1013</v>
      </c>
      <c r="AY2238">
        <v>0</v>
      </c>
      <c r="AZ2238">
        <v>0</v>
      </c>
      <c r="BA2238">
        <v>0</v>
      </c>
      <c r="BB2238">
        <v>818.6944216595773</v>
      </c>
      <c r="BC2238">
        <v>13549.554925729088</v>
      </c>
      <c r="BD2238">
        <v>0</v>
      </c>
      <c r="BE2238">
        <v>0</v>
      </c>
      <c r="BF2238">
        <v>82200.263157792826</v>
      </c>
      <c r="BG2238">
        <v>0</v>
      </c>
      <c r="BH2238">
        <v>0</v>
      </c>
      <c r="BI2238">
        <v>96568.512505181483</v>
      </c>
      <c r="BJ2238">
        <v>6702.4872658465347</v>
      </c>
      <c r="BK2238">
        <v>103270.99977102801</v>
      </c>
      <c r="BL2238" t="s">
        <v>242</v>
      </c>
      <c r="BM2238">
        <v>6</v>
      </c>
      <c r="BN2238">
        <v>8500</v>
      </c>
      <c r="BO2238">
        <v>0</v>
      </c>
      <c r="BP2238">
        <v>0</v>
      </c>
      <c r="BQ2238">
        <v>551.34449487492566</v>
      </c>
      <c r="BR2238" t="s">
        <v>58</v>
      </c>
    </row>
    <row r="2239" spans="1:70" x14ac:dyDescent="0.3">
      <c r="A2239" t="s">
        <v>798</v>
      </c>
      <c r="B2239">
        <v>52200733</v>
      </c>
      <c r="C2239">
        <v>29713647</v>
      </c>
      <c r="D2239" t="s">
        <v>140</v>
      </c>
      <c r="E2239" t="s">
        <v>438</v>
      </c>
      <c r="F2239" t="s">
        <v>431</v>
      </c>
      <c r="G2239" t="s">
        <v>82</v>
      </c>
      <c r="H2239" t="s">
        <v>83</v>
      </c>
      <c r="J2239" t="s">
        <v>52</v>
      </c>
      <c r="K2239" s="15">
        <v>2500</v>
      </c>
      <c r="M2239">
        <v>45351</v>
      </c>
      <c r="N2239" t="s">
        <v>1013</v>
      </c>
      <c r="O2239">
        <v>0</v>
      </c>
      <c r="P2239">
        <v>0</v>
      </c>
      <c r="Q2239">
        <v>0</v>
      </c>
      <c r="R2239">
        <v>734.16340600265141</v>
      </c>
      <c r="S2239">
        <v>0</v>
      </c>
      <c r="T2239">
        <v>0</v>
      </c>
      <c r="U2239">
        <v>0</v>
      </c>
      <c r="V2239">
        <v>54484.894013081626</v>
      </c>
      <c r="W2239">
        <v>0</v>
      </c>
      <c r="X2239">
        <v>0</v>
      </c>
      <c r="Y2239">
        <v>55219.057419084274</v>
      </c>
      <c r="Z2239">
        <v>3813.9425809157142</v>
      </c>
      <c r="AA2239">
        <v>59032.999999999985</v>
      </c>
      <c r="AB2239" t="s">
        <v>242</v>
      </c>
      <c r="AC2239">
        <v>9</v>
      </c>
      <c r="AD2239">
        <v>29837</v>
      </c>
      <c r="AE2239">
        <v>0</v>
      </c>
      <c r="AF2239">
        <v>0</v>
      </c>
      <c r="AG2239">
        <v>1925.5340545983036</v>
      </c>
      <c r="AH2239" t="s">
        <v>58</v>
      </c>
      <c r="AK2239" t="s">
        <v>798</v>
      </c>
      <c r="AL2239">
        <v>82200002</v>
      </c>
      <c r="AM2239">
        <v>901014005220</v>
      </c>
      <c r="AN2239" t="s">
        <v>994</v>
      </c>
      <c r="AO2239" t="s">
        <v>440</v>
      </c>
      <c r="AP2239" t="s">
        <v>433</v>
      </c>
      <c r="AQ2239" t="s">
        <v>82</v>
      </c>
      <c r="AR2239" t="s">
        <v>83</v>
      </c>
      <c r="AT2239" t="s">
        <v>52</v>
      </c>
      <c r="AU2239">
        <v>15000</v>
      </c>
      <c r="AW2239">
        <v>45351</v>
      </c>
      <c r="AX2239" t="s">
        <v>1013</v>
      </c>
      <c r="AY2239">
        <v>0</v>
      </c>
      <c r="AZ2239">
        <v>0</v>
      </c>
      <c r="BA2239">
        <v>63834.721110896353</v>
      </c>
      <c r="BB2239">
        <v>34918.17</v>
      </c>
      <c r="BC2239">
        <v>184671.91298047072</v>
      </c>
      <c r="BD2239">
        <v>0</v>
      </c>
      <c r="BE2239">
        <v>0</v>
      </c>
      <c r="BF2239">
        <v>967982.71</v>
      </c>
      <c r="BG2239">
        <v>0</v>
      </c>
      <c r="BH2239">
        <v>0</v>
      </c>
      <c r="BI2239">
        <v>1251407.5140913669</v>
      </c>
      <c r="BJ2239">
        <v>80685.823608632956</v>
      </c>
      <c r="BK2239">
        <v>1332093.3376999998</v>
      </c>
      <c r="BL2239" t="s">
        <v>242</v>
      </c>
      <c r="BM2239">
        <v>3</v>
      </c>
      <c r="BN2239">
        <v>65000</v>
      </c>
      <c r="BO2239">
        <v>0</v>
      </c>
      <c r="BP2239">
        <v>0</v>
      </c>
      <c r="BQ2239">
        <v>3916.0440913670518</v>
      </c>
      <c r="BR2239" t="s">
        <v>58</v>
      </c>
    </row>
    <row r="2240" spans="1:70" x14ac:dyDescent="0.3">
      <c r="A2240" t="s">
        <v>798</v>
      </c>
      <c r="B2240">
        <v>52201131</v>
      </c>
      <c r="C2240">
        <v>25692011</v>
      </c>
      <c r="D2240" t="s">
        <v>652</v>
      </c>
      <c r="E2240" t="s">
        <v>438</v>
      </c>
      <c r="F2240" t="s">
        <v>431</v>
      </c>
      <c r="G2240" t="s">
        <v>235</v>
      </c>
      <c r="H2240" t="s">
        <v>236</v>
      </c>
      <c r="J2240" t="s">
        <v>52</v>
      </c>
      <c r="K2240" s="15">
        <v>3000</v>
      </c>
      <c r="M2240">
        <v>45351</v>
      </c>
      <c r="N2240" t="s">
        <v>1013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177957.94392523367</v>
      </c>
      <c r="W2240">
        <v>0</v>
      </c>
      <c r="X2240">
        <v>0</v>
      </c>
      <c r="Y2240">
        <v>177957.94392523367</v>
      </c>
      <c r="Z2240">
        <v>12457.056074766359</v>
      </c>
      <c r="AA2240">
        <v>190415.00000000003</v>
      </c>
      <c r="AB2240" t="s">
        <v>242</v>
      </c>
      <c r="AC2240">
        <v>3</v>
      </c>
      <c r="AD2240">
        <v>8400</v>
      </c>
      <c r="AE2240">
        <v>0</v>
      </c>
      <c r="AF2240">
        <v>0</v>
      </c>
      <c r="AG2240">
        <v>548.50270121422727</v>
      </c>
      <c r="AH2240" t="s">
        <v>58</v>
      </c>
      <c r="AK2240" t="s">
        <v>798</v>
      </c>
      <c r="AL2240">
        <v>4132300846</v>
      </c>
      <c r="AM2240">
        <v>9110034579</v>
      </c>
      <c r="AN2240" t="s">
        <v>736</v>
      </c>
      <c r="AO2240" t="s">
        <v>441</v>
      </c>
      <c r="AP2240" t="s">
        <v>430</v>
      </c>
      <c r="AQ2240" t="s">
        <v>238</v>
      </c>
      <c r="AR2240" t="s">
        <v>236</v>
      </c>
      <c r="AT2240" t="s">
        <v>52</v>
      </c>
      <c r="AU2240">
        <v>4000</v>
      </c>
      <c r="AW2240">
        <v>45351</v>
      </c>
      <c r="AX2240" t="s">
        <v>1013</v>
      </c>
      <c r="AY2240">
        <v>0</v>
      </c>
      <c r="AZ2240">
        <v>0</v>
      </c>
      <c r="BA2240">
        <v>0</v>
      </c>
      <c r="BB2240">
        <v>0</v>
      </c>
      <c r="BC2240">
        <v>208214.89156051341</v>
      </c>
      <c r="BD2240">
        <v>0</v>
      </c>
      <c r="BE2240">
        <v>0</v>
      </c>
      <c r="BF2240">
        <v>325189.12963874685</v>
      </c>
      <c r="BG2240">
        <v>0</v>
      </c>
      <c r="BH2240">
        <v>0</v>
      </c>
      <c r="BI2240">
        <v>533404.02119926026</v>
      </c>
      <c r="BJ2240">
        <v>22763.239074712281</v>
      </c>
      <c r="BK2240">
        <v>556167.26027397253</v>
      </c>
      <c r="BL2240" t="s">
        <v>242</v>
      </c>
      <c r="BM2240">
        <v>2</v>
      </c>
      <c r="BN2240">
        <v>5000</v>
      </c>
      <c r="BO2240">
        <v>0</v>
      </c>
      <c r="BP2240">
        <v>0</v>
      </c>
      <c r="BQ2240">
        <v>199.37774771762281</v>
      </c>
      <c r="BR2240" t="s">
        <v>58</v>
      </c>
    </row>
    <row r="2241" spans="1:70" x14ac:dyDescent="0.3">
      <c r="A2241" t="s">
        <v>798</v>
      </c>
      <c r="B2241">
        <v>52201222</v>
      </c>
      <c r="C2241">
        <v>25649443</v>
      </c>
      <c r="D2241" t="s">
        <v>151</v>
      </c>
      <c r="E2241" t="s">
        <v>438</v>
      </c>
      <c r="F2241" t="s">
        <v>431</v>
      </c>
      <c r="G2241" t="s">
        <v>82</v>
      </c>
      <c r="H2241" t="s">
        <v>83</v>
      </c>
      <c r="J2241" t="s">
        <v>52</v>
      </c>
      <c r="K2241" s="15">
        <v>3045</v>
      </c>
      <c r="M2241">
        <v>45351</v>
      </c>
      <c r="N2241" t="s">
        <v>1013</v>
      </c>
      <c r="O2241">
        <v>0</v>
      </c>
      <c r="P2241">
        <v>0</v>
      </c>
      <c r="Q2241">
        <v>0</v>
      </c>
      <c r="R2241">
        <v>878.54814985738471</v>
      </c>
      <c r="S2241">
        <v>12865.434577277949</v>
      </c>
      <c r="T2241">
        <v>0</v>
      </c>
      <c r="U2241">
        <v>0</v>
      </c>
      <c r="V2241">
        <v>51717.230311928623</v>
      </c>
      <c r="W2241">
        <v>0</v>
      </c>
      <c r="X2241">
        <v>0</v>
      </c>
      <c r="Y2241">
        <v>65461.213039063958</v>
      </c>
      <c r="Z2241">
        <v>4520.7865422444602</v>
      </c>
      <c r="AA2241">
        <v>69981.999581308424</v>
      </c>
      <c r="AB2241" t="s">
        <v>242</v>
      </c>
      <c r="AC2241">
        <v>4</v>
      </c>
      <c r="AD2241">
        <v>8262</v>
      </c>
      <c r="AE2241">
        <v>0</v>
      </c>
      <c r="AF2241">
        <v>0</v>
      </c>
      <c r="AG2241">
        <v>533.21343036450185</v>
      </c>
      <c r="AH2241" t="s">
        <v>58</v>
      </c>
      <c r="AK2241" t="s">
        <v>798</v>
      </c>
      <c r="AL2241">
        <v>4132301419</v>
      </c>
      <c r="AM2241" t="s">
        <v>680</v>
      </c>
      <c r="AN2241" t="s">
        <v>969</v>
      </c>
      <c r="AO2241" t="s">
        <v>442</v>
      </c>
      <c r="AP2241" t="s">
        <v>430</v>
      </c>
      <c r="AQ2241" t="s">
        <v>230</v>
      </c>
      <c r="AR2241" t="s">
        <v>231</v>
      </c>
      <c r="AT2241" t="s">
        <v>52</v>
      </c>
      <c r="AU2241">
        <v>1000</v>
      </c>
      <c r="AW2241">
        <v>45351</v>
      </c>
      <c r="AX2241" t="s">
        <v>1013</v>
      </c>
      <c r="AY2241">
        <v>0</v>
      </c>
      <c r="AZ2241">
        <v>12383.710775421006</v>
      </c>
      <c r="BA2241">
        <v>0</v>
      </c>
      <c r="BB2241">
        <v>0</v>
      </c>
      <c r="BC2241">
        <v>5877.24</v>
      </c>
      <c r="BD2241">
        <v>2008.6815182981259</v>
      </c>
      <c r="BE2241">
        <v>28037.383177570093</v>
      </c>
      <c r="BF2241">
        <v>0</v>
      </c>
      <c r="BG2241">
        <v>261682.24299065419</v>
      </c>
      <c r="BH2241">
        <v>0</v>
      </c>
      <c r="BI2241">
        <v>309989.25846194342</v>
      </c>
      <c r="BJ2241">
        <v>20420.981538056571</v>
      </c>
      <c r="BK2241">
        <v>330410.23999999999</v>
      </c>
      <c r="BL2241" t="s">
        <v>242</v>
      </c>
      <c r="BM2241">
        <v>2</v>
      </c>
      <c r="BN2241">
        <v>11000</v>
      </c>
      <c r="BO2241">
        <v>0</v>
      </c>
      <c r="BP2241">
        <v>0</v>
      </c>
      <c r="BQ2241">
        <v>677.14930306492636</v>
      </c>
      <c r="BR2241" t="s">
        <v>58</v>
      </c>
    </row>
    <row r="2242" spans="1:70" x14ac:dyDescent="0.3">
      <c r="A2242" t="s">
        <v>798</v>
      </c>
      <c r="B2242">
        <v>52201274</v>
      </c>
      <c r="C2242">
        <v>25806950</v>
      </c>
      <c r="D2242" t="s">
        <v>152</v>
      </c>
      <c r="E2242" t="s">
        <v>438</v>
      </c>
      <c r="F2242" t="s">
        <v>431</v>
      </c>
      <c r="G2242" t="s">
        <v>82</v>
      </c>
      <c r="H2242" t="s">
        <v>83</v>
      </c>
      <c r="J2242" t="s">
        <v>52</v>
      </c>
      <c r="K2242" s="15">
        <v>1000</v>
      </c>
      <c r="M2242">
        <v>45351</v>
      </c>
      <c r="N2242" t="s">
        <v>1013</v>
      </c>
      <c r="O2242">
        <v>0</v>
      </c>
      <c r="P2242">
        <v>0</v>
      </c>
      <c r="Q2242">
        <v>0</v>
      </c>
      <c r="R2242">
        <v>818.6944216595773</v>
      </c>
      <c r="S2242">
        <v>13549.554925729088</v>
      </c>
      <c r="T2242">
        <v>0</v>
      </c>
      <c r="U2242">
        <v>0</v>
      </c>
      <c r="V2242">
        <v>82200.263157792826</v>
      </c>
      <c r="W2242">
        <v>0</v>
      </c>
      <c r="X2242">
        <v>0</v>
      </c>
      <c r="Y2242">
        <v>96568.512505181483</v>
      </c>
      <c r="Z2242">
        <v>6702.4872658465347</v>
      </c>
      <c r="AA2242">
        <v>103270.99977102801</v>
      </c>
      <c r="AB2242" t="s">
        <v>242</v>
      </c>
      <c r="AC2242">
        <v>6</v>
      </c>
      <c r="AD2242">
        <v>8500</v>
      </c>
      <c r="AE2242">
        <v>0</v>
      </c>
      <c r="AF2242">
        <v>0</v>
      </c>
      <c r="AG2242">
        <v>551.34449487492566</v>
      </c>
      <c r="AH2242" t="s">
        <v>58</v>
      </c>
      <c r="AK2242" t="s">
        <v>798</v>
      </c>
      <c r="AL2242">
        <v>4132301665</v>
      </c>
      <c r="AM2242" t="s">
        <v>99</v>
      </c>
      <c r="AN2242" t="s">
        <v>941</v>
      </c>
      <c r="AO2242" t="s">
        <v>442</v>
      </c>
      <c r="AP2242" t="s">
        <v>430</v>
      </c>
      <c r="AQ2242" t="s">
        <v>230</v>
      </c>
      <c r="AR2242" t="s">
        <v>231</v>
      </c>
      <c r="AT2242" t="s">
        <v>52</v>
      </c>
      <c r="AU2242">
        <v>1000</v>
      </c>
      <c r="AW2242">
        <v>45351</v>
      </c>
      <c r="AX2242" t="s">
        <v>1044</v>
      </c>
      <c r="AY2242">
        <v>0</v>
      </c>
      <c r="AZ2242">
        <v>26388.852331695987</v>
      </c>
      <c r="BA2242">
        <v>0</v>
      </c>
      <c r="BB2242">
        <v>0</v>
      </c>
      <c r="BC2242">
        <v>492316.5</v>
      </c>
      <c r="BD2242">
        <v>10256.212774115902</v>
      </c>
      <c r="BE2242">
        <v>67289.719626168226</v>
      </c>
      <c r="BF2242">
        <v>0</v>
      </c>
      <c r="BG2242">
        <v>794392.52336448594</v>
      </c>
      <c r="BH2242">
        <v>0</v>
      </c>
      <c r="BI2242">
        <v>1390643.8080964661</v>
      </c>
      <c r="BJ2242">
        <v>61035.691903533909</v>
      </c>
      <c r="BK2242">
        <v>1451679.5</v>
      </c>
      <c r="BL2242" t="s">
        <v>242</v>
      </c>
      <c r="BM2242">
        <v>5</v>
      </c>
      <c r="BN2242">
        <v>5000</v>
      </c>
      <c r="BO2242">
        <v>0</v>
      </c>
      <c r="BP2242">
        <v>0</v>
      </c>
      <c r="BQ2242">
        <v>205.0837974006721</v>
      </c>
      <c r="BR2242" t="s">
        <v>58</v>
      </c>
    </row>
    <row r="2243" spans="1:70" x14ac:dyDescent="0.3">
      <c r="A2243" t="s">
        <v>798</v>
      </c>
      <c r="B2243">
        <v>52201589</v>
      </c>
      <c r="C2243">
        <v>25928923</v>
      </c>
      <c r="D2243" t="s">
        <v>162</v>
      </c>
      <c r="E2243" t="s">
        <v>438</v>
      </c>
      <c r="F2243" t="s">
        <v>431</v>
      </c>
      <c r="G2243" t="s">
        <v>82</v>
      </c>
      <c r="H2243" t="s">
        <v>83</v>
      </c>
      <c r="J2243" t="s">
        <v>52</v>
      </c>
      <c r="K2243" s="15">
        <v>1500</v>
      </c>
      <c r="M2243">
        <v>45351</v>
      </c>
      <c r="N2243" t="s">
        <v>1013</v>
      </c>
      <c r="O2243">
        <v>0</v>
      </c>
      <c r="P2243">
        <v>0</v>
      </c>
      <c r="Q2243">
        <v>0</v>
      </c>
      <c r="R2243">
        <v>972.7673483953796</v>
      </c>
      <c r="S2243">
        <v>10643.442571593097</v>
      </c>
      <c r="T2243">
        <v>0</v>
      </c>
      <c r="U2243">
        <v>0</v>
      </c>
      <c r="V2243">
        <v>54655.854112149529</v>
      </c>
      <c r="W2243">
        <v>0</v>
      </c>
      <c r="X2243">
        <v>0</v>
      </c>
      <c r="Y2243">
        <v>66272.064032138005</v>
      </c>
      <c r="Z2243">
        <v>4570.9507678619848</v>
      </c>
      <c r="AA2243">
        <v>70843.01479999999</v>
      </c>
      <c r="AB2243" t="s">
        <v>242</v>
      </c>
      <c r="AC2243">
        <v>4</v>
      </c>
      <c r="AD2243">
        <v>4500</v>
      </c>
      <c r="AE2243">
        <v>0</v>
      </c>
      <c r="AF2243">
        <v>0</v>
      </c>
      <c r="AG2243">
        <v>290.05954615670714</v>
      </c>
      <c r="AH2243" t="s">
        <v>58</v>
      </c>
      <c r="AK2243" t="s">
        <v>798</v>
      </c>
      <c r="AL2243">
        <v>4142300416</v>
      </c>
      <c r="AM2243">
        <v>10179898</v>
      </c>
      <c r="AN2243" t="s">
        <v>198</v>
      </c>
      <c r="AO2243" t="s">
        <v>445</v>
      </c>
      <c r="AP2243" t="s">
        <v>430</v>
      </c>
      <c r="AQ2243" t="s">
        <v>230</v>
      </c>
      <c r="AR2243" t="s">
        <v>234</v>
      </c>
      <c r="AT2243" t="s">
        <v>52</v>
      </c>
      <c r="AU2243">
        <v>3200</v>
      </c>
      <c r="AW2243">
        <v>45351</v>
      </c>
      <c r="AX2243" t="s">
        <v>1013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296408.40186915884</v>
      </c>
      <c r="BI2243">
        <v>296408.40186915884</v>
      </c>
      <c r="BJ2243">
        <v>20748.588130841123</v>
      </c>
      <c r="BK2243">
        <v>317156.99</v>
      </c>
      <c r="BL2243" t="s">
        <v>242</v>
      </c>
      <c r="BM2243">
        <v>15</v>
      </c>
      <c r="BN2243">
        <v>59600</v>
      </c>
      <c r="BO2243">
        <v>0</v>
      </c>
      <c r="BP2243">
        <v>0</v>
      </c>
      <c r="BQ2243">
        <v>3899.065420560747</v>
      </c>
      <c r="BR2243" t="s">
        <v>58</v>
      </c>
    </row>
    <row r="2244" spans="1:70" x14ac:dyDescent="0.3">
      <c r="A2244" t="s">
        <v>798</v>
      </c>
      <c r="B2244">
        <v>52201828</v>
      </c>
      <c r="C2244">
        <v>25536725</v>
      </c>
      <c r="D2244" t="s">
        <v>166</v>
      </c>
      <c r="E2244" t="s">
        <v>438</v>
      </c>
      <c r="F2244" t="s">
        <v>431</v>
      </c>
      <c r="G2244" t="s">
        <v>82</v>
      </c>
      <c r="H2244" t="s">
        <v>83</v>
      </c>
      <c r="J2244" t="s">
        <v>52</v>
      </c>
      <c r="K2244" s="15">
        <v>1500</v>
      </c>
      <c r="M2244">
        <v>45351</v>
      </c>
      <c r="N2244" t="s">
        <v>1013</v>
      </c>
      <c r="O2244">
        <v>0</v>
      </c>
      <c r="P2244">
        <v>0</v>
      </c>
      <c r="Q2244">
        <v>0</v>
      </c>
      <c r="R2244">
        <v>761.1967487353437</v>
      </c>
      <c r="S2244">
        <v>9787.5378057519429</v>
      </c>
      <c r="T2244">
        <v>0</v>
      </c>
      <c r="U2244">
        <v>0</v>
      </c>
      <c r="V2244">
        <v>46273.024665951423</v>
      </c>
      <c r="W2244">
        <v>0</v>
      </c>
      <c r="X2244">
        <v>0</v>
      </c>
      <c r="Y2244">
        <v>56821.759220438711</v>
      </c>
      <c r="Z2244">
        <v>3924.2393730192357</v>
      </c>
      <c r="AA2244">
        <v>60745.998593457945</v>
      </c>
      <c r="AB2244" t="s">
        <v>242</v>
      </c>
      <c r="AC2244">
        <v>13</v>
      </c>
      <c r="AD2244">
        <v>20500</v>
      </c>
      <c r="AE2244">
        <v>0</v>
      </c>
      <c r="AF2244">
        <v>0</v>
      </c>
      <c r="AG2244">
        <v>1322.9474508518447</v>
      </c>
      <c r="AH2244" t="s">
        <v>58</v>
      </c>
      <c r="AK2244" t="s">
        <v>798</v>
      </c>
      <c r="AL2244">
        <v>4142300599</v>
      </c>
      <c r="AM2244">
        <v>10259999</v>
      </c>
      <c r="AN2244" t="s">
        <v>201</v>
      </c>
      <c r="AO2244" t="s">
        <v>445</v>
      </c>
      <c r="AP2244" t="s">
        <v>430</v>
      </c>
      <c r="AQ2244" t="s">
        <v>230</v>
      </c>
      <c r="AR2244" t="s">
        <v>234</v>
      </c>
      <c r="AT2244" t="s">
        <v>52</v>
      </c>
      <c r="AU2244">
        <v>1000</v>
      </c>
      <c r="AW2244">
        <v>45351</v>
      </c>
      <c r="AX2244" t="s">
        <v>1013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245177.57009345799</v>
      </c>
      <c r="BI2244">
        <v>245177.57009345799</v>
      </c>
      <c r="BJ2244">
        <v>17162.42990654206</v>
      </c>
      <c r="BK2244">
        <v>262340.00000000006</v>
      </c>
      <c r="BL2244" t="s">
        <v>242</v>
      </c>
      <c r="BM2244">
        <v>4</v>
      </c>
      <c r="BN2244">
        <v>22000</v>
      </c>
      <c r="BO2244">
        <v>0</v>
      </c>
      <c r="BP2244">
        <v>0</v>
      </c>
      <c r="BQ2244">
        <v>1439.2523364485974</v>
      </c>
      <c r="BR2244" t="s">
        <v>58</v>
      </c>
    </row>
    <row r="2245" spans="1:70" x14ac:dyDescent="0.3">
      <c r="A2245" t="s">
        <v>798</v>
      </c>
      <c r="B2245">
        <v>62200005</v>
      </c>
      <c r="C2245">
        <v>19887124</v>
      </c>
      <c r="D2245" t="s">
        <v>77</v>
      </c>
      <c r="E2245" t="s">
        <v>435</v>
      </c>
      <c r="F2245" t="s">
        <v>432</v>
      </c>
      <c r="G2245" t="s">
        <v>82</v>
      </c>
      <c r="H2245" t="s">
        <v>82</v>
      </c>
      <c r="J2245" t="s">
        <v>52</v>
      </c>
      <c r="K2245" s="15">
        <v>1800</v>
      </c>
      <c r="M2245">
        <v>45351</v>
      </c>
      <c r="N2245" t="s">
        <v>1013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53623.626182929671</v>
      </c>
      <c r="W2245">
        <v>0</v>
      </c>
      <c r="X2245">
        <v>0</v>
      </c>
      <c r="Y2245">
        <v>53623.626182929671</v>
      </c>
      <c r="Z2245">
        <v>0</v>
      </c>
      <c r="AA2245">
        <v>53623.626182929671</v>
      </c>
      <c r="AB2245" t="s">
        <v>242</v>
      </c>
      <c r="AC2245">
        <v>18</v>
      </c>
      <c r="AD2245">
        <v>32400</v>
      </c>
      <c r="AE2245">
        <v>0</v>
      </c>
      <c r="AF2245">
        <v>0</v>
      </c>
      <c r="AG2245">
        <v>0</v>
      </c>
      <c r="AH2245" t="s">
        <v>58</v>
      </c>
      <c r="AK2245" t="s">
        <v>798</v>
      </c>
      <c r="AL2245">
        <v>4142300794</v>
      </c>
      <c r="AM2245">
        <v>10379208</v>
      </c>
      <c r="AN2245" t="s">
        <v>209</v>
      </c>
      <c r="AO2245" t="s">
        <v>445</v>
      </c>
      <c r="AP2245" t="s">
        <v>430</v>
      </c>
      <c r="AQ2245" t="s">
        <v>230</v>
      </c>
      <c r="AR2245" t="s">
        <v>234</v>
      </c>
      <c r="AT2245" t="s">
        <v>52</v>
      </c>
      <c r="AU2245">
        <v>12000</v>
      </c>
      <c r="AW2245">
        <v>45351</v>
      </c>
      <c r="AX2245" t="s">
        <v>1013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417850.71962616814</v>
      </c>
      <c r="BI2245">
        <v>417850.71962616814</v>
      </c>
      <c r="BJ2245">
        <v>29249.550373831771</v>
      </c>
      <c r="BK2245">
        <v>447100.2699999999</v>
      </c>
      <c r="BL2245" t="s">
        <v>242</v>
      </c>
      <c r="BM2245">
        <v>7</v>
      </c>
      <c r="BN2245">
        <v>101000</v>
      </c>
      <c r="BO2245">
        <v>0</v>
      </c>
      <c r="BP2245">
        <v>0</v>
      </c>
      <c r="BQ2245">
        <v>6607.4766355140209</v>
      </c>
      <c r="BR2245" t="s">
        <v>58</v>
      </c>
    </row>
    <row r="2246" spans="1:70" x14ac:dyDescent="0.3">
      <c r="A2246" t="s">
        <v>798</v>
      </c>
      <c r="B2246">
        <v>62200006</v>
      </c>
      <c r="C2246">
        <v>19887213</v>
      </c>
      <c r="D2246" t="s">
        <v>77</v>
      </c>
      <c r="E2246" t="s">
        <v>435</v>
      </c>
      <c r="F2246" t="s">
        <v>432</v>
      </c>
      <c r="G2246" t="s">
        <v>82</v>
      </c>
      <c r="H2246" t="s">
        <v>82</v>
      </c>
      <c r="J2246" t="s">
        <v>52</v>
      </c>
      <c r="K2246" s="15">
        <v>900</v>
      </c>
      <c r="M2246">
        <v>45351</v>
      </c>
      <c r="N2246" t="s">
        <v>1013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15495.406380183904</v>
      </c>
      <c r="W2246">
        <v>0</v>
      </c>
      <c r="X2246">
        <v>0</v>
      </c>
      <c r="Y2246">
        <v>15495.406380183904</v>
      </c>
      <c r="Z2246">
        <v>0</v>
      </c>
      <c r="AA2246">
        <v>15495.406380183904</v>
      </c>
      <c r="AB2246" t="s">
        <v>242</v>
      </c>
      <c r="AC2246">
        <v>18</v>
      </c>
      <c r="AD2246">
        <v>30600</v>
      </c>
      <c r="AE2246">
        <v>0</v>
      </c>
      <c r="AF2246">
        <v>0</v>
      </c>
      <c r="AG2246">
        <v>0</v>
      </c>
      <c r="AH2246" t="s">
        <v>58</v>
      </c>
      <c r="AK2246" t="s">
        <v>798</v>
      </c>
      <c r="AL2246">
        <v>4142300939</v>
      </c>
      <c r="AM2246">
        <v>10449473</v>
      </c>
      <c r="AN2246" t="s">
        <v>214</v>
      </c>
      <c r="AO2246" t="s">
        <v>445</v>
      </c>
      <c r="AP2246" t="s">
        <v>430</v>
      </c>
      <c r="AQ2246" t="s">
        <v>230</v>
      </c>
      <c r="AR2246" t="s">
        <v>234</v>
      </c>
      <c r="AT2246" t="s">
        <v>52</v>
      </c>
      <c r="AU2246">
        <v>1000</v>
      </c>
      <c r="AW2246">
        <v>45351</v>
      </c>
      <c r="AX2246" t="s">
        <v>1013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331685.05607476638</v>
      </c>
      <c r="BI2246">
        <v>331685.05607476638</v>
      </c>
      <c r="BJ2246">
        <v>23217.953925233651</v>
      </c>
      <c r="BK2246">
        <v>354903.01</v>
      </c>
      <c r="BL2246" t="s">
        <v>242</v>
      </c>
      <c r="BM2246">
        <v>6</v>
      </c>
      <c r="BN2246">
        <v>5000</v>
      </c>
      <c r="BO2246">
        <v>0</v>
      </c>
      <c r="BP2246">
        <v>0</v>
      </c>
      <c r="BQ2246">
        <v>327.10280373831779</v>
      </c>
      <c r="BR2246" t="s">
        <v>58</v>
      </c>
    </row>
    <row r="2247" spans="1:70" x14ac:dyDescent="0.3">
      <c r="A2247" t="s">
        <v>798</v>
      </c>
      <c r="B2247">
        <v>62200013</v>
      </c>
      <c r="C2247">
        <v>20972385</v>
      </c>
      <c r="D2247" t="s">
        <v>76</v>
      </c>
      <c r="E2247" t="s">
        <v>435</v>
      </c>
      <c r="F2247" t="s">
        <v>432</v>
      </c>
      <c r="G2247" t="s">
        <v>82</v>
      </c>
      <c r="H2247" t="s">
        <v>82</v>
      </c>
      <c r="J2247" t="s">
        <v>52</v>
      </c>
      <c r="K2247" s="15">
        <v>4000</v>
      </c>
      <c r="M2247">
        <v>45351</v>
      </c>
      <c r="N2247" t="s">
        <v>1029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15665.191359418066</v>
      </c>
      <c r="W2247">
        <v>0</v>
      </c>
      <c r="X2247">
        <v>0</v>
      </c>
      <c r="Y2247">
        <v>15665.191359418066</v>
      </c>
      <c r="Z2247">
        <v>0</v>
      </c>
      <c r="AA2247">
        <v>15665.191359418066</v>
      </c>
      <c r="AB2247" t="s">
        <v>242</v>
      </c>
      <c r="AC2247">
        <v>18</v>
      </c>
      <c r="AD2247">
        <v>72000</v>
      </c>
      <c r="AE2247">
        <v>0</v>
      </c>
      <c r="AF2247">
        <v>0</v>
      </c>
      <c r="AG2247">
        <v>0</v>
      </c>
      <c r="AH2247" t="s">
        <v>58</v>
      </c>
      <c r="AK2247" t="s">
        <v>798</v>
      </c>
      <c r="AL2247">
        <v>4142301217</v>
      </c>
      <c r="AM2247">
        <v>10151131</v>
      </c>
      <c r="AN2247" t="s">
        <v>749</v>
      </c>
      <c r="AO2247" t="s">
        <v>446</v>
      </c>
      <c r="AP2247" t="s">
        <v>430</v>
      </c>
      <c r="AQ2247" t="s">
        <v>230</v>
      </c>
      <c r="AR2247" t="s">
        <v>234</v>
      </c>
      <c r="AT2247" t="s">
        <v>52</v>
      </c>
      <c r="AU2247">
        <v>1000</v>
      </c>
      <c r="AW2247">
        <v>45351</v>
      </c>
      <c r="AX2247" t="s">
        <v>1013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479088.046728972</v>
      </c>
      <c r="BI2247">
        <v>479088.046728972</v>
      </c>
      <c r="BJ2247">
        <v>33536.163271028046</v>
      </c>
      <c r="BK2247">
        <v>512624.21</v>
      </c>
      <c r="BL2247" t="s">
        <v>242</v>
      </c>
      <c r="BM2247">
        <v>2</v>
      </c>
      <c r="BN2247">
        <v>6000</v>
      </c>
      <c r="BO2247">
        <v>0</v>
      </c>
      <c r="BP2247">
        <v>0</v>
      </c>
      <c r="BQ2247">
        <v>392.52336448598112</v>
      </c>
      <c r="BR2247" t="s">
        <v>58</v>
      </c>
    </row>
    <row r="2248" spans="1:70" x14ac:dyDescent="0.3">
      <c r="A2248" t="s">
        <v>798</v>
      </c>
      <c r="B2248">
        <v>62200025</v>
      </c>
      <c r="C2248">
        <v>9001302</v>
      </c>
      <c r="D2248" t="s">
        <v>79</v>
      </c>
      <c r="E2248" t="s">
        <v>435</v>
      </c>
      <c r="F2248" t="s">
        <v>432</v>
      </c>
      <c r="G2248" t="s">
        <v>82</v>
      </c>
      <c r="H2248" t="s">
        <v>82</v>
      </c>
      <c r="J2248" t="s">
        <v>52</v>
      </c>
      <c r="K2248" s="15">
        <v>1000</v>
      </c>
      <c r="M2248">
        <v>45351</v>
      </c>
      <c r="N2248" t="s">
        <v>1013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12024.843263835617</v>
      </c>
      <c r="W2248">
        <v>0</v>
      </c>
      <c r="X2248">
        <v>0</v>
      </c>
      <c r="Y2248">
        <v>12024.843263835617</v>
      </c>
      <c r="Z2248">
        <v>0</v>
      </c>
      <c r="AA2248">
        <v>12024.843263835617</v>
      </c>
      <c r="AB2248" t="s">
        <v>242</v>
      </c>
      <c r="AC2248">
        <v>18</v>
      </c>
      <c r="AD2248">
        <v>18170</v>
      </c>
      <c r="AE2248">
        <v>0</v>
      </c>
      <c r="AF2248">
        <v>0</v>
      </c>
      <c r="AG2248">
        <v>0</v>
      </c>
      <c r="AH2248" t="s">
        <v>58</v>
      </c>
      <c r="AK2248" t="s">
        <v>798</v>
      </c>
      <c r="AL2248">
        <v>4142301246</v>
      </c>
      <c r="AM2248">
        <v>10211923</v>
      </c>
      <c r="AN2248" t="s">
        <v>750</v>
      </c>
      <c r="AO2248" t="s">
        <v>446</v>
      </c>
      <c r="AP2248" t="s">
        <v>430</v>
      </c>
      <c r="AQ2248" t="s">
        <v>230</v>
      </c>
      <c r="AR2248" t="s">
        <v>234</v>
      </c>
      <c r="AT2248" t="s">
        <v>52</v>
      </c>
      <c r="AU2248">
        <v>11170</v>
      </c>
      <c r="AW2248">
        <v>45351</v>
      </c>
      <c r="AX2248" t="s">
        <v>1013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96190.878504672903</v>
      </c>
      <c r="BI2248">
        <v>96190.878504672903</v>
      </c>
      <c r="BJ2248">
        <v>6733.3614953271035</v>
      </c>
      <c r="BK2248">
        <v>102924.24</v>
      </c>
      <c r="BL2248" t="s">
        <v>242</v>
      </c>
      <c r="BM2248">
        <v>2</v>
      </c>
      <c r="BN2248">
        <v>22340</v>
      </c>
      <c r="BO2248">
        <v>0</v>
      </c>
      <c r="BP2248">
        <v>0</v>
      </c>
      <c r="BQ2248">
        <v>1461.4953271028025</v>
      </c>
      <c r="BR2248" t="s">
        <v>58</v>
      </c>
    </row>
    <row r="2249" spans="1:70" x14ac:dyDescent="0.3">
      <c r="A2249" t="s">
        <v>798</v>
      </c>
      <c r="B2249">
        <v>62200080</v>
      </c>
      <c r="C2249">
        <v>22425262</v>
      </c>
      <c r="D2249" t="s">
        <v>80</v>
      </c>
      <c r="E2249" t="s">
        <v>435</v>
      </c>
      <c r="F2249" t="s">
        <v>432</v>
      </c>
      <c r="G2249" t="s">
        <v>82</v>
      </c>
      <c r="H2249" t="s">
        <v>82</v>
      </c>
      <c r="J2249" t="s">
        <v>52</v>
      </c>
      <c r="K2249" s="15">
        <v>500</v>
      </c>
      <c r="M2249">
        <v>45351</v>
      </c>
      <c r="N2249" t="s">
        <v>1013</v>
      </c>
      <c r="O2249">
        <v>0</v>
      </c>
      <c r="P2249">
        <v>0</v>
      </c>
      <c r="Q2249">
        <v>0</v>
      </c>
      <c r="R2249">
        <v>0</v>
      </c>
      <c r="S2249">
        <v>6739.2191780821922</v>
      </c>
      <c r="T2249">
        <v>0</v>
      </c>
      <c r="U2249">
        <v>0</v>
      </c>
      <c r="V2249">
        <v>30000</v>
      </c>
      <c r="W2249">
        <v>0</v>
      </c>
      <c r="X2249">
        <v>0</v>
      </c>
      <c r="Y2249">
        <v>36739.219178082189</v>
      </c>
      <c r="Z2249">
        <v>0</v>
      </c>
      <c r="AA2249">
        <v>36739.219178082189</v>
      </c>
      <c r="AB2249" t="s">
        <v>242</v>
      </c>
      <c r="AC2249">
        <v>14</v>
      </c>
      <c r="AD2249">
        <v>7000</v>
      </c>
      <c r="AE2249">
        <v>0</v>
      </c>
      <c r="AF2249">
        <v>0</v>
      </c>
      <c r="AG2249">
        <v>0</v>
      </c>
      <c r="AH2249" t="s">
        <v>58</v>
      </c>
      <c r="AK2249" t="s">
        <v>798</v>
      </c>
      <c r="AL2249">
        <v>4142301533</v>
      </c>
      <c r="AM2249">
        <v>10583950</v>
      </c>
      <c r="AN2249" t="s">
        <v>759</v>
      </c>
      <c r="AO2249" t="s">
        <v>446</v>
      </c>
      <c r="AP2249" t="s">
        <v>430</v>
      </c>
      <c r="AQ2249" t="s">
        <v>230</v>
      </c>
      <c r="AR2249" t="s">
        <v>234</v>
      </c>
      <c r="AT2249" t="s">
        <v>52</v>
      </c>
      <c r="AU2249">
        <v>5000</v>
      </c>
      <c r="AW2249">
        <v>45351</v>
      </c>
      <c r="AX2249" t="s">
        <v>1029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325244.78504672897</v>
      </c>
      <c r="BI2249">
        <v>325244.78504672897</v>
      </c>
      <c r="BJ2249">
        <v>22767.13495327103</v>
      </c>
      <c r="BK2249">
        <v>348011.92</v>
      </c>
      <c r="BL2249" t="s">
        <v>242</v>
      </c>
      <c r="BM2249">
        <v>2</v>
      </c>
      <c r="BN2249">
        <v>10000</v>
      </c>
      <c r="BO2249">
        <v>0</v>
      </c>
      <c r="BP2249">
        <v>0</v>
      </c>
      <c r="BQ2249">
        <v>654.20560747663512</v>
      </c>
      <c r="BR2249" t="s">
        <v>58</v>
      </c>
    </row>
    <row r="2250" spans="1:70" x14ac:dyDescent="0.3">
      <c r="A2250" t="s">
        <v>798</v>
      </c>
      <c r="B2250">
        <v>82200002</v>
      </c>
      <c r="C2250">
        <v>901014005220</v>
      </c>
      <c r="D2250" t="s">
        <v>994</v>
      </c>
      <c r="E2250" t="s">
        <v>440</v>
      </c>
      <c r="F2250" t="s">
        <v>433</v>
      </c>
      <c r="G2250" t="s">
        <v>82</v>
      </c>
      <c r="H2250" t="s">
        <v>83</v>
      </c>
      <c r="J2250" t="s">
        <v>52</v>
      </c>
      <c r="K2250" s="15">
        <v>15000</v>
      </c>
      <c r="M2250">
        <v>45351</v>
      </c>
      <c r="N2250" t="s">
        <v>1013</v>
      </c>
      <c r="O2250">
        <v>0</v>
      </c>
      <c r="P2250">
        <v>0</v>
      </c>
      <c r="Q2250">
        <v>63834.721110896353</v>
      </c>
      <c r="R2250">
        <v>34918.17</v>
      </c>
      <c r="S2250">
        <v>184671.91298047072</v>
      </c>
      <c r="T2250">
        <v>0</v>
      </c>
      <c r="U2250">
        <v>0</v>
      </c>
      <c r="V2250">
        <v>967982.71</v>
      </c>
      <c r="W2250">
        <v>0</v>
      </c>
      <c r="X2250">
        <v>0</v>
      </c>
      <c r="Y2250">
        <v>1251407.5140913669</v>
      </c>
      <c r="Z2250">
        <v>80685.823608632956</v>
      </c>
      <c r="AA2250">
        <v>1332093.3376999998</v>
      </c>
      <c r="AB2250" t="s">
        <v>242</v>
      </c>
      <c r="AC2250">
        <v>3</v>
      </c>
      <c r="AD2250">
        <v>65000</v>
      </c>
      <c r="AE2250">
        <v>0</v>
      </c>
      <c r="AF2250">
        <v>0</v>
      </c>
      <c r="AG2250">
        <v>3916.0440913670518</v>
      </c>
      <c r="AH2250" t="s">
        <v>58</v>
      </c>
      <c r="AK2250" t="s">
        <v>798</v>
      </c>
      <c r="AL2250">
        <v>4142301540</v>
      </c>
      <c r="AM2250">
        <v>10592307</v>
      </c>
      <c r="AN2250" t="s">
        <v>760</v>
      </c>
      <c r="AO2250" t="s">
        <v>446</v>
      </c>
      <c r="AP2250" t="s">
        <v>430</v>
      </c>
      <c r="AQ2250" t="s">
        <v>230</v>
      </c>
      <c r="AR2250" t="s">
        <v>234</v>
      </c>
      <c r="AT2250" t="s">
        <v>52</v>
      </c>
      <c r="AU2250">
        <v>10000</v>
      </c>
      <c r="AW2250">
        <v>45351</v>
      </c>
      <c r="AX2250" t="s">
        <v>1013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236326.63158878504</v>
      </c>
      <c r="BI2250">
        <v>236326.63158878504</v>
      </c>
      <c r="BJ2250">
        <v>16542.864211214954</v>
      </c>
      <c r="BK2250">
        <v>252869.49579999998</v>
      </c>
      <c r="BL2250" t="s">
        <v>242</v>
      </c>
      <c r="BM2250">
        <v>2</v>
      </c>
      <c r="BN2250">
        <v>160000</v>
      </c>
      <c r="BO2250">
        <v>0</v>
      </c>
      <c r="BP2250">
        <v>0</v>
      </c>
      <c r="BQ2250">
        <v>10467.289719626182</v>
      </c>
      <c r="BR2250" t="s">
        <v>58</v>
      </c>
    </row>
    <row r="2251" spans="1:70" x14ac:dyDescent="0.3">
      <c r="A2251" t="s">
        <v>798</v>
      </c>
      <c r="B2251">
        <v>4132300824</v>
      </c>
      <c r="C2251">
        <v>9070041828</v>
      </c>
      <c r="D2251" t="s">
        <v>177</v>
      </c>
      <c r="E2251" t="s">
        <v>441</v>
      </c>
      <c r="F2251" t="s">
        <v>430</v>
      </c>
      <c r="G2251" t="s">
        <v>233</v>
      </c>
      <c r="H2251" t="s">
        <v>231</v>
      </c>
      <c r="J2251" t="s">
        <v>52</v>
      </c>
      <c r="K2251" s="15">
        <v>500</v>
      </c>
      <c r="M2251">
        <v>45351</v>
      </c>
      <c r="N2251" t="s">
        <v>1013</v>
      </c>
      <c r="O2251">
        <v>0</v>
      </c>
      <c r="P2251">
        <v>2531.7305084163972</v>
      </c>
      <c r="Q2251">
        <v>0</v>
      </c>
      <c r="R2251">
        <v>0</v>
      </c>
      <c r="S2251">
        <v>10431.390410958904</v>
      </c>
      <c r="T2251">
        <v>16045.111674377198</v>
      </c>
      <c r="U2251">
        <v>0</v>
      </c>
      <c r="V2251">
        <v>0</v>
      </c>
      <c r="W2251">
        <v>0</v>
      </c>
      <c r="X2251">
        <v>0</v>
      </c>
      <c r="Y2251">
        <v>29008.232593752502</v>
      </c>
      <c r="Z2251">
        <v>1123.1578172064039</v>
      </c>
      <c r="AA2251">
        <v>30131.390410958906</v>
      </c>
      <c r="AB2251" t="s">
        <v>242</v>
      </c>
      <c r="AC2251">
        <v>4</v>
      </c>
      <c r="AD2251">
        <v>3500</v>
      </c>
      <c r="AE2251">
        <v>0</v>
      </c>
      <c r="AF2251">
        <v>0</v>
      </c>
      <c r="AG2251">
        <v>126.37489307396999</v>
      </c>
      <c r="AH2251" t="s">
        <v>58</v>
      </c>
      <c r="AK2251" t="s">
        <v>798</v>
      </c>
      <c r="AL2251">
        <v>4142301569</v>
      </c>
      <c r="AM2251">
        <v>10625781</v>
      </c>
      <c r="AN2251" t="s">
        <v>761</v>
      </c>
      <c r="AO2251" t="s">
        <v>446</v>
      </c>
      <c r="AP2251" t="s">
        <v>430</v>
      </c>
      <c r="AQ2251" t="s">
        <v>230</v>
      </c>
      <c r="AR2251" t="s">
        <v>234</v>
      </c>
      <c r="AT2251" t="s">
        <v>52</v>
      </c>
      <c r="AU2251">
        <v>2000</v>
      </c>
      <c r="AW2251">
        <v>45351</v>
      </c>
      <c r="AX2251" t="s">
        <v>1013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791242.15887850465</v>
      </c>
      <c r="BI2251">
        <v>791242.15887850465</v>
      </c>
      <c r="BJ2251">
        <v>55386.951121495331</v>
      </c>
      <c r="BK2251">
        <v>846629.11</v>
      </c>
      <c r="BL2251" t="s">
        <v>242</v>
      </c>
      <c r="BM2251">
        <v>1</v>
      </c>
      <c r="BN2251">
        <v>2000</v>
      </c>
      <c r="BO2251">
        <v>0</v>
      </c>
      <c r="BP2251">
        <v>0</v>
      </c>
      <c r="BQ2251">
        <v>130.84112149532712</v>
      </c>
      <c r="BR2251" t="s">
        <v>72</v>
      </c>
    </row>
    <row r="2252" spans="1:70" x14ac:dyDescent="0.3">
      <c r="A2252" t="s">
        <v>798</v>
      </c>
      <c r="B2252">
        <v>4132300846</v>
      </c>
      <c r="C2252">
        <v>9110034579</v>
      </c>
      <c r="D2252" t="s">
        <v>736</v>
      </c>
      <c r="E2252" t="s">
        <v>441</v>
      </c>
      <c r="F2252" t="s">
        <v>430</v>
      </c>
      <c r="G2252" t="s">
        <v>238</v>
      </c>
      <c r="H2252" t="s">
        <v>236</v>
      </c>
      <c r="J2252" t="s">
        <v>52</v>
      </c>
      <c r="K2252" s="15">
        <v>4000</v>
      </c>
      <c r="M2252">
        <v>45351</v>
      </c>
      <c r="N2252" t="s">
        <v>1013</v>
      </c>
      <c r="O2252">
        <v>0</v>
      </c>
      <c r="P2252">
        <v>0</v>
      </c>
      <c r="Q2252">
        <v>0</v>
      </c>
      <c r="R2252">
        <v>0</v>
      </c>
      <c r="S2252">
        <v>208214.89156051341</v>
      </c>
      <c r="T2252">
        <v>0</v>
      </c>
      <c r="U2252">
        <v>0</v>
      </c>
      <c r="V2252">
        <v>325189.12963874685</v>
      </c>
      <c r="W2252">
        <v>0</v>
      </c>
      <c r="X2252">
        <v>0</v>
      </c>
      <c r="Y2252">
        <v>533404.02119926026</v>
      </c>
      <c r="Z2252">
        <v>22763.239074712281</v>
      </c>
      <c r="AA2252">
        <v>556167.26027397253</v>
      </c>
      <c r="AB2252" t="s">
        <v>242</v>
      </c>
      <c r="AC2252">
        <v>2</v>
      </c>
      <c r="AD2252">
        <v>5000</v>
      </c>
      <c r="AE2252">
        <v>0</v>
      </c>
      <c r="AF2252">
        <v>0</v>
      </c>
      <c r="AG2252">
        <v>199.37774771762281</v>
      </c>
      <c r="AH2252" t="s">
        <v>58</v>
      </c>
      <c r="AK2252" t="s">
        <v>798</v>
      </c>
      <c r="AL2252">
        <v>12200042</v>
      </c>
      <c r="AM2252">
        <v>23526321</v>
      </c>
      <c r="AN2252" t="s">
        <v>624</v>
      </c>
      <c r="AO2252" t="s">
        <v>435</v>
      </c>
      <c r="AP2252" t="s">
        <v>427</v>
      </c>
      <c r="AQ2252" t="s">
        <v>230</v>
      </c>
      <c r="AR2252" t="s">
        <v>230</v>
      </c>
      <c r="AT2252" t="s">
        <v>52</v>
      </c>
      <c r="AU2252">
        <v>3000</v>
      </c>
      <c r="AW2252">
        <v>45351</v>
      </c>
      <c r="AX2252" t="s">
        <v>1013</v>
      </c>
      <c r="AY2252">
        <v>0</v>
      </c>
      <c r="AZ2252">
        <v>0</v>
      </c>
      <c r="BA2252">
        <v>0</v>
      </c>
      <c r="BB2252">
        <v>0</v>
      </c>
      <c r="BC2252">
        <v>13173.699999999997</v>
      </c>
      <c r="BD2252">
        <v>0</v>
      </c>
      <c r="BE2252">
        <v>0</v>
      </c>
      <c r="BF2252">
        <v>80000</v>
      </c>
      <c r="BG2252">
        <v>0</v>
      </c>
      <c r="BH2252">
        <v>0</v>
      </c>
      <c r="BI2252">
        <v>93173.7</v>
      </c>
      <c r="BJ2252">
        <v>0</v>
      </c>
      <c r="BK2252">
        <v>93173.7</v>
      </c>
      <c r="BL2252" t="s">
        <v>242</v>
      </c>
      <c r="BM2252">
        <v>13</v>
      </c>
      <c r="BN2252">
        <v>27600</v>
      </c>
      <c r="BO2252">
        <v>0</v>
      </c>
      <c r="BP2252">
        <v>0</v>
      </c>
      <c r="BQ2252">
        <v>0</v>
      </c>
      <c r="BR2252" t="s">
        <v>58</v>
      </c>
    </row>
    <row r="2253" spans="1:70" x14ac:dyDescent="0.3">
      <c r="A2253" t="s">
        <v>798</v>
      </c>
      <c r="B2253">
        <v>4132300945</v>
      </c>
      <c r="C2253">
        <v>1020271465</v>
      </c>
      <c r="D2253" t="s">
        <v>698</v>
      </c>
      <c r="E2253" t="s">
        <v>441</v>
      </c>
      <c r="F2253" t="s">
        <v>430</v>
      </c>
      <c r="G2253" t="s">
        <v>237</v>
      </c>
      <c r="H2253" t="s">
        <v>231</v>
      </c>
      <c r="J2253" t="s">
        <v>52</v>
      </c>
      <c r="K2253" s="15">
        <v>35000</v>
      </c>
      <c r="M2253">
        <v>45351</v>
      </c>
      <c r="N2253" t="s">
        <v>1043</v>
      </c>
      <c r="O2253">
        <v>0</v>
      </c>
      <c r="P2253">
        <v>229.00344607109491</v>
      </c>
      <c r="Q2253">
        <v>0</v>
      </c>
      <c r="R2253">
        <v>0</v>
      </c>
      <c r="S2253">
        <v>10299.508397260273</v>
      </c>
      <c r="T2253">
        <v>15846.162760681222</v>
      </c>
      <c r="U2253">
        <v>33184.261682242992</v>
      </c>
      <c r="V2253">
        <v>0</v>
      </c>
      <c r="W2253">
        <v>0</v>
      </c>
      <c r="X2253">
        <v>0</v>
      </c>
      <c r="Y2253">
        <v>59558.936286255586</v>
      </c>
      <c r="Z2253">
        <v>3432.1297110046949</v>
      </c>
      <c r="AA2253">
        <v>62991.065997260281</v>
      </c>
      <c r="AB2253" t="s">
        <v>242</v>
      </c>
      <c r="AC2253">
        <v>1</v>
      </c>
      <c r="AD2253">
        <v>35000</v>
      </c>
      <c r="AE2253">
        <v>0</v>
      </c>
      <c r="AF2253">
        <v>0</v>
      </c>
      <c r="AG2253">
        <v>1871.8214478738118</v>
      </c>
      <c r="AH2253" t="s">
        <v>58</v>
      </c>
      <c r="AK2253" t="s">
        <v>798</v>
      </c>
      <c r="AL2253">
        <v>12200122</v>
      </c>
      <c r="AM2253">
        <v>5900440096</v>
      </c>
      <c r="AN2253" t="s">
        <v>113</v>
      </c>
      <c r="AO2253" t="s">
        <v>437</v>
      </c>
      <c r="AP2253" t="s">
        <v>427</v>
      </c>
      <c r="AQ2253" t="s">
        <v>82</v>
      </c>
      <c r="AR2253" t="s">
        <v>82</v>
      </c>
      <c r="AT2253" t="s">
        <v>52</v>
      </c>
      <c r="AU2253">
        <v>1000</v>
      </c>
      <c r="AW2253">
        <v>45351</v>
      </c>
      <c r="AX2253" t="s">
        <v>1013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9999.4900000000016</v>
      </c>
      <c r="BG2253">
        <v>0</v>
      </c>
      <c r="BH2253">
        <v>0</v>
      </c>
      <c r="BI2253">
        <v>9999.4900000000016</v>
      </c>
      <c r="BJ2253">
        <v>0</v>
      </c>
      <c r="BK2253">
        <v>9999.4900000000016</v>
      </c>
      <c r="BL2253" t="s">
        <v>242</v>
      </c>
      <c r="BM2253">
        <v>10</v>
      </c>
      <c r="BN2253">
        <v>11276</v>
      </c>
      <c r="BO2253">
        <v>0</v>
      </c>
      <c r="BP2253">
        <v>0</v>
      </c>
      <c r="BQ2253">
        <v>0</v>
      </c>
      <c r="BR2253" t="s">
        <v>58</v>
      </c>
    </row>
    <row r="2254" spans="1:70" x14ac:dyDescent="0.3">
      <c r="A2254" t="s">
        <v>798</v>
      </c>
      <c r="B2254">
        <v>4132301229</v>
      </c>
      <c r="C2254">
        <v>9110012630</v>
      </c>
      <c r="D2254" t="s">
        <v>738</v>
      </c>
      <c r="E2254" t="s">
        <v>441</v>
      </c>
      <c r="F2254" t="s">
        <v>430</v>
      </c>
      <c r="G2254" t="s">
        <v>233</v>
      </c>
      <c r="H2254" t="s">
        <v>231</v>
      </c>
      <c r="J2254" t="s">
        <v>52</v>
      </c>
      <c r="K2254" s="15">
        <v>2000</v>
      </c>
      <c r="M2254">
        <v>45351</v>
      </c>
      <c r="N2254" t="s">
        <v>1013</v>
      </c>
      <c r="O2254">
        <v>0</v>
      </c>
      <c r="P2254">
        <v>3875.6712474046285</v>
      </c>
      <c r="Q2254">
        <v>0</v>
      </c>
      <c r="R2254">
        <v>0</v>
      </c>
      <c r="S2254">
        <v>2393.8356164383563</v>
      </c>
      <c r="T2254">
        <v>49742.363320182594</v>
      </c>
      <c r="U2254">
        <v>0</v>
      </c>
      <c r="V2254">
        <v>0</v>
      </c>
      <c r="W2254">
        <v>0</v>
      </c>
      <c r="X2254">
        <v>0</v>
      </c>
      <c r="Y2254">
        <v>56011.870184025582</v>
      </c>
      <c r="Z2254">
        <v>3481.9654324127819</v>
      </c>
      <c r="AA2254">
        <v>59493.835616438366</v>
      </c>
      <c r="AB2254" t="s">
        <v>242</v>
      </c>
      <c r="AC2254">
        <v>1</v>
      </c>
      <c r="AD2254">
        <v>2000</v>
      </c>
      <c r="AE2254">
        <v>0</v>
      </c>
      <c r="AF2254">
        <v>0</v>
      </c>
      <c r="AG2254">
        <v>116.16540870871404</v>
      </c>
      <c r="AH2254" t="s">
        <v>72</v>
      </c>
      <c r="AK2254" t="s">
        <v>798</v>
      </c>
      <c r="AL2254">
        <v>4302300029</v>
      </c>
      <c r="AM2254">
        <v>901014004279</v>
      </c>
      <c r="AN2254" t="s">
        <v>226</v>
      </c>
      <c r="AO2254" t="s">
        <v>447</v>
      </c>
      <c r="AP2254" t="s">
        <v>433</v>
      </c>
      <c r="AQ2254" t="s">
        <v>82</v>
      </c>
      <c r="AR2254" t="s">
        <v>83</v>
      </c>
      <c r="AT2254" t="s">
        <v>52</v>
      </c>
      <c r="AU2254">
        <v>19569.13</v>
      </c>
      <c r="AW2254">
        <v>45351</v>
      </c>
      <c r="AX2254" t="s">
        <v>1013</v>
      </c>
      <c r="AY2254">
        <v>0</v>
      </c>
      <c r="AZ2254">
        <v>0</v>
      </c>
      <c r="BA2254">
        <v>22513.455596759144</v>
      </c>
      <c r="BB2254">
        <v>17136.900000000001</v>
      </c>
      <c r="BC2254">
        <v>44675.50953573914</v>
      </c>
      <c r="BD2254">
        <v>0</v>
      </c>
      <c r="BE2254">
        <v>0</v>
      </c>
      <c r="BF2254">
        <v>332423.83</v>
      </c>
      <c r="BG2254">
        <v>0</v>
      </c>
      <c r="BH2254">
        <v>0</v>
      </c>
      <c r="BI2254">
        <v>416749.69513249828</v>
      </c>
      <c r="BJ2254">
        <v>26396.953767501742</v>
      </c>
      <c r="BK2254">
        <v>443146.64890000003</v>
      </c>
      <c r="BL2254" t="s">
        <v>242</v>
      </c>
      <c r="BM2254">
        <v>7</v>
      </c>
      <c r="BN2254">
        <v>43569.130000000005</v>
      </c>
      <c r="BO2254">
        <v>0</v>
      </c>
      <c r="BP2254">
        <v>0</v>
      </c>
      <c r="BQ2254">
        <v>2578.0951324982616</v>
      </c>
      <c r="BR2254" t="s">
        <v>58</v>
      </c>
    </row>
    <row r="2255" spans="1:70" x14ac:dyDescent="0.3">
      <c r="A2255" t="s">
        <v>798</v>
      </c>
      <c r="B2255">
        <v>4132301419</v>
      </c>
      <c r="C2255" t="s">
        <v>680</v>
      </c>
      <c r="D2255" t="s">
        <v>969</v>
      </c>
      <c r="E2255" t="s">
        <v>442</v>
      </c>
      <c r="F2255" t="s">
        <v>430</v>
      </c>
      <c r="G2255" t="s">
        <v>230</v>
      </c>
      <c r="H2255" t="s">
        <v>231</v>
      </c>
      <c r="J2255" t="s">
        <v>52</v>
      </c>
      <c r="K2255" s="15">
        <v>1000</v>
      </c>
      <c r="M2255">
        <v>45351</v>
      </c>
      <c r="N2255" t="s">
        <v>1013</v>
      </c>
      <c r="O2255">
        <v>0</v>
      </c>
      <c r="P2255">
        <v>12383.710775421006</v>
      </c>
      <c r="Q2255">
        <v>0</v>
      </c>
      <c r="R2255">
        <v>0</v>
      </c>
      <c r="S2255">
        <v>5877.24</v>
      </c>
      <c r="T2255">
        <v>2008.6815182981259</v>
      </c>
      <c r="U2255">
        <v>28037.383177570093</v>
      </c>
      <c r="V2255">
        <v>0</v>
      </c>
      <c r="W2255">
        <v>261682.24299065419</v>
      </c>
      <c r="X2255">
        <v>0</v>
      </c>
      <c r="Y2255">
        <v>309989.25846194342</v>
      </c>
      <c r="Z2255">
        <v>20420.981538056571</v>
      </c>
      <c r="AA2255">
        <v>330410.23999999999</v>
      </c>
      <c r="AB2255" t="s">
        <v>242</v>
      </c>
      <c r="AC2255">
        <v>2</v>
      </c>
      <c r="AD2255">
        <v>11000</v>
      </c>
      <c r="AE2255">
        <v>0</v>
      </c>
      <c r="AF2255">
        <v>0</v>
      </c>
      <c r="AG2255">
        <v>677.14930306492636</v>
      </c>
      <c r="AH2255" t="s">
        <v>58</v>
      </c>
      <c r="AK2255" t="s">
        <v>798</v>
      </c>
      <c r="AL2255">
        <v>22200068</v>
      </c>
      <c r="AM2255">
        <v>20579132</v>
      </c>
      <c r="AN2255" t="s">
        <v>80</v>
      </c>
      <c r="AO2255" t="s">
        <v>435</v>
      </c>
      <c r="AP2255" t="s">
        <v>428</v>
      </c>
      <c r="AQ2255" t="s">
        <v>82</v>
      </c>
      <c r="AR2255" t="s">
        <v>82</v>
      </c>
      <c r="AT2255" t="s">
        <v>52</v>
      </c>
      <c r="AU2255">
        <v>500</v>
      </c>
      <c r="AW2255">
        <v>45351</v>
      </c>
      <c r="AX2255" t="s">
        <v>1013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20191.271592123288</v>
      </c>
      <c r="BG2255">
        <v>0</v>
      </c>
      <c r="BH2255">
        <v>0</v>
      </c>
      <c r="BI2255">
        <v>20191.271592123288</v>
      </c>
      <c r="BJ2255">
        <v>0</v>
      </c>
      <c r="BK2255">
        <v>20191.271592123288</v>
      </c>
      <c r="BL2255" t="s">
        <v>242</v>
      </c>
      <c r="BM2255">
        <v>16</v>
      </c>
      <c r="BN2255">
        <v>9500</v>
      </c>
      <c r="BO2255">
        <v>0</v>
      </c>
      <c r="BP2255">
        <v>0</v>
      </c>
      <c r="BQ2255">
        <v>0</v>
      </c>
      <c r="BR2255" t="s">
        <v>58</v>
      </c>
    </row>
    <row r="2256" spans="1:70" x14ac:dyDescent="0.3">
      <c r="A2256" t="s">
        <v>798</v>
      </c>
      <c r="B2256">
        <v>4132301665</v>
      </c>
      <c r="C2256" t="s">
        <v>99</v>
      </c>
      <c r="D2256" t="s">
        <v>941</v>
      </c>
      <c r="E2256" t="s">
        <v>442</v>
      </c>
      <c r="F2256" t="s">
        <v>430</v>
      </c>
      <c r="G2256" t="s">
        <v>230</v>
      </c>
      <c r="H2256" t="s">
        <v>231</v>
      </c>
      <c r="J2256" t="s">
        <v>52</v>
      </c>
      <c r="K2256" s="15">
        <v>1000</v>
      </c>
      <c r="M2256">
        <v>45351</v>
      </c>
      <c r="N2256" t="s">
        <v>1044</v>
      </c>
      <c r="O2256">
        <v>0</v>
      </c>
      <c r="P2256">
        <v>26388.852331695987</v>
      </c>
      <c r="Q2256">
        <v>0</v>
      </c>
      <c r="R2256">
        <v>0</v>
      </c>
      <c r="S2256">
        <v>492316.5</v>
      </c>
      <c r="T2256">
        <v>10256.212774115902</v>
      </c>
      <c r="U2256">
        <v>67289.719626168226</v>
      </c>
      <c r="V2256">
        <v>0</v>
      </c>
      <c r="W2256">
        <v>794392.52336448594</v>
      </c>
      <c r="X2256">
        <v>0</v>
      </c>
      <c r="Y2256">
        <v>1390643.8080964661</v>
      </c>
      <c r="Z2256">
        <v>61035.691903533909</v>
      </c>
      <c r="AA2256">
        <v>1451679.5</v>
      </c>
      <c r="AB2256" t="s">
        <v>242</v>
      </c>
      <c r="AC2256">
        <v>5</v>
      </c>
      <c r="AD2256">
        <v>5000</v>
      </c>
      <c r="AE2256">
        <v>0</v>
      </c>
      <c r="AF2256">
        <v>0</v>
      </c>
      <c r="AG2256">
        <v>205.0837974006721</v>
      </c>
      <c r="AH2256" t="s">
        <v>58</v>
      </c>
      <c r="AK2256" t="s">
        <v>798</v>
      </c>
      <c r="AL2256">
        <v>52200688</v>
      </c>
      <c r="AM2256">
        <v>27016577</v>
      </c>
      <c r="AN2256" t="s">
        <v>733</v>
      </c>
      <c r="AO2256" t="s">
        <v>438</v>
      </c>
      <c r="AP2256" t="s">
        <v>431</v>
      </c>
      <c r="AQ2256" t="s">
        <v>230</v>
      </c>
      <c r="AR2256" t="s">
        <v>231</v>
      </c>
      <c r="AT2256" t="s">
        <v>52</v>
      </c>
      <c r="AU2256">
        <v>1200</v>
      </c>
      <c r="AW2256">
        <v>45351</v>
      </c>
      <c r="AX2256" t="s">
        <v>1013</v>
      </c>
      <c r="AY2256">
        <v>0</v>
      </c>
      <c r="AZ2256">
        <v>0</v>
      </c>
      <c r="BA2256">
        <v>0</v>
      </c>
      <c r="BB2256">
        <v>0</v>
      </c>
      <c r="BC2256">
        <v>29918.460611680639</v>
      </c>
      <c r="BD2256">
        <v>0</v>
      </c>
      <c r="BE2256">
        <v>0</v>
      </c>
      <c r="BF2256">
        <v>42758.191510447803</v>
      </c>
      <c r="BG2256">
        <v>0</v>
      </c>
      <c r="BH2256">
        <v>0</v>
      </c>
      <c r="BI2256">
        <v>72676.652122128435</v>
      </c>
      <c r="BJ2256">
        <v>0</v>
      </c>
      <c r="BK2256">
        <v>72676.652122128435</v>
      </c>
      <c r="BL2256" t="s">
        <v>242</v>
      </c>
      <c r="BM2256">
        <v>2</v>
      </c>
      <c r="BN2256">
        <v>2700</v>
      </c>
      <c r="BO2256">
        <v>0</v>
      </c>
      <c r="BP2256">
        <v>0</v>
      </c>
      <c r="BQ2256">
        <v>96.947609662468494</v>
      </c>
      <c r="BR2256" t="s">
        <v>58</v>
      </c>
    </row>
    <row r="2257" spans="1:70" x14ac:dyDescent="0.3">
      <c r="A2257" t="s">
        <v>798</v>
      </c>
      <c r="B2257">
        <v>4142300008</v>
      </c>
      <c r="C2257">
        <v>132635</v>
      </c>
      <c r="D2257" t="s">
        <v>975</v>
      </c>
      <c r="E2257" t="s">
        <v>444</v>
      </c>
      <c r="F2257" t="s">
        <v>430</v>
      </c>
      <c r="G2257" t="s">
        <v>237</v>
      </c>
      <c r="H2257" t="s">
        <v>231</v>
      </c>
      <c r="J2257" t="s">
        <v>52</v>
      </c>
      <c r="K2257" s="15">
        <v>12000</v>
      </c>
      <c r="M2257">
        <v>45351</v>
      </c>
      <c r="N2257" t="s">
        <v>1013</v>
      </c>
      <c r="O2257">
        <v>0</v>
      </c>
      <c r="P2257">
        <v>27176.137448980422</v>
      </c>
      <c r="Q2257">
        <v>0</v>
      </c>
      <c r="R2257">
        <v>0</v>
      </c>
      <c r="S2257">
        <v>0</v>
      </c>
      <c r="T2257">
        <v>0</v>
      </c>
      <c r="U2257">
        <v>38626.039767308022</v>
      </c>
      <c r="V2257">
        <v>0</v>
      </c>
      <c r="W2257">
        <v>0</v>
      </c>
      <c r="X2257">
        <v>0</v>
      </c>
      <c r="Y2257">
        <v>65802.177216288444</v>
      </c>
      <c r="Z2257">
        <v>2703.8227837115619</v>
      </c>
      <c r="AA2257">
        <v>68506</v>
      </c>
      <c r="AB2257" t="s">
        <v>242</v>
      </c>
      <c r="AC2257">
        <v>8</v>
      </c>
      <c r="AD2257">
        <v>80000</v>
      </c>
      <c r="AE2257">
        <v>0</v>
      </c>
      <c r="AF2257">
        <v>0</v>
      </c>
      <c r="AG2257">
        <v>3027.0183377837666</v>
      </c>
      <c r="AH2257" t="s">
        <v>58</v>
      </c>
      <c r="AK2257" t="s">
        <v>798</v>
      </c>
      <c r="AL2257">
        <v>52200733</v>
      </c>
      <c r="AM2257">
        <v>29713647</v>
      </c>
      <c r="AN2257" t="s">
        <v>140</v>
      </c>
      <c r="AO2257" t="s">
        <v>438</v>
      </c>
      <c r="AP2257" t="s">
        <v>431</v>
      </c>
      <c r="AQ2257" t="s">
        <v>82</v>
      </c>
      <c r="AR2257" t="s">
        <v>83</v>
      </c>
      <c r="AT2257" t="s">
        <v>52</v>
      </c>
      <c r="AU2257">
        <v>2500</v>
      </c>
      <c r="AW2257">
        <v>45351</v>
      </c>
      <c r="AX2257" t="s">
        <v>1013</v>
      </c>
      <c r="AY2257">
        <v>0</v>
      </c>
      <c r="AZ2257">
        <v>0</v>
      </c>
      <c r="BA2257">
        <v>0</v>
      </c>
      <c r="BB2257">
        <v>734.16340600265141</v>
      </c>
      <c r="BC2257">
        <v>0</v>
      </c>
      <c r="BD2257">
        <v>0</v>
      </c>
      <c r="BE2257">
        <v>0</v>
      </c>
      <c r="BF2257">
        <v>54484.894013081626</v>
      </c>
      <c r="BG2257">
        <v>0</v>
      </c>
      <c r="BH2257">
        <v>0</v>
      </c>
      <c r="BI2257">
        <v>55219.057419084274</v>
      </c>
      <c r="BJ2257">
        <v>3813.9425809157142</v>
      </c>
      <c r="BK2257">
        <v>59032.999999999985</v>
      </c>
      <c r="BL2257" t="s">
        <v>242</v>
      </c>
      <c r="BM2257">
        <v>9</v>
      </c>
      <c r="BN2257">
        <v>29837</v>
      </c>
      <c r="BO2257">
        <v>0</v>
      </c>
      <c r="BP2257">
        <v>0</v>
      </c>
      <c r="BQ2257">
        <v>1925.5340545983036</v>
      </c>
      <c r="BR2257" t="s">
        <v>58</v>
      </c>
    </row>
    <row r="2258" spans="1:70" x14ac:dyDescent="0.3">
      <c r="A2258" t="s">
        <v>798</v>
      </c>
      <c r="B2258">
        <v>4142300035</v>
      </c>
      <c r="C2258">
        <v>112833</v>
      </c>
      <c r="D2258" t="s">
        <v>932</v>
      </c>
      <c r="E2258" t="s">
        <v>444</v>
      </c>
      <c r="F2258" t="s">
        <v>430</v>
      </c>
      <c r="G2258" t="s">
        <v>233</v>
      </c>
      <c r="H2258" t="s">
        <v>231</v>
      </c>
      <c r="J2258" t="s">
        <v>52</v>
      </c>
      <c r="K2258" s="15">
        <v>70000</v>
      </c>
      <c r="M2258">
        <v>45351</v>
      </c>
      <c r="N2258" t="s">
        <v>1013</v>
      </c>
      <c r="O2258">
        <v>0</v>
      </c>
      <c r="P2258">
        <v>0</v>
      </c>
      <c r="Q2258">
        <v>98874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98874</v>
      </c>
      <c r="Z2258">
        <v>0</v>
      </c>
      <c r="AA2258">
        <v>98874</v>
      </c>
      <c r="AB2258" t="s">
        <v>242</v>
      </c>
      <c r="AC2258">
        <v>2</v>
      </c>
      <c r="AD2258">
        <v>140000</v>
      </c>
      <c r="AE2258">
        <v>0</v>
      </c>
      <c r="AF2258">
        <v>0</v>
      </c>
      <c r="AG2258">
        <v>0</v>
      </c>
      <c r="AH2258" t="s">
        <v>58</v>
      </c>
      <c r="AK2258" t="s">
        <v>798</v>
      </c>
      <c r="AL2258">
        <v>52201222</v>
      </c>
      <c r="AM2258">
        <v>25649443</v>
      </c>
      <c r="AN2258" t="s">
        <v>151</v>
      </c>
      <c r="AO2258" t="s">
        <v>438</v>
      </c>
      <c r="AP2258" t="s">
        <v>431</v>
      </c>
      <c r="AQ2258" t="s">
        <v>82</v>
      </c>
      <c r="AR2258" t="s">
        <v>83</v>
      </c>
      <c r="AT2258" t="s">
        <v>52</v>
      </c>
      <c r="AU2258">
        <v>3045</v>
      </c>
      <c r="AW2258">
        <v>45351</v>
      </c>
      <c r="AX2258" t="s">
        <v>1013</v>
      </c>
      <c r="AY2258">
        <v>0</v>
      </c>
      <c r="AZ2258">
        <v>0</v>
      </c>
      <c r="BA2258">
        <v>0</v>
      </c>
      <c r="BB2258">
        <v>878.54814985738471</v>
      </c>
      <c r="BC2258">
        <v>12865.434577277949</v>
      </c>
      <c r="BD2258">
        <v>0</v>
      </c>
      <c r="BE2258">
        <v>0</v>
      </c>
      <c r="BF2258">
        <v>51717.230311928623</v>
      </c>
      <c r="BG2258">
        <v>0</v>
      </c>
      <c r="BH2258">
        <v>0</v>
      </c>
      <c r="BI2258">
        <v>65461.213039063958</v>
      </c>
      <c r="BJ2258">
        <v>4520.7865422444602</v>
      </c>
      <c r="BK2258">
        <v>69981.999581308424</v>
      </c>
      <c r="BL2258" t="s">
        <v>242</v>
      </c>
      <c r="BM2258">
        <v>4</v>
      </c>
      <c r="BN2258">
        <v>8262</v>
      </c>
      <c r="BO2258">
        <v>0</v>
      </c>
      <c r="BP2258">
        <v>0</v>
      </c>
      <c r="BQ2258">
        <v>533.21343036450185</v>
      </c>
      <c r="BR2258" t="s">
        <v>58</v>
      </c>
    </row>
    <row r="2259" spans="1:70" x14ac:dyDescent="0.3">
      <c r="A2259" t="s">
        <v>798</v>
      </c>
      <c r="B2259">
        <v>4142300254</v>
      </c>
      <c r="C2259">
        <v>10153969</v>
      </c>
      <c r="D2259" t="s">
        <v>195</v>
      </c>
      <c r="E2259" t="s">
        <v>445</v>
      </c>
      <c r="F2259" t="s">
        <v>430</v>
      </c>
      <c r="G2259" t="s">
        <v>237</v>
      </c>
      <c r="H2259" t="s">
        <v>234</v>
      </c>
      <c r="J2259" t="s">
        <v>52</v>
      </c>
      <c r="K2259" s="15">
        <v>5000</v>
      </c>
      <c r="M2259">
        <v>45351</v>
      </c>
      <c r="N2259" t="s">
        <v>1013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52906.74766355141</v>
      </c>
      <c r="Y2259">
        <v>52906.74766355141</v>
      </c>
      <c r="Z2259">
        <v>3703.472336448599</v>
      </c>
      <c r="AA2259">
        <v>56610.220000000008</v>
      </c>
      <c r="AB2259" t="s">
        <v>242</v>
      </c>
      <c r="AC2259">
        <v>7</v>
      </c>
      <c r="AD2259">
        <v>35000</v>
      </c>
      <c r="AE2259">
        <v>0</v>
      </c>
      <c r="AF2259">
        <v>0</v>
      </c>
      <c r="AG2259">
        <v>2289.7196261682229</v>
      </c>
      <c r="AH2259" t="s">
        <v>58</v>
      </c>
      <c r="AK2259" t="s">
        <v>798</v>
      </c>
      <c r="AL2259">
        <v>52201589</v>
      </c>
      <c r="AM2259">
        <v>25928923</v>
      </c>
      <c r="AN2259" t="s">
        <v>162</v>
      </c>
      <c r="AO2259" t="s">
        <v>438</v>
      </c>
      <c r="AP2259" t="s">
        <v>431</v>
      </c>
      <c r="AQ2259" t="s">
        <v>82</v>
      </c>
      <c r="AR2259" t="s">
        <v>83</v>
      </c>
      <c r="AT2259" t="s">
        <v>52</v>
      </c>
      <c r="AU2259">
        <v>1500</v>
      </c>
      <c r="AW2259">
        <v>45351</v>
      </c>
      <c r="AX2259" t="s">
        <v>1013</v>
      </c>
      <c r="AY2259">
        <v>0</v>
      </c>
      <c r="AZ2259">
        <v>0</v>
      </c>
      <c r="BA2259">
        <v>0</v>
      </c>
      <c r="BB2259">
        <v>972.7673483953796</v>
      </c>
      <c r="BC2259">
        <v>10643.442571593097</v>
      </c>
      <c r="BD2259">
        <v>0</v>
      </c>
      <c r="BE2259">
        <v>0</v>
      </c>
      <c r="BF2259">
        <v>54655.854112149529</v>
      </c>
      <c r="BG2259">
        <v>0</v>
      </c>
      <c r="BH2259">
        <v>0</v>
      </c>
      <c r="BI2259">
        <v>66272.064032138005</v>
      </c>
      <c r="BJ2259">
        <v>4570.9507678619848</v>
      </c>
      <c r="BK2259">
        <v>70843.01479999999</v>
      </c>
      <c r="BL2259" t="s">
        <v>242</v>
      </c>
      <c r="BM2259">
        <v>4</v>
      </c>
      <c r="BN2259">
        <v>4500</v>
      </c>
      <c r="BO2259">
        <v>0</v>
      </c>
      <c r="BP2259">
        <v>0</v>
      </c>
      <c r="BQ2259">
        <v>290.05954615670714</v>
      </c>
      <c r="BR2259" t="s">
        <v>58</v>
      </c>
    </row>
    <row r="2260" spans="1:70" x14ac:dyDescent="0.3">
      <c r="A2260" t="s">
        <v>798</v>
      </c>
      <c r="B2260">
        <v>4142300416</v>
      </c>
      <c r="C2260">
        <v>10179898</v>
      </c>
      <c r="D2260" t="s">
        <v>198</v>
      </c>
      <c r="E2260" t="s">
        <v>445</v>
      </c>
      <c r="F2260" t="s">
        <v>430</v>
      </c>
      <c r="G2260" t="s">
        <v>230</v>
      </c>
      <c r="H2260" t="s">
        <v>234</v>
      </c>
      <c r="J2260" t="s">
        <v>52</v>
      </c>
      <c r="K2260" s="15">
        <v>3200</v>
      </c>
      <c r="M2260">
        <v>45351</v>
      </c>
      <c r="N2260" t="s">
        <v>1013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296408.40186915884</v>
      </c>
      <c r="Y2260">
        <v>296408.40186915884</v>
      </c>
      <c r="Z2260">
        <v>20748.588130841123</v>
      </c>
      <c r="AA2260">
        <v>317156.99</v>
      </c>
      <c r="AB2260" t="s">
        <v>242</v>
      </c>
      <c r="AC2260">
        <v>15</v>
      </c>
      <c r="AD2260">
        <v>59600</v>
      </c>
      <c r="AE2260">
        <v>0</v>
      </c>
      <c r="AF2260">
        <v>0</v>
      </c>
      <c r="AG2260">
        <v>3899.065420560747</v>
      </c>
      <c r="AH2260" t="s">
        <v>58</v>
      </c>
      <c r="AK2260" t="s">
        <v>798</v>
      </c>
      <c r="AL2260">
        <v>52201828</v>
      </c>
      <c r="AM2260">
        <v>25536725</v>
      </c>
      <c r="AN2260" t="s">
        <v>166</v>
      </c>
      <c r="AO2260" t="s">
        <v>438</v>
      </c>
      <c r="AP2260" t="s">
        <v>431</v>
      </c>
      <c r="AQ2260" t="s">
        <v>82</v>
      </c>
      <c r="AR2260" t="s">
        <v>83</v>
      </c>
      <c r="AT2260" t="s">
        <v>52</v>
      </c>
      <c r="AU2260">
        <v>1500</v>
      </c>
      <c r="AW2260">
        <v>45351</v>
      </c>
      <c r="AX2260" t="s">
        <v>1013</v>
      </c>
      <c r="AY2260">
        <v>0</v>
      </c>
      <c r="AZ2260">
        <v>0</v>
      </c>
      <c r="BA2260">
        <v>0</v>
      </c>
      <c r="BB2260">
        <v>761.1967487353437</v>
      </c>
      <c r="BC2260">
        <v>9787.5378057519429</v>
      </c>
      <c r="BD2260">
        <v>0</v>
      </c>
      <c r="BE2260">
        <v>0</v>
      </c>
      <c r="BF2260">
        <v>46273.024665951423</v>
      </c>
      <c r="BG2260">
        <v>0</v>
      </c>
      <c r="BH2260">
        <v>0</v>
      </c>
      <c r="BI2260">
        <v>56821.759220438711</v>
      </c>
      <c r="BJ2260">
        <v>3924.2393730192357</v>
      </c>
      <c r="BK2260">
        <v>60745.998593457945</v>
      </c>
      <c r="BL2260" t="s">
        <v>242</v>
      </c>
      <c r="BM2260">
        <v>13</v>
      </c>
      <c r="BN2260">
        <v>20500</v>
      </c>
      <c r="BO2260">
        <v>0</v>
      </c>
      <c r="BP2260">
        <v>0</v>
      </c>
      <c r="BQ2260">
        <v>1322.9474508518447</v>
      </c>
      <c r="BR2260" t="s">
        <v>58</v>
      </c>
    </row>
    <row r="2261" spans="1:70" x14ac:dyDescent="0.3">
      <c r="A2261" t="s">
        <v>798</v>
      </c>
      <c r="B2261">
        <v>4142300599</v>
      </c>
      <c r="C2261">
        <v>10259999</v>
      </c>
      <c r="D2261" t="s">
        <v>201</v>
      </c>
      <c r="E2261" t="s">
        <v>445</v>
      </c>
      <c r="F2261" t="s">
        <v>430</v>
      </c>
      <c r="G2261" t="s">
        <v>230</v>
      </c>
      <c r="H2261" t="s">
        <v>234</v>
      </c>
      <c r="J2261" t="s">
        <v>52</v>
      </c>
      <c r="K2261" s="15">
        <v>1000</v>
      </c>
      <c r="M2261">
        <v>45351</v>
      </c>
      <c r="N2261" t="s">
        <v>1013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245177.57009345799</v>
      </c>
      <c r="Y2261">
        <v>245177.57009345799</v>
      </c>
      <c r="Z2261">
        <v>17162.42990654206</v>
      </c>
      <c r="AA2261">
        <v>262340.00000000006</v>
      </c>
      <c r="AB2261" t="s">
        <v>242</v>
      </c>
      <c r="AC2261">
        <v>4</v>
      </c>
      <c r="AD2261">
        <v>22000</v>
      </c>
      <c r="AE2261">
        <v>0</v>
      </c>
      <c r="AF2261">
        <v>0</v>
      </c>
      <c r="AG2261">
        <v>1439.2523364485974</v>
      </c>
      <c r="AH2261" t="s">
        <v>58</v>
      </c>
      <c r="AK2261" t="s">
        <v>798</v>
      </c>
      <c r="AL2261">
        <v>62200005</v>
      </c>
      <c r="AM2261">
        <v>19887124</v>
      </c>
      <c r="AN2261" t="s">
        <v>77</v>
      </c>
      <c r="AO2261" t="s">
        <v>435</v>
      </c>
      <c r="AP2261" t="s">
        <v>432</v>
      </c>
      <c r="AQ2261" t="s">
        <v>82</v>
      </c>
      <c r="AR2261" t="s">
        <v>82</v>
      </c>
      <c r="AT2261" t="s">
        <v>52</v>
      </c>
      <c r="AU2261">
        <v>1800</v>
      </c>
      <c r="AW2261">
        <v>45351</v>
      </c>
      <c r="AX2261" t="s">
        <v>1013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53623.626182929671</v>
      </c>
      <c r="BG2261">
        <v>0</v>
      </c>
      <c r="BH2261">
        <v>0</v>
      </c>
      <c r="BI2261">
        <v>53623.626182929671</v>
      </c>
      <c r="BJ2261">
        <v>0</v>
      </c>
      <c r="BK2261">
        <v>53623.626182929671</v>
      </c>
      <c r="BL2261" t="s">
        <v>242</v>
      </c>
      <c r="BM2261">
        <v>18</v>
      </c>
      <c r="BN2261">
        <v>32400</v>
      </c>
      <c r="BO2261">
        <v>0</v>
      </c>
      <c r="BP2261">
        <v>0</v>
      </c>
      <c r="BQ2261">
        <v>0</v>
      </c>
      <c r="BR2261" t="s">
        <v>58</v>
      </c>
    </row>
    <row r="2262" spans="1:70" x14ac:dyDescent="0.3">
      <c r="A2262" t="s">
        <v>798</v>
      </c>
      <c r="B2262">
        <v>4142300794</v>
      </c>
      <c r="C2262">
        <v>10379208</v>
      </c>
      <c r="D2262" t="s">
        <v>209</v>
      </c>
      <c r="E2262" t="s">
        <v>445</v>
      </c>
      <c r="F2262" t="s">
        <v>430</v>
      </c>
      <c r="G2262" t="s">
        <v>230</v>
      </c>
      <c r="H2262" t="s">
        <v>234</v>
      </c>
      <c r="J2262" t="s">
        <v>52</v>
      </c>
      <c r="K2262" s="15">
        <v>12000</v>
      </c>
      <c r="M2262">
        <v>45351</v>
      </c>
      <c r="N2262" t="s">
        <v>1013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417850.71962616814</v>
      </c>
      <c r="Y2262">
        <v>417850.71962616814</v>
      </c>
      <c r="Z2262">
        <v>29249.550373831771</v>
      </c>
      <c r="AA2262">
        <v>447100.2699999999</v>
      </c>
      <c r="AB2262" t="s">
        <v>242</v>
      </c>
      <c r="AC2262">
        <v>7</v>
      </c>
      <c r="AD2262">
        <v>101000</v>
      </c>
      <c r="AE2262">
        <v>0</v>
      </c>
      <c r="AF2262">
        <v>0</v>
      </c>
      <c r="AG2262">
        <v>6607.4766355140209</v>
      </c>
      <c r="AH2262" t="s">
        <v>58</v>
      </c>
      <c r="AK2262" t="s">
        <v>798</v>
      </c>
      <c r="AL2262">
        <v>62200006</v>
      </c>
      <c r="AM2262">
        <v>19887213</v>
      </c>
      <c r="AN2262" t="s">
        <v>77</v>
      </c>
      <c r="AO2262" t="s">
        <v>435</v>
      </c>
      <c r="AP2262" t="s">
        <v>432</v>
      </c>
      <c r="AQ2262" t="s">
        <v>82</v>
      </c>
      <c r="AR2262" t="s">
        <v>82</v>
      </c>
      <c r="AT2262" t="s">
        <v>52</v>
      </c>
      <c r="AU2262">
        <v>900</v>
      </c>
      <c r="AW2262">
        <v>45351</v>
      </c>
      <c r="AX2262" t="s">
        <v>1013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15495.406380183904</v>
      </c>
      <c r="BG2262">
        <v>0</v>
      </c>
      <c r="BH2262">
        <v>0</v>
      </c>
      <c r="BI2262">
        <v>15495.406380183904</v>
      </c>
      <c r="BJ2262">
        <v>0</v>
      </c>
      <c r="BK2262">
        <v>15495.406380183904</v>
      </c>
      <c r="BL2262" t="s">
        <v>242</v>
      </c>
      <c r="BM2262">
        <v>18</v>
      </c>
      <c r="BN2262">
        <v>30600</v>
      </c>
      <c r="BO2262">
        <v>0</v>
      </c>
      <c r="BP2262">
        <v>0</v>
      </c>
      <c r="BQ2262">
        <v>0</v>
      </c>
      <c r="BR2262" t="s">
        <v>58</v>
      </c>
    </row>
    <row r="2263" spans="1:70" x14ac:dyDescent="0.3">
      <c r="A2263" t="s">
        <v>798</v>
      </c>
      <c r="B2263">
        <v>4142300939</v>
      </c>
      <c r="C2263">
        <v>10449473</v>
      </c>
      <c r="D2263" t="s">
        <v>214</v>
      </c>
      <c r="E2263" t="s">
        <v>445</v>
      </c>
      <c r="F2263" t="s">
        <v>430</v>
      </c>
      <c r="G2263" t="s">
        <v>230</v>
      </c>
      <c r="H2263" t="s">
        <v>234</v>
      </c>
      <c r="J2263" t="s">
        <v>52</v>
      </c>
      <c r="K2263" s="15">
        <v>1000</v>
      </c>
      <c r="M2263">
        <v>45351</v>
      </c>
      <c r="N2263" t="s">
        <v>1013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331685.05607476638</v>
      </c>
      <c r="Y2263">
        <v>331685.05607476638</v>
      </c>
      <c r="Z2263">
        <v>23217.953925233651</v>
      </c>
      <c r="AA2263">
        <v>354903.01</v>
      </c>
      <c r="AB2263" t="s">
        <v>242</v>
      </c>
      <c r="AC2263">
        <v>6</v>
      </c>
      <c r="AD2263">
        <v>5000</v>
      </c>
      <c r="AE2263">
        <v>0</v>
      </c>
      <c r="AF2263">
        <v>0</v>
      </c>
      <c r="AG2263">
        <v>327.10280373831779</v>
      </c>
      <c r="AH2263" t="s">
        <v>58</v>
      </c>
      <c r="AK2263" t="s">
        <v>798</v>
      </c>
      <c r="AL2263">
        <v>62200025</v>
      </c>
      <c r="AM2263">
        <v>9001302</v>
      </c>
      <c r="AN2263" t="s">
        <v>79</v>
      </c>
      <c r="AO2263" t="s">
        <v>435</v>
      </c>
      <c r="AP2263" t="s">
        <v>432</v>
      </c>
      <c r="AQ2263" t="s">
        <v>82</v>
      </c>
      <c r="AR2263" t="s">
        <v>82</v>
      </c>
      <c r="AT2263" t="s">
        <v>52</v>
      </c>
      <c r="AU2263">
        <v>1000</v>
      </c>
      <c r="AW2263">
        <v>45351</v>
      </c>
      <c r="AX2263" t="s">
        <v>1013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12024.843263835617</v>
      </c>
      <c r="BG2263">
        <v>0</v>
      </c>
      <c r="BH2263">
        <v>0</v>
      </c>
      <c r="BI2263">
        <v>12024.843263835617</v>
      </c>
      <c r="BJ2263">
        <v>0</v>
      </c>
      <c r="BK2263">
        <v>12024.843263835617</v>
      </c>
      <c r="BL2263" t="s">
        <v>242</v>
      </c>
      <c r="BM2263">
        <v>18</v>
      </c>
      <c r="BN2263">
        <v>18170</v>
      </c>
      <c r="BO2263">
        <v>0</v>
      </c>
      <c r="BP2263">
        <v>0</v>
      </c>
      <c r="BQ2263">
        <v>0</v>
      </c>
      <c r="BR2263" t="s">
        <v>58</v>
      </c>
    </row>
    <row r="2264" spans="1:70" x14ac:dyDescent="0.3">
      <c r="A2264" t="s">
        <v>798</v>
      </c>
      <c r="B2264">
        <v>4142301175</v>
      </c>
      <c r="C2264">
        <v>10038577</v>
      </c>
      <c r="D2264" t="s">
        <v>746</v>
      </c>
      <c r="E2264" t="s">
        <v>446</v>
      </c>
      <c r="F2264" t="s">
        <v>430</v>
      </c>
      <c r="G2264" t="s">
        <v>237</v>
      </c>
      <c r="H2264" t="s">
        <v>234</v>
      </c>
      <c r="J2264" t="s">
        <v>52</v>
      </c>
      <c r="K2264" s="15">
        <v>5000</v>
      </c>
      <c r="M2264">
        <v>45351</v>
      </c>
      <c r="N2264" t="s">
        <v>1013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27854.046728971964</v>
      </c>
      <c r="Y2264">
        <v>27854.046728971964</v>
      </c>
      <c r="Z2264">
        <v>1949.7832710280377</v>
      </c>
      <c r="AA2264">
        <v>29803.83</v>
      </c>
      <c r="AB2264" t="s">
        <v>242</v>
      </c>
      <c r="AC2264">
        <v>1</v>
      </c>
      <c r="AD2264">
        <v>5000</v>
      </c>
      <c r="AE2264">
        <v>0</v>
      </c>
      <c r="AF2264">
        <v>0</v>
      </c>
      <c r="AG2264">
        <v>327.10280373831756</v>
      </c>
      <c r="AH2264" t="s">
        <v>72</v>
      </c>
      <c r="AK2264" t="s">
        <v>798</v>
      </c>
      <c r="AL2264">
        <v>62200080</v>
      </c>
      <c r="AM2264">
        <v>22425262</v>
      </c>
      <c r="AN2264" t="s">
        <v>80</v>
      </c>
      <c r="AO2264" t="s">
        <v>435</v>
      </c>
      <c r="AP2264" t="s">
        <v>432</v>
      </c>
      <c r="AQ2264" t="s">
        <v>82</v>
      </c>
      <c r="AR2264" t="s">
        <v>82</v>
      </c>
      <c r="AT2264" t="s">
        <v>52</v>
      </c>
      <c r="AU2264">
        <v>500</v>
      </c>
      <c r="AW2264">
        <v>45351</v>
      </c>
      <c r="AX2264" t="s">
        <v>1013</v>
      </c>
      <c r="AY2264">
        <v>0</v>
      </c>
      <c r="AZ2264">
        <v>0</v>
      </c>
      <c r="BA2264">
        <v>0</v>
      </c>
      <c r="BB2264">
        <v>0</v>
      </c>
      <c r="BC2264">
        <v>6739.2191780821922</v>
      </c>
      <c r="BD2264">
        <v>0</v>
      </c>
      <c r="BE2264">
        <v>0</v>
      </c>
      <c r="BF2264">
        <v>30000</v>
      </c>
      <c r="BG2264">
        <v>0</v>
      </c>
      <c r="BH2264">
        <v>0</v>
      </c>
      <c r="BI2264">
        <v>36739.219178082189</v>
      </c>
      <c r="BJ2264">
        <v>0</v>
      </c>
      <c r="BK2264">
        <v>36739.219178082189</v>
      </c>
      <c r="BL2264" t="s">
        <v>242</v>
      </c>
      <c r="BM2264">
        <v>14</v>
      </c>
      <c r="BN2264">
        <v>7000</v>
      </c>
      <c r="BO2264">
        <v>0</v>
      </c>
      <c r="BP2264">
        <v>0</v>
      </c>
      <c r="BQ2264">
        <v>0</v>
      </c>
      <c r="BR2264" t="s">
        <v>58</v>
      </c>
    </row>
    <row r="2265" spans="1:70" x14ac:dyDescent="0.3">
      <c r="A2265" t="s">
        <v>798</v>
      </c>
      <c r="B2265">
        <v>4142301217</v>
      </c>
      <c r="C2265">
        <v>10151131</v>
      </c>
      <c r="D2265" t="s">
        <v>749</v>
      </c>
      <c r="E2265" t="s">
        <v>446</v>
      </c>
      <c r="F2265" t="s">
        <v>430</v>
      </c>
      <c r="G2265" t="s">
        <v>230</v>
      </c>
      <c r="H2265" t="s">
        <v>234</v>
      </c>
      <c r="J2265" t="s">
        <v>52</v>
      </c>
      <c r="K2265" s="15">
        <v>1000</v>
      </c>
      <c r="M2265">
        <v>45351</v>
      </c>
      <c r="N2265" t="s">
        <v>1013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479088.046728972</v>
      </c>
      <c r="Y2265">
        <v>479088.046728972</v>
      </c>
      <c r="Z2265">
        <v>33536.163271028046</v>
      </c>
      <c r="AA2265">
        <v>512624.21</v>
      </c>
      <c r="AB2265" t="s">
        <v>242</v>
      </c>
      <c r="AC2265">
        <v>2</v>
      </c>
      <c r="AD2265">
        <v>6000</v>
      </c>
      <c r="AE2265">
        <v>0</v>
      </c>
      <c r="AF2265">
        <v>0</v>
      </c>
      <c r="AG2265">
        <v>392.52336448598112</v>
      </c>
      <c r="AH2265" t="s">
        <v>58</v>
      </c>
      <c r="AK2265" t="s">
        <v>798</v>
      </c>
      <c r="AL2265">
        <v>4132300824</v>
      </c>
      <c r="AM2265">
        <v>9070041828</v>
      </c>
      <c r="AN2265" t="s">
        <v>177</v>
      </c>
      <c r="AO2265" t="s">
        <v>441</v>
      </c>
      <c r="AP2265" t="s">
        <v>430</v>
      </c>
      <c r="AQ2265" t="s">
        <v>233</v>
      </c>
      <c r="AR2265" t="s">
        <v>231</v>
      </c>
      <c r="AT2265" t="s">
        <v>52</v>
      </c>
      <c r="AU2265">
        <v>500</v>
      </c>
      <c r="AW2265">
        <v>45351</v>
      </c>
      <c r="AX2265" t="s">
        <v>1013</v>
      </c>
      <c r="AY2265">
        <v>0</v>
      </c>
      <c r="AZ2265">
        <v>2531.7305084163972</v>
      </c>
      <c r="BA2265">
        <v>0</v>
      </c>
      <c r="BB2265">
        <v>0</v>
      </c>
      <c r="BC2265">
        <v>10431.390410958904</v>
      </c>
      <c r="BD2265">
        <v>16045.111674377198</v>
      </c>
      <c r="BE2265">
        <v>0</v>
      </c>
      <c r="BF2265">
        <v>0</v>
      </c>
      <c r="BG2265">
        <v>0</v>
      </c>
      <c r="BH2265">
        <v>0</v>
      </c>
      <c r="BI2265">
        <v>29008.232593752502</v>
      </c>
      <c r="BJ2265">
        <v>1123.1578172064039</v>
      </c>
      <c r="BK2265">
        <v>30131.390410958906</v>
      </c>
      <c r="BL2265" t="s">
        <v>242</v>
      </c>
      <c r="BM2265">
        <v>4</v>
      </c>
      <c r="BN2265">
        <v>3500</v>
      </c>
      <c r="BO2265">
        <v>0</v>
      </c>
      <c r="BP2265">
        <v>0</v>
      </c>
      <c r="BQ2265">
        <v>126.37489307396999</v>
      </c>
      <c r="BR2265" t="s">
        <v>58</v>
      </c>
    </row>
    <row r="2266" spans="1:70" x14ac:dyDescent="0.3">
      <c r="A2266" t="s">
        <v>798</v>
      </c>
      <c r="B2266">
        <v>4142301246</v>
      </c>
      <c r="C2266">
        <v>10211923</v>
      </c>
      <c r="D2266" t="s">
        <v>750</v>
      </c>
      <c r="E2266" t="s">
        <v>446</v>
      </c>
      <c r="F2266" t="s">
        <v>430</v>
      </c>
      <c r="G2266" t="s">
        <v>230</v>
      </c>
      <c r="H2266" t="s">
        <v>234</v>
      </c>
      <c r="J2266" t="s">
        <v>52</v>
      </c>
      <c r="K2266" s="15">
        <v>11170</v>
      </c>
      <c r="M2266">
        <v>45351</v>
      </c>
      <c r="N2266" t="s">
        <v>1013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96190.878504672903</v>
      </c>
      <c r="Y2266">
        <v>96190.878504672903</v>
      </c>
      <c r="Z2266">
        <v>6733.3614953271035</v>
      </c>
      <c r="AA2266">
        <v>102924.24</v>
      </c>
      <c r="AB2266" t="s">
        <v>242</v>
      </c>
      <c r="AC2266">
        <v>2</v>
      </c>
      <c r="AD2266">
        <v>22340</v>
      </c>
      <c r="AE2266">
        <v>0</v>
      </c>
      <c r="AF2266">
        <v>0</v>
      </c>
      <c r="AG2266">
        <v>1461.4953271028025</v>
      </c>
      <c r="AH2266" t="s">
        <v>58</v>
      </c>
      <c r="AK2266" t="s">
        <v>798</v>
      </c>
      <c r="AL2266">
        <v>4132301229</v>
      </c>
      <c r="AM2266">
        <v>9110012630</v>
      </c>
      <c r="AN2266" t="s">
        <v>738</v>
      </c>
      <c r="AO2266" t="s">
        <v>441</v>
      </c>
      <c r="AP2266" t="s">
        <v>430</v>
      </c>
      <c r="AQ2266" t="s">
        <v>233</v>
      </c>
      <c r="AR2266" t="s">
        <v>231</v>
      </c>
      <c r="AT2266" t="s">
        <v>52</v>
      </c>
      <c r="AU2266">
        <v>2000</v>
      </c>
      <c r="AW2266">
        <v>45351</v>
      </c>
      <c r="AX2266" t="s">
        <v>1013</v>
      </c>
      <c r="AY2266">
        <v>0</v>
      </c>
      <c r="AZ2266">
        <v>3875.6712474046285</v>
      </c>
      <c r="BA2266">
        <v>0</v>
      </c>
      <c r="BB2266">
        <v>0</v>
      </c>
      <c r="BC2266">
        <v>2393.8356164383563</v>
      </c>
      <c r="BD2266">
        <v>49742.363320182594</v>
      </c>
      <c r="BE2266">
        <v>0</v>
      </c>
      <c r="BF2266">
        <v>0</v>
      </c>
      <c r="BG2266">
        <v>0</v>
      </c>
      <c r="BH2266">
        <v>0</v>
      </c>
      <c r="BI2266">
        <v>56011.870184025582</v>
      </c>
      <c r="BJ2266">
        <v>3481.9654324127819</v>
      </c>
      <c r="BK2266">
        <v>59493.835616438366</v>
      </c>
      <c r="BL2266" t="s">
        <v>242</v>
      </c>
      <c r="BM2266">
        <v>1</v>
      </c>
      <c r="BN2266">
        <v>2000</v>
      </c>
      <c r="BO2266">
        <v>0</v>
      </c>
      <c r="BP2266">
        <v>0</v>
      </c>
      <c r="BQ2266">
        <v>116.16540870871404</v>
      </c>
      <c r="BR2266" t="s">
        <v>72</v>
      </c>
    </row>
    <row r="2267" spans="1:70" x14ac:dyDescent="0.3">
      <c r="A2267" t="s">
        <v>798</v>
      </c>
      <c r="B2267">
        <v>4142301469</v>
      </c>
      <c r="C2267">
        <v>10516523</v>
      </c>
      <c r="D2267" t="s">
        <v>756</v>
      </c>
      <c r="E2267" t="s">
        <v>446</v>
      </c>
      <c r="F2267" t="s">
        <v>430</v>
      </c>
      <c r="G2267" t="s">
        <v>237</v>
      </c>
      <c r="H2267" t="s">
        <v>234</v>
      </c>
      <c r="J2267" t="s">
        <v>52</v>
      </c>
      <c r="K2267" s="15">
        <v>80032.789999999994</v>
      </c>
      <c r="M2267">
        <v>45351</v>
      </c>
      <c r="N2267" t="s">
        <v>1017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 t="s">
        <v>242</v>
      </c>
      <c r="AC2267">
        <v>2</v>
      </c>
      <c r="AD2267">
        <v>82032.789999999994</v>
      </c>
      <c r="AE2267">
        <v>0</v>
      </c>
      <c r="AF2267">
        <v>0</v>
      </c>
      <c r="AG2267">
        <v>5366.6311214953203</v>
      </c>
      <c r="AH2267" t="s">
        <v>58</v>
      </c>
      <c r="AK2267" t="s">
        <v>798</v>
      </c>
      <c r="AL2267">
        <v>4142300008</v>
      </c>
      <c r="AM2267">
        <v>132635</v>
      </c>
      <c r="AN2267" t="s">
        <v>975</v>
      </c>
      <c r="AO2267" t="s">
        <v>444</v>
      </c>
      <c r="AP2267" t="s">
        <v>430</v>
      </c>
      <c r="AQ2267" t="s">
        <v>237</v>
      </c>
      <c r="AR2267" t="s">
        <v>231</v>
      </c>
      <c r="AT2267" t="s">
        <v>52</v>
      </c>
      <c r="AU2267">
        <v>12000</v>
      </c>
      <c r="AW2267">
        <v>45351</v>
      </c>
      <c r="AX2267" t="s">
        <v>1013</v>
      </c>
      <c r="AY2267">
        <v>0</v>
      </c>
      <c r="AZ2267">
        <v>27176.137448980422</v>
      </c>
      <c r="BA2267">
        <v>0</v>
      </c>
      <c r="BB2267">
        <v>0</v>
      </c>
      <c r="BC2267">
        <v>0</v>
      </c>
      <c r="BD2267">
        <v>0</v>
      </c>
      <c r="BE2267">
        <v>38626.039767308022</v>
      </c>
      <c r="BF2267">
        <v>0</v>
      </c>
      <c r="BG2267">
        <v>0</v>
      </c>
      <c r="BH2267">
        <v>0</v>
      </c>
      <c r="BI2267">
        <v>65802.177216288444</v>
      </c>
      <c r="BJ2267">
        <v>2703.8227837115619</v>
      </c>
      <c r="BK2267">
        <v>68506</v>
      </c>
      <c r="BL2267" t="s">
        <v>242</v>
      </c>
      <c r="BM2267">
        <v>8</v>
      </c>
      <c r="BN2267">
        <v>80000</v>
      </c>
      <c r="BO2267">
        <v>0</v>
      </c>
      <c r="BP2267">
        <v>0</v>
      </c>
      <c r="BQ2267">
        <v>3027.0183377837666</v>
      </c>
      <c r="BR2267" t="s">
        <v>58</v>
      </c>
    </row>
    <row r="2268" spans="1:70" x14ac:dyDescent="0.3">
      <c r="A2268" t="s">
        <v>798</v>
      </c>
      <c r="B2268">
        <v>4142301533</v>
      </c>
      <c r="C2268">
        <v>10583950</v>
      </c>
      <c r="D2268" t="s">
        <v>759</v>
      </c>
      <c r="E2268" t="s">
        <v>446</v>
      </c>
      <c r="F2268" t="s">
        <v>430</v>
      </c>
      <c r="G2268" t="s">
        <v>230</v>
      </c>
      <c r="H2268" t="s">
        <v>234</v>
      </c>
      <c r="J2268" t="s">
        <v>52</v>
      </c>
      <c r="K2268" s="15">
        <v>5000</v>
      </c>
      <c r="M2268">
        <v>45351</v>
      </c>
      <c r="N2268" t="s">
        <v>1029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325244.78504672897</v>
      </c>
      <c r="Y2268">
        <v>325244.78504672897</v>
      </c>
      <c r="Z2268">
        <v>22767.13495327103</v>
      </c>
      <c r="AA2268">
        <v>348011.92</v>
      </c>
      <c r="AB2268" t="s">
        <v>242</v>
      </c>
      <c r="AC2268">
        <v>2</v>
      </c>
      <c r="AD2268">
        <v>10000</v>
      </c>
      <c r="AE2268">
        <v>0</v>
      </c>
      <c r="AF2268">
        <v>0</v>
      </c>
      <c r="AG2268">
        <v>654.20560747663512</v>
      </c>
      <c r="AH2268" t="s">
        <v>58</v>
      </c>
      <c r="AK2268" t="s">
        <v>798</v>
      </c>
      <c r="AL2268">
        <v>4142300035</v>
      </c>
      <c r="AM2268">
        <v>112833</v>
      </c>
      <c r="AN2268" t="s">
        <v>932</v>
      </c>
      <c r="AO2268" t="s">
        <v>444</v>
      </c>
      <c r="AP2268" t="s">
        <v>430</v>
      </c>
      <c r="AQ2268" t="s">
        <v>233</v>
      </c>
      <c r="AR2268" t="s">
        <v>231</v>
      </c>
      <c r="AT2268" t="s">
        <v>52</v>
      </c>
      <c r="AU2268">
        <v>70000</v>
      </c>
      <c r="AW2268">
        <v>45351</v>
      </c>
      <c r="AX2268" t="s">
        <v>1013</v>
      </c>
      <c r="AY2268">
        <v>0</v>
      </c>
      <c r="AZ2268">
        <v>0</v>
      </c>
      <c r="BA2268">
        <v>98874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98874</v>
      </c>
      <c r="BJ2268">
        <v>0</v>
      </c>
      <c r="BK2268">
        <v>98874</v>
      </c>
      <c r="BL2268" t="s">
        <v>242</v>
      </c>
      <c r="BM2268">
        <v>2</v>
      </c>
      <c r="BN2268">
        <v>140000</v>
      </c>
      <c r="BO2268">
        <v>0</v>
      </c>
      <c r="BP2268">
        <v>0</v>
      </c>
      <c r="BQ2268">
        <v>0</v>
      </c>
      <c r="BR2268" t="s">
        <v>58</v>
      </c>
    </row>
    <row r="2269" spans="1:70" x14ac:dyDescent="0.3">
      <c r="A2269" t="s">
        <v>798</v>
      </c>
      <c r="B2269">
        <v>4142301540</v>
      </c>
      <c r="C2269">
        <v>10592307</v>
      </c>
      <c r="D2269" t="s">
        <v>760</v>
      </c>
      <c r="E2269" t="s">
        <v>446</v>
      </c>
      <c r="F2269" t="s">
        <v>430</v>
      </c>
      <c r="G2269" t="s">
        <v>230</v>
      </c>
      <c r="H2269" t="s">
        <v>234</v>
      </c>
      <c r="J2269" t="s">
        <v>52</v>
      </c>
      <c r="K2269" s="15">
        <v>10000</v>
      </c>
      <c r="M2269">
        <v>45351</v>
      </c>
      <c r="N2269" t="s">
        <v>1013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236326.63158878504</v>
      </c>
      <c r="Y2269">
        <v>236326.63158878504</v>
      </c>
      <c r="Z2269">
        <v>16542.864211214954</v>
      </c>
      <c r="AA2269">
        <v>252869.49579999998</v>
      </c>
      <c r="AB2269" t="s">
        <v>242</v>
      </c>
      <c r="AC2269">
        <v>2</v>
      </c>
      <c r="AD2269">
        <v>160000</v>
      </c>
      <c r="AE2269">
        <v>0</v>
      </c>
      <c r="AF2269">
        <v>0</v>
      </c>
      <c r="AG2269">
        <v>10467.289719626182</v>
      </c>
      <c r="AH2269" t="s">
        <v>58</v>
      </c>
      <c r="AK2269" t="s">
        <v>798</v>
      </c>
      <c r="AL2269">
        <v>4142300254</v>
      </c>
      <c r="AM2269">
        <v>10153969</v>
      </c>
      <c r="AN2269" t="s">
        <v>195</v>
      </c>
      <c r="AO2269" t="s">
        <v>445</v>
      </c>
      <c r="AP2269" t="s">
        <v>430</v>
      </c>
      <c r="AQ2269" t="s">
        <v>237</v>
      </c>
      <c r="AR2269" t="s">
        <v>234</v>
      </c>
      <c r="AT2269" t="s">
        <v>52</v>
      </c>
      <c r="AU2269">
        <v>5000</v>
      </c>
      <c r="AW2269">
        <v>45351</v>
      </c>
      <c r="AX2269" t="s">
        <v>1013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52906.74766355141</v>
      </c>
      <c r="BI2269">
        <v>52906.74766355141</v>
      </c>
      <c r="BJ2269">
        <v>3703.472336448599</v>
      </c>
      <c r="BK2269">
        <v>56610.220000000008</v>
      </c>
      <c r="BL2269" t="s">
        <v>242</v>
      </c>
      <c r="BM2269">
        <v>7</v>
      </c>
      <c r="BN2269">
        <v>35000</v>
      </c>
      <c r="BO2269">
        <v>0</v>
      </c>
      <c r="BP2269">
        <v>0</v>
      </c>
      <c r="BQ2269">
        <v>2289.7196261682229</v>
      </c>
      <c r="BR2269" t="s">
        <v>58</v>
      </c>
    </row>
    <row r="2270" spans="1:70" x14ac:dyDescent="0.3">
      <c r="A2270" t="s">
        <v>798</v>
      </c>
      <c r="B2270">
        <v>4142301569</v>
      </c>
      <c r="C2270">
        <v>10625781</v>
      </c>
      <c r="D2270" t="s">
        <v>761</v>
      </c>
      <c r="E2270" t="s">
        <v>446</v>
      </c>
      <c r="F2270" t="s">
        <v>430</v>
      </c>
      <c r="G2270" t="s">
        <v>230</v>
      </c>
      <c r="H2270" t="s">
        <v>234</v>
      </c>
      <c r="J2270" t="s">
        <v>52</v>
      </c>
      <c r="K2270" s="15">
        <v>2000</v>
      </c>
      <c r="M2270">
        <v>45351</v>
      </c>
      <c r="N2270" t="s">
        <v>1013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791242.15887850465</v>
      </c>
      <c r="Y2270">
        <v>791242.15887850465</v>
      </c>
      <c r="Z2270">
        <v>55386.951121495331</v>
      </c>
      <c r="AA2270">
        <v>846629.11</v>
      </c>
      <c r="AB2270" t="s">
        <v>242</v>
      </c>
      <c r="AC2270">
        <v>1</v>
      </c>
      <c r="AD2270">
        <v>2000</v>
      </c>
      <c r="AE2270">
        <v>0</v>
      </c>
      <c r="AF2270">
        <v>0</v>
      </c>
      <c r="AG2270">
        <v>130.84112149532712</v>
      </c>
      <c r="AH2270" t="s">
        <v>72</v>
      </c>
      <c r="AK2270" t="s">
        <v>798</v>
      </c>
      <c r="AL2270">
        <v>4142301175</v>
      </c>
      <c r="AM2270">
        <v>10038577</v>
      </c>
      <c r="AN2270" t="s">
        <v>746</v>
      </c>
      <c r="AO2270" t="s">
        <v>446</v>
      </c>
      <c r="AP2270" t="s">
        <v>430</v>
      </c>
      <c r="AQ2270" t="s">
        <v>237</v>
      </c>
      <c r="AR2270" t="s">
        <v>234</v>
      </c>
      <c r="AT2270" t="s">
        <v>52</v>
      </c>
      <c r="AU2270">
        <v>5000</v>
      </c>
      <c r="AW2270">
        <v>45351</v>
      </c>
      <c r="AX2270" t="s">
        <v>1013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27854.046728971964</v>
      </c>
      <c r="BI2270">
        <v>27854.046728971964</v>
      </c>
      <c r="BJ2270">
        <v>1949.7832710280377</v>
      </c>
      <c r="BK2270">
        <v>29803.83</v>
      </c>
      <c r="BL2270" t="s">
        <v>242</v>
      </c>
      <c r="BM2270">
        <v>1</v>
      </c>
      <c r="BN2270">
        <v>5000</v>
      </c>
      <c r="BO2270">
        <v>0</v>
      </c>
      <c r="BP2270">
        <v>0</v>
      </c>
      <c r="BQ2270">
        <v>327.10280373831756</v>
      </c>
      <c r="BR2270" t="s">
        <v>72</v>
      </c>
    </row>
    <row r="2271" spans="1:70" x14ac:dyDescent="0.3">
      <c r="A2271" t="s">
        <v>798</v>
      </c>
      <c r="B2271">
        <v>4242300019</v>
      </c>
      <c r="C2271">
        <v>123154</v>
      </c>
      <c r="D2271" t="s">
        <v>995</v>
      </c>
      <c r="E2271" t="s">
        <v>444</v>
      </c>
      <c r="F2271" t="s">
        <v>433</v>
      </c>
      <c r="G2271" t="s">
        <v>230</v>
      </c>
      <c r="H2271" t="s">
        <v>231</v>
      </c>
      <c r="J2271" t="s">
        <v>52</v>
      </c>
      <c r="K2271" s="15">
        <v>100000</v>
      </c>
      <c r="M2271">
        <v>45351</v>
      </c>
      <c r="N2271" t="s">
        <v>1013</v>
      </c>
      <c r="O2271">
        <v>0</v>
      </c>
      <c r="P2271">
        <v>1116.3056287001689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76526.817169439077</v>
      </c>
      <c r="X2271">
        <v>0</v>
      </c>
      <c r="Y2271">
        <v>77643.122798139244</v>
      </c>
      <c r="Z2271">
        <v>5356.877201860736</v>
      </c>
      <c r="AA2271">
        <v>82999.999999999985</v>
      </c>
      <c r="AB2271" t="s">
        <v>242</v>
      </c>
      <c r="AC2271">
        <v>2</v>
      </c>
      <c r="AD2271">
        <v>120000</v>
      </c>
      <c r="AE2271">
        <v>0</v>
      </c>
      <c r="AF2271">
        <v>0</v>
      </c>
      <c r="AG2271">
        <v>7727.2349476719719</v>
      </c>
      <c r="AH2271" t="s">
        <v>58</v>
      </c>
      <c r="AK2271" t="s">
        <v>798</v>
      </c>
      <c r="AL2271">
        <v>4242300019</v>
      </c>
      <c r="AM2271">
        <v>123154</v>
      </c>
      <c r="AN2271" t="s">
        <v>995</v>
      </c>
      <c r="AO2271" t="s">
        <v>444</v>
      </c>
      <c r="AP2271" t="s">
        <v>433</v>
      </c>
      <c r="AQ2271" t="s">
        <v>230</v>
      </c>
      <c r="AR2271" t="s">
        <v>231</v>
      </c>
      <c r="AT2271" t="s">
        <v>52</v>
      </c>
      <c r="AU2271">
        <v>100000</v>
      </c>
      <c r="AW2271">
        <v>45351</v>
      </c>
      <c r="AX2271" t="s">
        <v>1013</v>
      </c>
      <c r="AY2271">
        <v>0</v>
      </c>
      <c r="AZ2271">
        <v>1116.3056287001689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76526.817169439077</v>
      </c>
      <c r="BH2271">
        <v>0</v>
      </c>
      <c r="BI2271">
        <v>77643.122798139244</v>
      </c>
      <c r="BJ2271">
        <v>5356.877201860736</v>
      </c>
      <c r="BK2271">
        <v>82999.999999999985</v>
      </c>
      <c r="BL2271" t="s">
        <v>242</v>
      </c>
      <c r="BM2271">
        <v>2</v>
      </c>
      <c r="BN2271">
        <v>120000</v>
      </c>
      <c r="BO2271">
        <v>0</v>
      </c>
      <c r="BP2271">
        <v>0</v>
      </c>
      <c r="BQ2271">
        <v>7727.2349476719719</v>
      </c>
      <c r="BR2271" t="s">
        <v>58</v>
      </c>
    </row>
    <row r="2272" spans="1:70" x14ac:dyDescent="0.3">
      <c r="A2272" t="s">
        <v>798</v>
      </c>
      <c r="B2272">
        <v>4302300011</v>
      </c>
      <c r="C2272">
        <v>901014013205</v>
      </c>
      <c r="D2272" t="s">
        <v>223</v>
      </c>
      <c r="E2272" t="s">
        <v>447</v>
      </c>
      <c r="F2272" t="s">
        <v>433</v>
      </c>
      <c r="G2272" t="s">
        <v>82</v>
      </c>
      <c r="H2272" t="s">
        <v>83</v>
      </c>
      <c r="J2272" t="s">
        <v>52</v>
      </c>
      <c r="K2272" s="15">
        <v>800000</v>
      </c>
      <c r="M2272">
        <v>45351</v>
      </c>
      <c r="N2272" t="s">
        <v>1018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 t="s">
        <v>242</v>
      </c>
      <c r="AC2272">
        <v>3</v>
      </c>
      <c r="AD2272">
        <v>835000</v>
      </c>
      <c r="AE2272">
        <v>0</v>
      </c>
      <c r="AF2272">
        <v>0</v>
      </c>
      <c r="AG2272">
        <v>50206.444013854169</v>
      </c>
      <c r="AH2272" t="s">
        <v>58</v>
      </c>
      <c r="AK2272" t="s">
        <v>798</v>
      </c>
      <c r="AL2272">
        <v>4332300169</v>
      </c>
      <c r="AM2272">
        <v>5010224367</v>
      </c>
      <c r="AN2272" t="s">
        <v>229</v>
      </c>
      <c r="AO2272" t="s">
        <v>441</v>
      </c>
      <c r="AP2272" t="s">
        <v>433</v>
      </c>
      <c r="AQ2272" t="s">
        <v>233</v>
      </c>
      <c r="AR2272" t="s">
        <v>231</v>
      </c>
      <c r="AT2272" t="s">
        <v>52</v>
      </c>
      <c r="AU2272">
        <v>8238</v>
      </c>
      <c r="AW2272">
        <v>45351</v>
      </c>
      <c r="AX2272" t="s">
        <v>1013</v>
      </c>
      <c r="AY2272">
        <v>0</v>
      </c>
      <c r="AZ2272">
        <v>6673.9203481468503</v>
      </c>
      <c r="BA2272">
        <v>0</v>
      </c>
      <c r="BB2272">
        <v>0</v>
      </c>
      <c r="BC2272">
        <v>4179.4520547945203</v>
      </c>
      <c r="BD2272">
        <v>8548.6725718253729</v>
      </c>
      <c r="BE2272">
        <v>0</v>
      </c>
      <c r="BF2272">
        <v>0</v>
      </c>
      <c r="BG2272">
        <v>0</v>
      </c>
      <c r="BH2272">
        <v>0</v>
      </c>
      <c r="BI2272">
        <v>19402.044974766744</v>
      </c>
      <c r="BJ2272">
        <v>598.40708002777615</v>
      </c>
      <c r="BK2272">
        <v>20000.452054794521</v>
      </c>
      <c r="BL2272" t="s">
        <v>242</v>
      </c>
      <c r="BM2272">
        <v>2</v>
      </c>
      <c r="BN2272">
        <v>18238</v>
      </c>
      <c r="BO2272">
        <v>0</v>
      </c>
      <c r="BP2272">
        <v>0</v>
      </c>
      <c r="BQ2272">
        <v>513.74245268250434</v>
      </c>
      <c r="BR2272" t="s">
        <v>58</v>
      </c>
    </row>
    <row r="2273" spans="1:70" x14ac:dyDescent="0.3">
      <c r="A2273" t="s">
        <v>798</v>
      </c>
      <c r="B2273">
        <v>4302300029</v>
      </c>
      <c r="C2273">
        <v>901014004279</v>
      </c>
      <c r="D2273" t="s">
        <v>226</v>
      </c>
      <c r="E2273" t="s">
        <v>447</v>
      </c>
      <c r="F2273" t="s">
        <v>433</v>
      </c>
      <c r="G2273" t="s">
        <v>82</v>
      </c>
      <c r="H2273" t="s">
        <v>83</v>
      </c>
      <c r="J2273" t="s">
        <v>52</v>
      </c>
      <c r="K2273" s="15">
        <v>19569.13</v>
      </c>
      <c r="M2273">
        <v>45351</v>
      </c>
      <c r="N2273" t="s">
        <v>1013</v>
      </c>
      <c r="O2273">
        <v>0</v>
      </c>
      <c r="P2273">
        <v>0</v>
      </c>
      <c r="Q2273">
        <v>22513.455596759144</v>
      </c>
      <c r="R2273">
        <v>17136.900000000001</v>
      </c>
      <c r="S2273">
        <v>44675.50953573914</v>
      </c>
      <c r="T2273">
        <v>0</v>
      </c>
      <c r="U2273">
        <v>0</v>
      </c>
      <c r="V2273">
        <v>332423.83</v>
      </c>
      <c r="W2273">
        <v>0</v>
      </c>
      <c r="X2273">
        <v>0</v>
      </c>
      <c r="Y2273">
        <v>416749.69513249828</v>
      </c>
      <c r="Z2273">
        <v>26396.953767501742</v>
      </c>
      <c r="AA2273">
        <v>443146.64890000003</v>
      </c>
      <c r="AB2273" t="s">
        <v>242</v>
      </c>
      <c r="AC2273">
        <v>7</v>
      </c>
      <c r="AD2273">
        <v>43569.130000000005</v>
      </c>
      <c r="AE2273">
        <v>0</v>
      </c>
      <c r="AF2273">
        <v>0</v>
      </c>
      <c r="AG2273">
        <v>2578.0951324982616</v>
      </c>
      <c r="AH2273" t="s">
        <v>58</v>
      </c>
      <c r="AK2273" t="s">
        <v>798</v>
      </c>
      <c r="AL2273">
        <v>62200013</v>
      </c>
      <c r="AM2273">
        <v>20972385</v>
      </c>
      <c r="AN2273" t="s">
        <v>76</v>
      </c>
      <c r="AO2273" t="s">
        <v>435</v>
      </c>
      <c r="AP2273" t="s">
        <v>432</v>
      </c>
      <c r="AQ2273" t="s">
        <v>82</v>
      </c>
      <c r="AR2273" t="s">
        <v>82</v>
      </c>
      <c r="AT2273" t="s">
        <v>52</v>
      </c>
      <c r="AU2273">
        <v>4000</v>
      </c>
      <c r="AW2273">
        <v>45351</v>
      </c>
      <c r="AX2273" t="s">
        <v>1029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15665.191359418066</v>
      </c>
      <c r="BG2273">
        <v>0</v>
      </c>
      <c r="BH2273">
        <v>0</v>
      </c>
      <c r="BI2273">
        <v>15665.191359418066</v>
      </c>
      <c r="BJ2273">
        <v>0</v>
      </c>
      <c r="BK2273">
        <v>15665.191359418066</v>
      </c>
      <c r="BL2273" t="s">
        <v>242</v>
      </c>
      <c r="BM2273">
        <v>18</v>
      </c>
      <c r="BN2273">
        <v>72000</v>
      </c>
      <c r="BO2273">
        <v>0</v>
      </c>
      <c r="BP2273">
        <v>0</v>
      </c>
      <c r="BQ2273">
        <v>0</v>
      </c>
      <c r="BR2273" t="s">
        <v>58</v>
      </c>
    </row>
    <row r="2274" spans="1:70" x14ac:dyDescent="0.3">
      <c r="A2274" t="s">
        <v>798</v>
      </c>
      <c r="B2274">
        <v>4332300169</v>
      </c>
      <c r="C2274">
        <v>5010224367</v>
      </c>
      <c r="D2274" t="s">
        <v>229</v>
      </c>
      <c r="E2274" t="s">
        <v>441</v>
      </c>
      <c r="F2274" t="s">
        <v>433</v>
      </c>
      <c r="G2274" t="s">
        <v>233</v>
      </c>
      <c r="H2274" t="s">
        <v>231</v>
      </c>
      <c r="J2274" t="s">
        <v>52</v>
      </c>
      <c r="K2274" s="15">
        <v>8238</v>
      </c>
      <c r="M2274">
        <v>45351</v>
      </c>
      <c r="N2274" t="s">
        <v>1013</v>
      </c>
      <c r="O2274">
        <v>0</v>
      </c>
      <c r="P2274">
        <v>6673.9203481468503</v>
      </c>
      <c r="Q2274">
        <v>0</v>
      </c>
      <c r="R2274">
        <v>0</v>
      </c>
      <c r="S2274">
        <v>4179.4520547945203</v>
      </c>
      <c r="T2274">
        <v>8548.6725718253729</v>
      </c>
      <c r="U2274">
        <v>0</v>
      </c>
      <c r="V2274">
        <v>0</v>
      </c>
      <c r="W2274">
        <v>0</v>
      </c>
      <c r="X2274">
        <v>0</v>
      </c>
      <c r="Y2274">
        <v>19402.044974766744</v>
      </c>
      <c r="Z2274">
        <v>598.40708002777615</v>
      </c>
      <c r="AA2274">
        <v>20000.452054794521</v>
      </c>
      <c r="AB2274" t="s">
        <v>242</v>
      </c>
      <c r="AC2274">
        <v>2</v>
      </c>
      <c r="AD2274">
        <v>18238</v>
      </c>
      <c r="AE2274">
        <v>0</v>
      </c>
      <c r="AF2274">
        <v>0</v>
      </c>
      <c r="AG2274">
        <v>513.74245268250434</v>
      </c>
      <c r="AH2274" t="s">
        <v>58</v>
      </c>
      <c r="AK2274" t="s">
        <v>798</v>
      </c>
      <c r="AL2274">
        <v>4302300011</v>
      </c>
      <c r="AM2274">
        <v>901014013205</v>
      </c>
      <c r="AN2274" t="s">
        <v>223</v>
      </c>
      <c r="AO2274" t="s">
        <v>447</v>
      </c>
      <c r="AP2274" t="s">
        <v>433</v>
      </c>
      <c r="AQ2274" t="s">
        <v>417</v>
      </c>
      <c r="AR2274" t="s">
        <v>83</v>
      </c>
      <c r="AT2274" t="s">
        <v>52</v>
      </c>
      <c r="AU2274">
        <v>800000</v>
      </c>
      <c r="AW2274">
        <v>45351</v>
      </c>
      <c r="AX2274" t="s">
        <v>1018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 t="s">
        <v>242</v>
      </c>
      <c r="BM2274">
        <v>3</v>
      </c>
      <c r="BN2274">
        <v>835000</v>
      </c>
      <c r="BO2274">
        <v>0</v>
      </c>
      <c r="BP2274">
        <v>0</v>
      </c>
      <c r="BQ2274">
        <v>50206.444013854169</v>
      </c>
      <c r="BR2274" t="s">
        <v>58</v>
      </c>
    </row>
    <row r="2275" spans="1:70" x14ac:dyDescent="0.3">
      <c r="A2275" t="s">
        <v>798</v>
      </c>
      <c r="B2275">
        <v>22200010</v>
      </c>
      <c r="C2275">
        <v>18928437</v>
      </c>
      <c r="D2275" t="s">
        <v>85</v>
      </c>
      <c r="E2275" t="s">
        <v>435</v>
      </c>
      <c r="F2275" t="s">
        <v>428</v>
      </c>
      <c r="G2275" t="s">
        <v>82</v>
      </c>
      <c r="H2275" t="s">
        <v>82</v>
      </c>
      <c r="J2275" t="s">
        <v>52</v>
      </c>
      <c r="K2275" s="15">
        <v>500</v>
      </c>
      <c r="M2275">
        <v>45352</v>
      </c>
      <c r="N2275" t="s">
        <v>1013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15569.751865506852</v>
      </c>
      <c r="W2275">
        <v>0</v>
      </c>
      <c r="X2275">
        <v>0</v>
      </c>
      <c r="Y2275">
        <v>15569.751865506852</v>
      </c>
      <c r="Z2275">
        <v>0</v>
      </c>
      <c r="AA2275">
        <v>15569.751865506852</v>
      </c>
      <c r="AB2275" t="s">
        <v>242</v>
      </c>
      <c r="AC2275">
        <v>18</v>
      </c>
      <c r="AD2275">
        <v>12500</v>
      </c>
      <c r="AE2275">
        <v>0</v>
      </c>
      <c r="AF2275">
        <v>0</v>
      </c>
      <c r="AG2275">
        <v>0</v>
      </c>
      <c r="AH2275" t="s">
        <v>58</v>
      </c>
      <c r="AK2275" t="s">
        <v>798</v>
      </c>
      <c r="AL2275">
        <v>42201112</v>
      </c>
      <c r="AM2275">
        <v>2756020075</v>
      </c>
      <c r="AN2275" t="s">
        <v>929</v>
      </c>
      <c r="AO2275" t="s">
        <v>439</v>
      </c>
      <c r="AP2275" t="s">
        <v>430</v>
      </c>
      <c r="AQ2275" t="s">
        <v>233</v>
      </c>
      <c r="AR2275" t="s">
        <v>234</v>
      </c>
      <c r="AT2275" t="s">
        <v>52</v>
      </c>
      <c r="AU2275">
        <v>3000</v>
      </c>
      <c r="AW2275">
        <v>45352</v>
      </c>
      <c r="AX2275" t="s">
        <v>1045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34617.205607476622</v>
      </c>
      <c r="BI2275">
        <v>34617.205607476622</v>
      </c>
      <c r="BJ2275">
        <v>2423.2043925233638</v>
      </c>
      <c r="BK2275">
        <v>37040.409999999989</v>
      </c>
      <c r="BL2275" t="s">
        <v>242</v>
      </c>
      <c r="BM2275">
        <v>9</v>
      </c>
      <c r="BN2275">
        <v>90000</v>
      </c>
      <c r="BO2275">
        <v>0</v>
      </c>
      <c r="BP2275">
        <v>0</v>
      </c>
      <c r="BQ2275">
        <v>5887.850467289717</v>
      </c>
      <c r="BR2275" t="s">
        <v>58</v>
      </c>
    </row>
    <row r="2276" spans="1:70" x14ac:dyDescent="0.3">
      <c r="A2276" t="s">
        <v>798</v>
      </c>
      <c r="B2276">
        <v>42200856</v>
      </c>
      <c r="C2276">
        <v>2757002330</v>
      </c>
      <c r="D2276" t="s">
        <v>934</v>
      </c>
      <c r="E2276" t="s">
        <v>439</v>
      </c>
      <c r="F2276" t="s">
        <v>430</v>
      </c>
      <c r="G2276" t="s">
        <v>233</v>
      </c>
      <c r="H2276" t="s">
        <v>234</v>
      </c>
      <c r="J2276" t="s">
        <v>52</v>
      </c>
      <c r="K2276" s="15">
        <v>500</v>
      </c>
      <c r="M2276">
        <v>45352</v>
      </c>
      <c r="N2276" t="s">
        <v>1013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33498.570093457936</v>
      </c>
      <c r="Y2276">
        <v>33498.570093457936</v>
      </c>
      <c r="Z2276">
        <v>2344.8999065420558</v>
      </c>
      <c r="AA2276">
        <v>35843.469999999994</v>
      </c>
      <c r="AB2276" t="s">
        <v>242</v>
      </c>
      <c r="AC2276">
        <v>9</v>
      </c>
      <c r="AD2276">
        <v>4500</v>
      </c>
      <c r="AE2276">
        <v>0</v>
      </c>
      <c r="AF2276">
        <v>0</v>
      </c>
      <c r="AG2276">
        <v>294.39252336448601</v>
      </c>
      <c r="AH2276" t="s">
        <v>58</v>
      </c>
      <c r="AK2276" t="s">
        <v>798</v>
      </c>
      <c r="AL2276">
        <v>42201150</v>
      </c>
      <c r="AM2276">
        <v>2758020463</v>
      </c>
      <c r="AN2276" t="s">
        <v>933</v>
      </c>
      <c r="AO2276" t="s">
        <v>439</v>
      </c>
      <c r="AP2276" t="s">
        <v>430</v>
      </c>
      <c r="AQ2276" t="s">
        <v>230</v>
      </c>
      <c r="AR2276" t="s">
        <v>234</v>
      </c>
      <c r="AT2276" t="s">
        <v>52</v>
      </c>
      <c r="AU2276">
        <v>5000</v>
      </c>
      <c r="AW2276">
        <v>45352</v>
      </c>
      <c r="AX2276" t="s">
        <v>1029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298917.16822429915</v>
      </c>
      <c r="BI2276">
        <v>298917.16822429915</v>
      </c>
      <c r="BJ2276">
        <v>20924.201775700942</v>
      </c>
      <c r="BK2276">
        <v>319841.37000000011</v>
      </c>
      <c r="BL2276" t="s">
        <v>242</v>
      </c>
      <c r="BM2276">
        <v>11</v>
      </c>
      <c r="BN2276">
        <v>95000</v>
      </c>
      <c r="BO2276">
        <v>0</v>
      </c>
      <c r="BP2276">
        <v>0</v>
      </c>
      <c r="BQ2276">
        <v>6214.9532710280337</v>
      </c>
      <c r="BR2276" t="s">
        <v>58</v>
      </c>
    </row>
    <row r="2277" spans="1:70" x14ac:dyDescent="0.3">
      <c r="A2277" t="s">
        <v>798</v>
      </c>
      <c r="B2277">
        <v>42201112</v>
      </c>
      <c r="C2277">
        <v>2756020075</v>
      </c>
      <c r="D2277" t="s">
        <v>929</v>
      </c>
      <c r="E2277" t="s">
        <v>439</v>
      </c>
      <c r="F2277" t="s">
        <v>430</v>
      </c>
      <c r="G2277" t="s">
        <v>233</v>
      </c>
      <c r="H2277" t="s">
        <v>234</v>
      </c>
      <c r="J2277" t="s">
        <v>52</v>
      </c>
      <c r="K2277" s="15">
        <v>3000</v>
      </c>
      <c r="M2277">
        <v>45352</v>
      </c>
      <c r="N2277" t="s">
        <v>1045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34617.205607476622</v>
      </c>
      <c r="Y2277">
        <v>34617.205607476622</v>
      </c>
      <c r="Z2277">
        <v>2423.2043925233638</v>
      </c>
      <c r="AA2277">
        <v>37040.409999999989</v>
      </c>
      <c r="AB2277" t="s">
        <v>242</v>
      </c>
      <c r="AC2277">
        <v>9</v>
      </c>
      <c r="AD2277">
        <v>90000</v>
      </c>
      <c r="AE2277">
        <v>0</v>
      </c>
      <c r="AF2277">
        <v>0</v>
      </c>
      <c r="AG2277">
        <v>5887.850467289717</v>
      </c>
      <c r="AH2277" t="s">
        <v>58</v>
      </c>
      <c r="AK2277" t="s">
        <v>798</v>
      </c>
      <c r="AL2277">
        <v>52201352</v>
      </c>
      <c r="AM2277">
        <v>26584588</v>
      </c>
      <c r="AN2277" t="s">
        <v>156</v>
      </c>
      <c r="AO2277" t="s">
        <v>438</v>
      </c>
      <c r="AP2277" t="s">
        <v>431</v>
      </c>
      <c r="AQ2277" t="s">
        <v>82</v>
      </c>
      <c r="AR2277" t="s">
        <v>83</v>
      </c>
      <c r="AT2277" t="s">
        <v>52</v>
      </c>
      <c r="AU2277">
        <v>2000</v>
      </c>
      <c r="AW2277">
        <v>45352</v>
      </c>
      <c r="AX2277" t="s">
        <v>1013</v>
      </c>
      <c r="AY2277">
        <v>0</v>
      </c>
      <c r="AZ2277">
        <v>0</v>
      </c>
      <c r="BA2277">
        <v>0</v>
      </c>
      <c r="BB2277">
        <v>912.71644347496931</v>
      </c>
      <c r="BC2277">
        <v>35641.803348859568</v>
      </c>
      <c r="BD2277">
        <v>0</v>
      </c>
      <c r="BE2277">
        <v>0</v>
      </c>
      <c r="BF2277">
        <v>58235.096694359752</v>
      </c>
      <c r="BG2277">
        <v>0</v>
      </c>
      <c r="BH2277">
        <v>0</v>
      </c>
      <c r="BI2277">
        <v>94789.616486694285</v>
      </c>
      <c r="BJ2277">
        <v>6571.3830030253539</v>
      </c>
      <c r="BK2277">
        <v>101360.99948971964</v>
      </c>
      <c r="BL2277" t="s">
        <v>242</v>
      </c>
      <c r="BM2277">
        <v>5</v>
      </c>
      <c r="BN2277">
        <v>8000</v>
      </c>
      <c r="BO2277">
        <v>0</v>
      </c>
      <c r="BP2277">
        <v>0</v>
      </c>
      <c r="BQ2277">
        <v>518.3085523768674</v>
      </c>
      <c r="BR2277" t="s">
        <v>58</v>
      </c>
    </row>
    <row r="2278" spans="1:70" x14ac:dyDescent="0.3">
      <c r="A2278" t="s">
        <v>798</v>
      </c>
      <c r="B2278">
        <v>42201150</v>
      </c>
      <c r="C2278">
        <v>2758020463</v>
      </c>
      <c r="D2278" t="s">
        <v>933</v>
      </c>
      <c r="E2278" t="s">
        <v>439</v>
      </c>
      <c r="F2278" t="s">
        <v>430</v>
      </c>
      <c r="G2278" t="s">
        <v>230</v>
      </c>
      <c r="H2278" t="s">
        <v>234</v>
      </c>
      <c r="J2278" t="s">
        <v>52</v>
      </c>
      <c r="K2278" s="15">
        <v>5000</v>
      </c>
      <c r="M2278">
        <v>45352</v>
      </c>
      <c r="N2278" t="s">
        <v>1029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298917.16822429915</v>
      </c>
      <c r="Y2278">
        <v>298917.16822429915</v>
      </c>
      <c r="Z2278">
        <v>20924.201775700942</v>
      </c>
      <c r="AA2278">
        <v>319841.37000000011</v>
      </c>
      <c r="AB2278" t="s">
        <v>242</v>
      </c>
      <c r="AC2278">
        <v>11</v>
      </c>
      <c r="AD2278">
        <v>95000</v>
      </c>
      <c r="AE2278">
        <v>0</v>
      </c>
      <c r="AF2278">
        <v>0</v>
      </c>
      <c r="AG2278">
        <v>6214.9532710280337</v>
      </c>
      <c r="AH2278" t="s">
        <v>58</v>
      </c>
      <c r="AK2278" t="s">
        <v>798</v>
      </c>
      <c r="AL2278">
        <v>52201823</v>
      </c>
      <c r="AM2278">
        <v>26207055</v>
      </c>
      <c r="AN2278" t="s">
        <v>165</v>
      </c>
      <c r="AO2278" t="s">
        <v>438</v>
      </c>
      <c r="AP2278" t="s">
        <v>431</v>
      </c>
      <c r="AQ2278" t="s">
        <v>82</v>
      </c>
      <c r="AR2278" t="s">
        <v>83</v>
      </c>
      <c r="AT2278" t="s">
        <v>52</v>
      </c>
      <c r="AU2278">
        <v>500</v>
      </c>
      <c r="AW2278">
        <v>45352</v>
      </c>
      <c r="AX2278" t="s">
        <v>1013</v>
      </c>
      <c r="AY2278">
        <v>0</v>
      </c>
      <c r="AZ2278">
        <v>0</v>
      </c>
      <c r="BA2278">
        <v>0</v>
      </c>
      <c r="BB2278">
        <v>835.44752136593252</v>
      </c>
      <c r="BC2278">
        <v>29619.471109894614</v>
      </c>
      <c r="BD2278">
        <v>0</v>
      </c>
      <c r="BE2278">
        <v>0</v>
      </c>
      <c r="BF2278">
        <v>82604.409809083882</v>
      </c>
      <c r="BG2278">
        <v>0</v>
      </c>
      <c r="BH2278">
        <v>0</v>
      </c>
      <c r="BI2278">
        <v>113059.32844034443</v>
      </c>
      <c r="BJ2278">
        <v>7855.6716643284954</v>
      </c>
      <c r="BK2278">
        <v>120915.00010467292</v>
      </c>
      <c r="BL2278" t="s">
        <v>242</v>
      </c>
      <c r="BM2278">
        <v>9</v>
      </c>
      <c r="BN2278">
        <v>7500</v>
      </c>
      <c r="BO2278">
        <v>0</v>
      </c>
      <c r="BP2278">
        <v>0</v>
      </c>
      <c r="BQ2278">
        <v>487.01993130431333</v>
      </c>
      <c r="BR2278" t="s">
        <v>58</v>
      </c>
    </row>
    <row r="2279" spans="1:70" x14ac:dyDescent="0.3">
      <c r="A2279" t="s">
        <v>798</v>
      </c>
      <c r="B2279">
        <v>52200315</v>
      </c>
      <c r="C2279">
        <v>25381712</v>
      </c>
      <c r="D2279" t="s">
        <v>730</v>
      </c>
      <c r="E2279" t="s">
        <v>436</v>
      </c>
      <c r="F2279" t="s">
        <v>431</v>
      </c>
      <c r="G2279" t="s">
        <v>82</v>
      </c>
      <c r="H2279" t="s">
        <v>83</v>
      </c>
      <c r="J2279" t="s">
        <v>52</v>
      </c>
      <c r="K2279" s="15">
        <v>1500</v>
      </c>
      <c r="M2279">
        <v>45352</v>
      </c>
      <c r="N2279" t="s">
        <v>1013</v>
      </c>
      <c r="O2279">
        <v>0</v>
      </c>
      <c r="P2279">
        <v>0</v>
      </c>
      <c r="Q2279">
        <v>0</v>
      </c>
      <c r="R2279">
        <v>848.51303320279271</v>
      </c>
      <c r="S2279">
        <v>9179.3237037933523</v>
      </c>
      <c r="T2279">
        <v>0</v>
      </c>
      <c r="U2279">
        <v>0</v>
      </c>
      <c r="V2279">
        <v>50029.54298716045</v>
      </c>
      <c r="W2279">
        <v>0</v>
      </c>
      <c r="X2279">
        <v>0</v>
      </c>
      <c r="Y2279">
        <v>60057.379724156592</v>
      </c>
      <c r="Z2279">
        <v>4144.620668366766</v>
      </c>
      <c r="AA2279">
        <v>64202.000392523361</v>
      </c>
      <c r="AB2279" t="s">
        <v>242</v>
      </c>
      <c r="AC2279">
        <v>2</v>
      </c>
      <c r="AD2279">
        <v>3000</v>
      </c>
      <c r="AE2279">
        <v>0</v>
      </c>
      <c r="AF2279">
        <v>0</v>
      </c>
      <c r="AG2279">
        <v>193.48216105065012</v>
      </c>
      <c r="AH2279" t="s">
        <v>58</v>
      </c>
      <c r="AK2279" t="s">
        <v>798</v>
      </c>
      <c r="AL2279">
        <v>82200022</v>
      </c>
      <c r="AM2279">
        <v>901020021502</v>
      </c>
      <c r="AN2279" t="s">
        <v>996</v>
      </c>
      <c r="AO2279" t="s">
        <v>440</v>
      </c>
      <c r="AP2279" t="s">
        <v>433</v>
      </c>
      <c r="AQ2279" t="s">
        <v>82</v>
      </c>
      <c r="AR2279" t="s">
        <v>83</v>
      </c>
      <c r="AT2279" t="s">
        <v>52</v>
      </c>
      <c r="AU2279">
        <v>70000</v>
      </c>
      <c r="AW2279">
        <v>45352</v>
      </c>
      <c r="AX2279" t="s">
        <v>1029</v>
      </c>
      <c r="AY2279">
        <v>0</v>
      </c>
      <c r="AZ2279">
        <v>0</v>
      </c>
      <c r="BA2279">
        <v>125295.0921152909</v>
      </c>
      <c r="BB2279">
        <v>2328.7600000000002</v>
      </c>
      <c r="BC2279">
        <v>76907.088490382332</v>
      </c>
      <c r="BD2279">
        <v>0</v>
      </c>
      <c r="BE2279">
        <v>0</v>
      </c>
      <c r="BF2279">
        <v>1848413.79</v>
      </c>
      <c r="BG2279">
        <v>0</v>
      </c>
      <c r="BH2279">
        <v>0</v>
      </c>
      <c r="BI2279">
        <v>2052944.7306056733</v>
      </c>
      <c r="BJ2279">
        <v>134772.46149432677</v>
      </c>
      <c r="BK2279">
        <v>2187717.1921000001</v>
      </c>
      <c r="BL2279" t="s">
        <v>242</v>
      </c>
      <c r="BM2279">
        <v>4</v>
      </c>
      <c r="BN2279">
        <v>116000</v>
      </c>
      <c r="BO2279">
        <v>0</v>
      </c>
      <c r="BP2279">
        <v>0</v>
      </c>
      <c r="BQ2279">
        <v>7115.8606056732369</v>
      </c>
      <c r="BR2279" t="s">
        <v>58</v>
      </c>
    </row>
    <row r="2280" spans="1:70" x14ac:dyDescent="0.3">
      <c r="A2280" t="s">
        <v>798</v>
      </c>
      <c r="B2280">
        <v>52201277</v>
      </c>
      <c r="C2280">
        <v>26285645</v>
      </c>
      <c r="D2280" t="s">
        <v>153</v>
      </c>
      <c r="E2280" t="s">
        <v>438</v>
      </c>
      <c r="F2280" t="s">
        <v>431</v>
      </c>
      <c r="G2280" t="s">
        <v>82</v>
      </c>
      <c r="H2280" t="s">
        <v>83</v>
      </c>
      <c r="J2280" t="s">
        <v>52</v>
      </c>
      <c r="K2280" s="15">
        <v>1000</v>
      </c>
      <c r="M2280">
        <v>45352</v>
      </c>
      <c r="N2280" t="s">
        <v>1013</v>
      </c>
      <c r="O2280">
        <v>0</v>
      </c>
      <c r="P2280">
        <v>0</v>
      </c>
      <c r="Q2280">
        <v>0</v>
      </c>
      <c r="R2280">
        <v>746.99138478603913</v>
      </c>
      <c r="S2280">
        <v>26517.96546654799</v>
      </c>
      <c r="T2280">
        <v>0</v>
      </c>
      <c r="U2280">
        <v>0</v>
      </c>
      <c r="V2280">
        <v>56278.303900452571</v>
      </c>
      <c r="W2280">
        <v>0</v>
      </c>
      <c r="X2280">
        <v>0</v>
      </c>
      <c r="Y2280">
        <v>83543.260751786598</v>
      </c>
      <c r="Z2280">
        <v>5795.7388556900396</v>
      </c>
      <c r="AA2280">
        <v>89338.999607476639</v>
      </c>
      <c r="AB2280" t="s">
        <v>242</v>
      </c>
      <c r="AC2280">
        <v>9</v>
      </c>
      <c r="AD2280">
        <v>16000</v>
      </c>
      <c r="AE2280">
        <v>0</v>
      </c>
      <c r="AF2280">
        <v>0</v>
      </c>
      <c r="AG2280">
        <v>1037.3078476028252</v>
      </c>
      <c r="AH2280" t="s">
        <v>58</v>
      </c>
      <c r="AK2280" t="s">
        <v>798</v>
      </c>
      <c r="AL2280">
        <v>4132301734</v>
      </c>
      <c r="AM2280" t="s">
        <v>685</v>
      </c>
      <c r="AN2280" t="s">
        <v>937</v>
      </c>
      <c r="AO2280" t="s">
        <v>442</v>
      </c>
      <c r="AP2280" t="s">
        <v>430</v>
      </c>
      <c r="AQ2280" t="s">
        <v>230</v>
      </c>
      <c r="AR2280" t="s">
        <v>231</v>
      </c>
      <c r="AT2280" t="s">
        <v>52</v>
      </c>
      <c r="AU2280">
        <v>5000</v>
      </c>
      <c r="AW2280">
        <v>45352</v>
      </c>
      <c r="AX2280" t="s">
        <v>1013</v>
      </c>
      <c r="AY2280">
        <v>0</v>
      </c>
      <c r="AZ2280">
        <v>15706.824483016695</v>
      </c>
      <c r="BA2280">
        <v>0</v>
      </c>
      <c r="BB2280">
        <v>0</v>
      </c>
      <c r="BC2280">
        <v>28938.33</v>
      </c>
      <c r="BD2280">
        <v>51709.509828956361</v>
      </c>
      <c r="BE2280">
        <v>33644.859813084113</v>
      </c>
      <c r="BF2280">
        <v>0</v>
      </c>
      <c r="BG2280">
        <v>548442.05607476633</v>
      </c>
      <c r="BH2280">
        <v>0</v>
      </c>
      <c r="BI2280">
        <v>678441.58019982348</v>
      </c>
      <c r="BJ2280">
        <v>44365.749800176476</v>
      </c>
      <c r="BK2280">
        <v>722807.33</v>
      </c>
      <c r="BL2280" t="s">
        <v>242</v>
      </c>
      <c r="BM2280">
        <v>1</v>
      </c>
      <c r="BN2280">
        <v>5000</v>
      </c>
      <c r="BO2280">
        <v>0</v>
      </c>
      <c r="BP2280">
        <v>0</v>
      </c>
      <c r="BQ2280">
        <v>305.56795683286782</v>
      </c>
      <c r="BR2280" t="s">
        <v>72</v>
      </c>
    </row>
    <row r="2281" spans="1:70" x14ac:dyDescent="0.3">
      <c r="A2281" t="s">
        <v>798</v>
      </c>
      <c r="B2281">
        <v>52201352</v>
      </c>
      <c r="C2281">
        <v>26584588</v>
      </c>
      <c r="D2281" t="s">
        <v>156</v>
      </c>
      <c r="E2281" t="s">
        <v>438</v>
      </c>
      <c r="F2281" t="s">
        <v>431</v>
      </c>
      <c r="G2281" t="s">
        <v>82</v>
      </c>
      <c r="H2281" t="s">
        <v>83</v>
      </c>
      <c r="J2281" t="s">
        <v>52</v>
      </c>
      <c r="K2281" s="15">
        <v>2000</v>
      </c>
      <c r="M2281">
        <v>45352</v>
      </c>
      <c r="N2281" t="s">
        <v>1013</v>
      </c>
      <c r="O2281">
        <v>0</v>
      </c>
      <c r="P2281">
        <v>0</v>
      </c>
      <c r="Q2281">
        <v>0</v>
      </c>
      <c r="R2281">
        <v>912.71644347496931</v>
      </c>
      <c r="S2281">
        <v>35641.803348859568</v>
      </c>
      <c r="T2281">
        <v>0</v>
      </c>
      <c r="U2281">
        <v>0</v>
      </c>
      <c r="V2281">
        <v>58235.096694359752</v>
      </c>
      <c r="W2281">
        <v>0</v>
      </c>
      <c r="X2281">
        <v>0</v>
      </c>
      <c r="Y2281">
        <v>94789.616486694285</v>
      </c>
      <c r="Z2281">
        <v>6571.3830030253539</v>
      </c>
      <c r="AA2281">
        <v>101360.99948971964</v>
      </c>
      <c r="AB2281" t="s">
        <v>242</v>
      </c>
      <c r="AC2281">
        <v>5</v>
      </c>
      <c r="AD2281">
        <v>8000</v>
      </c>
      <c r="AE2281">
        <v>0</v>
      </c>
      <c r="AF2281">
        <v>0</v>
      </c>
      <c r="AG2281">
        <v>518.3085523768674</v>
      </c>
      <c r="AH2281" t="s">
        <v>58</v>
      </c>
      <c r="AK2281" t="s">
        <v>798</v>
      </c>
      <c r="AL2281">
        <v>4132301772</v>
      </c>
      <c r="AM2281" t="s">
        <v>689</v>
      </c>
      <c r="AN2281" t="s">
        <v>938</v>
      </c>
      <c r="AO2281" t="s">
        <v>442</v>
      </c>
      <c r="AP2281" t="s">
        <v>430</v>
      </c>
      <c r="AQ2281" t="s">
        <v>230</v>
      </c>
      <c r="AR2281" t="s">
        <v>231</v>
      </c>
      <c r="AT2281" t="s">
        <v>52</v>
      </c>
      <c r="AU2281">
        <v>1000</v>
      </c>
      <c r="AW2281">
        <v>45352</v>
      </c>
      <c r="AX2281" t="s">
        <v>1013</v>
      </c>
      <c r="AY2281">
        <v>0</v>
      </c>
      <c r="AZ2281">
        <v>24210.628346854272</v>
      </c>
      <c r="BA2281">
        <v>0</v>
      </c>
      <c r="BB2281">
        <v>0</v>
      </c>
      <c r="BC2281">
        <v>564880.79</v>
      </c>
      <c r="BD2281">
        <v>38152.683787986658</v>
      </c>
      <c r="BE2281">
        <v>56074.766355140186</v>
      </c>
      <c r="BF2281">
        <v>0</v>
      </c>
      <c r="BG2281">
        <v>747663.55140186916</v>
      </c>
      <c r="BH2281">
        <v>0</v>
      </c>
      <c r="BI2281">
        <v>1430982.4198918501</v>
      </c>
      <c r="BJ2281">
        <v>58932.370108149727</v>
      </c>
      <c r="BK2281">
        <v>1489914.7899999998</v>
      </c>
      <c r="BL2281" t="s">
        <v>242</v>
      </c>
      <c r="BM2281">
        <v>2</v>
      </c>
      <c r="BN2281">
        <v>2000</v>
      </c>
      <c r="BO2281">
        <v>0</v>
      </c>
      <c r="BP2281">
        <v>0</v>
      </c>
      <c r="BQ2281">
        <v>76.975686242802681</v>
      </c>
      <c r="BR2281" t="s">
        <v>58</v>
      </c>
    </row>
    <row r="2282" spans="1:70" x14ac:dyDescent="0.3">
      <c r="A2282" t="s">
        <v>798</v>
      </c>
      <c r="B2282">
        <v>52201809</v>
      </c>
      <c r="C2282">
        <v>28380987</v>
      </c>
      <c r="D2282" t="s">
        <v>164</v>
      </c>
      <c r="E2282" t="s">
        <v>438</v>
      </c>
      <c r="F2282" t="s">
        <v>431</v>
      </c>
      <c r="G2282" t="s">
        <v>82</v>
      </c>
      <c r="H2282" t="s">
        <v>83</v>
      </c>
      <c r="J2282" t="s">
        <v>52</v>
      </c>
      <c r="K2282" s="15">
        <v>500</v>
      </c>
      <c r="M2282">
        <v>45352</v>
      </c>
      <c r="N2282" t="s">
        <v>1013</v>
      </c>
      <c r="O2282">
        <v>0</v>
      </c>
      <c r="P2282">
        <v>0</v>
      </c>
      <c r="Q2282">
        <v>0</v>
      </c>
      <c r="R2282">
        <v>925.76591361248722</v>
      </c>
      <c r="S2282">
        <v>27666.262788409098</v>
      </c>
      <c r="T2282">
        <v>0</v>
      </c>
      <c r="U2282">
        <v>0</v>
      </c>
      <c r="V2282">
        <v>51867.600635850336</v>
      </c>
      <c r="W2282">
        <v>0</v>
      </c>
      <c r="X2282">
        <v>0</v>
      </c>
      <c r="Y2282">
        <v>80459.629337871913</v>
      </c>
      <c r="Z2282">
        <v>5567.3704396981611</v>
      </c>
      <c r="AA2282">
        <v>86026.999777570076</v>
      </c>
      <c r="AB2282" t="s">
        <v>242</v>
      </c>
      <c r="AC2282">
        <v>14</v>
      </c>
      <c r="AD2282">
        <v>9800</v>
      </c>
      <c r="AE2282">
        <v>0</v>
      </c>
      <c r="AF2282">
        <v>0</v>
      </c>
      <c r="AG2282">
        <v>633.71365789988249</v>
      </c>
      <c r="AH2282" t="s">
        <v>58</v>
      </c>
      <c r="AK2282" t="s">
        <v>798</v>
      </c>
      <c r="AL2282">
        <v>4132301981</v>
      </c>
      <c r="AM2282" t="s">
        <v>101</v>
      </c>
      <c r="AN2282" t="s">
        <v>930</v>
      </c>
      <c r="AO2282" t="s">
        <v>442</v>
      </c>
      <c r="AP2282" t="s">
        <v>430</v>
      </c>
      <c r="AQ2282" t="s">
        <v>230</v>
      </c>
      <c r="AR2282" t="s">
        <v>231</v>
      </c>
      <c r="AT2282" t="s">
        <v>52</v>
      </c>
      <c r="AU2282">
        <v>2000</v>
      </c>
      <c r="AW2282">
        <v>45352</v>
      </c>
      <c r="AX2282" t="s">
        <v>1013</v>
      </c>
      <c r="AY2282">
        <v>0</v>
      </c>
      <c r="AZ2282">
        <v>20703.920725741384</v>
      </c>
      <c r="BA2282">
        <v>0</v>
      </c>
      <c r="BB2282">
        <v>0</v>
      </c>
      <c r="BC2282">
        <v>23352.81</v>
      </c>
      <c r="BD2282">
        <v>9015.0273591202058</v>
      </c>
      <c r="BE2282">
        <v>78504.672897196258</v>
      </c>
      <c r="BF2282">
        <v>0</v>
      </c>
      <c r="BG2282">
        <v>619149.53271028039</v>
      </c>
      <c r="BH2282">
        <v>0</v>
      </c>
      <c r="BI2282">
        <v>750725.96369233821</v>
      </c>
      <c r="BJ2282">
        <v>49466.846307661785</v>
      </c>
      <c r="BK2282">
        <v>800192.80999999994</v>
      </c>
      <c r="BL2282" t="s">
        <v>242</v>
      </c>
      <c r="BM2282">
        <v>4</v>
      </c>
      <c r="BN2282">
        <v>28000</v>
      </c>
      <c r="BO2282">
        <v>0</v>
      </c>
      <c r="BP2282">
        <v>0</v>
      </c>
      <c r="BQ2282">
        <v>1724.0882717774757</v>
      </c>
      <c r="BR2282" t="s">
        <v>58</v>
      </c>
    </row>
    <row r="2283" spans="1:70" x14ac:dyDescent="0.3">
      <c r="A2283" t="s">
        <v>798</v>
      </c>
      <c r="B2283">
        <v>52201823</v>
      </c>
      <c r="C2283">
        <v>26207055</v>
      </c>
      <c r="D2283" t="s">
        <v>165</v>
      </c>
      <c r="E2283" t="s">
        <v>438</v>
      </c>
      <c r="F2283" t="s">
        <v>431</v>
      </c>
      <c r="G2283" t="s">
        <v>82</v>
      </c>
      <c r="H2283" t="s">
        <v>83</v>
      </c>
      <c r="J2283" t="s">
        <v>52</v>
      </c>
      <c r="K2283" s="15">
        <v>500</v>
      </c>
      <c r="M2283">
        <v>45352</v>
      </c>
      <c r="N2283" t="s">
        <v>1013</v>
      </c>
      <c r="O2283">
        <v>0</v>
      </c>
      <c r="P2283">
        <v>0</v>
      </c>
      <c r="Q2283">
        <v>0</v>
      </c>
      <c r="R2283">
        <v>835.44752136593252</v>
      </c>
      <c r="S2283">
        <v>29619.471109894614</v>
      </c>
      <c r="T2283">
        <v>0</v>
      </c>
      <c r="U2283">
        <v>0</v>
      </c>
      <c r="V2283">
        <v>82604.409809083882</v>
      </c>
      <c r="W2283">
        <v>0</v>
      </c>
      <c r="X2283">
        <v>0</v>
      </c>
      <c r="Y2283">
        <v>113059.32844034443</v>
      </c>
      <c r="Z2283">
        <v>7855.6716643284954</v>
      </c>
      <c r="AA2283">
        <v>120915.00010467292</v>
      </c>
      <c r="AB2283" t="s">
        <v>242</v>
      </c>
      <c r="AC2283">
        <v>9</v>
      </c>
      <c r="AD2283">
        <v>7500</v>
      </c>
      <c r="AE2283">
        <v>0</v>
      </c>
      <c r="AF2283">
        <v>0</v>
      </c>
      <c r="AG2283">
        <v>487.01993130431333</v>
      </c>
      <c r="AH2283" t="s">
        <v>58</v>
      </c>
      <c r="AK2283" t="s">
        <v>798</v>
      </c>
      <c r="AL2283">
        <v>4142300150</v>
      </c>
      <c r="AM2283">
        <v>10035856</v>
      </c>
      <c r="AN2283" t="s">
        <v>740</v>
      </c>
      <c r="AO2283" t="s">
        <v>445</v>
      </c>
      <c r="AP2283" t="s">
        <v>430</v>
      </c>
      <c r="AQ2283" t="s">
        <v>230</v>
      </c>
      <c r="AR2283" t="s">
        <v>234</v>
      </c>
      <c r="AT2283" t="s">
        <v>52</v>
      </c>
      <c r="AU2283">
        <v>3000</v>
      </c>
      <c r="AW2283">
        <v>45352</v>
      </c>
      <c r="AX2283" t="s">
        <v>1013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324674.38893867622</v>
      </c>
      <c r="BI2283">
        <v>324674.38893867622</v>
      </c>
      <c r="BJ2283">
        <v>22727.207225707338</v>
      </c>
      <c r="BK2283">
        <v>347401.59616438358</v>
      </c>
      <c r="BL2283" t="s">
        <v>242</v>
      </c>
      <c r="BM2283">
        <v>1</v>
      </c>
      <c r="BN2283">
        <v>3000</v>
      </c>
      <c r="BO2283">
        <v>0</v>
      </c>
      <c r="BP2283">
        <v>0</v>
      </c>
      <c r="BQ2283">
        <v>196.2616822429909</v>
      </c>
      <c r="BR2283" t="s">
        <v>72</v>
      </c>
    </row>
    <row r="2284" spans="1:70" x14ac:dyDescent="0.3">
      <c r="A2284" t="s">
        <v>798</v>
      </c>
      <c r="B2284">
        <v>52201890</v>
      </c>
      <c r="C2284">
        <v>26738561</v>
      </c>
      <c r="D2284" t="s">
        <v>168</v>
      </c>
      <c r="E2284" t="s">
        <v>438</v>
      </c>
      <c r="F2284" t="s">
        <v>431</v>
      </c>
      <c r="G2284" t="s">
        <v>82</v>
      </c>
      <c r="H2284" t="s">
        <v>83</v>
      </c>
      <c r="J2284" t="s">
        <v>52</v>
      </c>
      <c r="K2284" s="15">
        <v>1000</v>
      </c>
      <c r="M2284">
        <v>45352</v>
      </c>
      <c r="N2284" t="s">
        <v>1013</v>
      </c>
      <c r="O2284">
        <v>0</v>
      </c>
      <c r="P2284">
        <v>0</v>
      </c>
      <c r="Q2284">
        <v>0</v>
      </c>
      <c r="R2284">
        <v>1026.4507922099565</v>
      </c>
      <c r="S2284">
        <v>23489.303621337171</v>
      </c>
      <c r="T2284">
        <v>0</v>
      </c>
      <c r="U2284">
        <v>0</v>
      </c>
      <c r="V2284">
        <v>41284.106700381184</v>
      </c>
      <c r="W2284">
        <v>0</v>
      </c>
      <c r="X2284">
        <v>0</v>
      </c>
      <c r="Y2284">
        <v>65799.861113928317</v>
      </c>
      <c r="Z2284">
        <v>4534.1387225202852</v>
      </c>
      <c r="AA2284">
        <v>70333.999836448609</v>
      </c>
      <c r="AB2284" t="s">
        <v>242</v>
      </c>
      <c r="AC2284">
        <v>4</v>
      </c>
      <c r="AD2284">
        <v>4000</v>
      </c>
      <c r="AE2284">
        <v>0</v>
      </c>
      <c r="AF2284">
        <v>0</v>
      </c>
      <c r="AG2284">
        <v>257.59023874270736</v>
      </c>
      <c r="AH2284" t="s">
        <v>58</v>
      </c>
      <c r="AK2284" t="s">
        <v>798</v>
      </c>
      <c r="AL2284">
        <v>4142300315</v>
      </c>
      <c r="AM2284">
        <v>10137121</v>
      </c>
      <c r="AN2284" t="s">
        <v>197</v>
      </c>
      <c r="AO2284" t="s">
        <v>445</v>
      </c>
      <c r="AP2284" t="s">
        <v>430</v>
      </c>
      <c r="AQ2284" t="s">
        <v>230</v>
      </c>
      <c r="AR2284" t="s">
        <v>234</v>
      </c>
      <c r="AT2284" t="s">
        <v>52</v>
      </c>
      <c r="AU2284">
        <v>100000</v>
      </c>
      <c r="AW2284">
        <v>45352</v>
      </c>
      <c r="AX2284" t="s">
        <v>1046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954621.77682242985</v>
      </c>
      <c r="BI2284">
        <v>954621.77682242985</v>
      </c>
      <c r="BJ2284">
        <v>66823.524377570095</v>
      </c>
      <c r="BK2284">
        <v>1021445.3012</v>
      </c>
      <c r="BL2284" t="s">
        <v>242</v>
      </c>
      <c r="BM2284">
        <v>3</v>
      </c>
      <c r="BN2284">
        <v>140000</v>
      </c>
      <c r="BO2284">
        <v>0</v>
      </c>
      <c r="BP2284">
        <v>0</v>
      </c>
      <c r="BQ2284">
        <v>9158.8785046728954</v>
      </c>
      <c r="BR2284" t="s">
        <v>58</v>
      </c>
    </row>
    <row r="2285" spans="1:70" x14ac:dyDescent="0.3">
      <c r="A2285" t="s">
        <v>798</v>
      </c>
      <c r="B2285">
        <v>82200022</v>
      </c>
      <c r="C2285">
        <v>901020021502</v>
      </c>
      <c r="D2285" t="s">
        <v>996</v>
      </c>
      <c r="E2285" t="s">
        <v>440</v>
      </c>
      <c r="F2285" t="s">
        <v>433</v>
      </c>
      <c r="G2285" t="s">
        <v>82</v>
      </c>
      <c r="H2285" t="s">
        <v>83</v>
      </c>
      <c r="J2285" t="s">
        <v>52</v>
      </c>
      <c r="K2285" s="15">
        <v>70000</v>
      </c>
      <c r="M2285">
        <v>45352</v>
      </c>
      <c r="N2285" t="s">
        <v>1029</v>
      </c>
      <c r="O2285">
        <v>0</v>
      </c>
      <c r="P2285">
        <v>0</v>
      </c>
      <c r="Q2285">
        <v>125295.0921152909</v>
      </c>
      <c r="R2285">
        <v>2328.7600000000002</v>
      </c>
      <c r="S2285">
        <v>76907.088490382332</v>
      </c>
      <c r="T2285">
        <v>0</v>
      </c>
      <c r="U2285">
        <v>0</v>
      </c>
      <c r="V2285">
        <v>1848413.79</v>
      </c>
      <c r="W2285">
        <v>0</v>
      </c>
      <c r="X2285">
        <v>0</v>
      </c>
      <c r="Y2285">
        <v>2052944.7306056733</v>
      </c>
      <c r="Z2285">
        <v>134772.46149432677</v>
      </c>
      <c r="AA2285">
        <v>2187717.1921000001</v>
      </c>
      <c r="AB2285" t="s">
        <v>242</v>
      </c>
      <c r="AC2285">
        <v>4</v>
      </c>
      <c r="AD2285">
        <v>116000</v>
      </c>
      <c r="AE2285">
        <v>0</v>
      </c>
      <c r="AF2285">
        <v>0</v>
      </c>
      <c r="AG2285">
        <v>7115.8606056732369</v>
      </c>
      <c r="AH2285" t="s">
        <v>58</v>
      </c>
      <c r="AK2285" t="s">
        <v>798</v>
      </c>
      <c r="AL2285">
        <v>4142300425</v>
      </c>
      <c r="AM2285">
        <v>10188307</v>
      </c>
      <c r="AN2285" t="s">
        <v>199</v>
      </c>
      <c r="AO2285" t="s">
        <v>445</v>
      </c>
      <c r="AP2285" t="s">
        <v>430</v>
      </c>
      <c r="AQ2285" t="s">
        <v>230</v>
      </c>
      <c r="AR2285" t="s">
        <v>234</v>
      </c>
      <c r="AT2285" t="s">
        <v>52</v>
      </c>
      <c r="AU2285">
        <v>10000</v>
      </c>
      <c r="AW2285">
        <v>45352</v>
      </c>
      <c r="AX2285" t="s">
        <v>1029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251968.2523364487</v>
      </c>
      <c r="BI2285">
        <v>251968.2523364487</v>
      </c>
      <c r="BJ2285">
        <v>17637.777663551409</v>
      </c>
      <c r="BK2285">
        <v>269606.03000000009</v>
      </c>
      <c r="BL2285" t="s">
        <v>242</v>
      </c>
      <c r="BM2285">
        <v>5</v>
      </c>
      <c r="BN2285">
        <v>71000</v>
      </c>
      <c r="BO2285">
        <v>0</v>
      </c>
      <c r="BP2285">
        <v>0</v>
      </c>
      <c r="BQ2285">
        <v>4644.859813084111</v>
      </c>
      <c r="BR2285" t="s">
        <v>58</v>
      </c>
    </row>
    <row r="2286" spans="1:70" x14ac:dyDescent="0.3">
      <c r="A2286" t="s">
        <v>798</v>
      </c>
      <c r="B2286">
        <v>4132301734</v>
      </c>
      <c r="C2286" t="s">
        <v>685</v>
      </c>
      <c r="D2286" t="s">
        <v>937</v>
      </c>
      <c r="E2286" t="s">
        <v>442</v>
      </c>
      <c r="F2286" t="s">
        <v>430</v>
      </c>
      <c r="G2286" t="s">
        <v>230</v>
      </c>
      <c r="H2286" t="s">
        <v>231</v>
      </c>
      <c r="J2286" t="s">
        <v>52</v>
      </c>
      <c r="K2286" s="15">
        <v>5000</v>
      </c>
      <c r="M2286">
        <v>45352</v>
      </c>
      <c r="N2286" t="s">
        <v>1013</v>
      </c>
      <c r="O2286">
        <v>0</v>
      </c>
      <c r="P2286">
        <v>15706.824483016695</v>
      </c>
      <c r="Q2286">
        <v>0</v>
      </c>
      <c r="R2286">
        <v>0</v>
      </c>
      <c r="S2286">
        <v>28938.33</v>
      </c>
      <c r="T2286">
        <v>51709.509828956361</v>
      </c>
      <c r="U2286">
        <v>33644.859813084113</v>
      </c>
      <c r="V2286">
        <v>0</v>
      </c>
      <c r="W2286">
        <v>548442.05607476633</v>
      </c>
      <c r="X2286">
        <v>0</v>
      </c>
      <c r="Y2286">
        <v>678441.58019982348</v>
      </c>
      <c r="Z2286">
        <v>44365.749800176476</v>
      </c>
      <c r="AA2286">
        <v>722807.33</v>
      </c>
      <c r="AB2286" t="s">
        <v>242</v>
      </c>
      <c r="AC2286">
        <v>1</v>
      </c>
      <c r="AD2286">
        <v>5000</v>
      </c>
      <c r="AE2286">
        <v>0</v>
      </c>
      <c r="AF2286">
        <v>0</v>
      </c>
      <c r="AG2286">
        <v>305.56795683286782</v>
      </c>
      <c r="AH2286" t="s">
        <v>72</v>
      </c>
      <c r="AK2286" t="s">
        <v>798</v>
      </c>
      <c r="AL2286">
        <v>4142300720</v>
      </c>
      <c r="AM2286">
        <v>10326408</v>
      </c>
      <c r="AN2286" t="s">
        <v>205</v>
      </c>
      <c r="AO2286" t="s">
        <v>445</v>
      </c>
      <c r="AP2286" t="s">
        <v>430</v>
      </c>
      <c r="AQ2286" t="s">
        <v>230</v>
      </c>
      <c r="AR2286" t="s">
        <v>234</v>
      </c>
      <c r="AT2286" t="s">
        <v>52</v>
      </c>
      <c r="AU2286">
        <v>5000</v>
      </c>
      <c r="AW2286">
        <v>45352</v>
      </c>
      <c r="AX2286" t="s">
        <v>1013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497021.1214953271</v>
      </c>
      <c r="BI2286">
        <v>497021.1214953271</v>
      </c>
      <c r="BJ2286">
        <v>34791.478504672901</v>
      </c>
      <c r="BK2286">
        <v>531812.6</v>
      </c>
      <c r="BL2286" t="s">
        <v>242</v>
      </c>
      <c r="BM2286">
        <v>7</v>
      </c>
      <c r="BN2286">
        <v>35000</v>
      </c>
      <c r="BO2286">
        <v>0</v>
      </c>
      <c r="BP2286">
        <v>0</v>
      </c>
      <c r="BQ2286">
        <v>2289.7196261682229</v>
      </c>
      <c r="BR2286" t="s">
        <v>58</v>
      </c>
    </row>
    <row r="2287" spans="1:70" x14ac:dyDescent="0.3">
      <c r="A2287" t="s">
        <v>798</v>
      </c>
      <c r="B2287">
        <v>4132301772</v>
      </c>
      <c r="C2287" t="s">
        <v>689</v>
      </c>
      <c r="D2287" t="s">
        <v>938</v>
      </c>
      <c r="E2287" t="s">
        <v>442</v>
      </c>
      <c r="F2287" t="s">
        <v>430</v>
      </c>
      <c r="G2287" t="s">
        <v>230</v>
      </c>
      <c r="H2287" t="s">
        <v>231</v>
      </c>
      <c r="J2287" t="s">
        <v>52</v>
      </c>
      <c r="K2287" s="15">
        <v>1000</v>
      </c>
      <c r="M2287">
        <v>45352</v>
      </c>
      <c r="N2287" t="s">
        <v>1013</v>
      </c>
      <c r="O2287">
        <v>0</v>
      </c>
      <c r="P2287">
        <v>24210.628346854272</v>
      </c>
      <c r="Q2287">
        <v>0</v>
      </c>
      <c r="R2287">
        <v>0</v>
      </c>
      <c r="S2287">
        <v>564880.79</v>
      </c>
      <c r="T2287">
        <v>38152.683787986658</v>
      </c>
      <c r="U2287">
        <v>56074.766355140186</v>
      </c>
      <c r="V2287">
        <v>0</v>
      </c>
      <c r="W2287">
        <v>747663.55140186916</v>
      </c>
      <c r="X2287">
        <v>0</v>
      </c>
      <c r="Y2287">
        <v>1430982.4198918501</v>
      </c>
      <c r="Z2287">
        <v>58932.370108149727</v>
      </c>
      <c r="AA2287">
        <v>1489914.7899999998</v>
      </c>
      <c r="AB2287" t="s">
        <v>242</v>
      </c>
      <c r="AC2287">
        <v>2</v>
      </c>
      <c r="AD2287">
        <v>2000</v>
      </c>
      <c r="AE2287">
        <v>0</v>
      </c>
      <c r="AF2287">
        <v>0</v>
      </c>
      <c r="AG2287">
        <v>76.975686242802681</v>
      </c>
      <c r="AH2287" t="s">
        <v>58</v>
      </c>
      <c r="AK2287" t="s">
        <v>798</v>
      </c>
      <c r="AL2287">
        <v>4142300793</v>
      </c>
      <c r="AM2287">
        <v>10386799</v>
      </c>
      <c r="AN2287" t="s">
        <v>742</v>
      </c>
      <c r="AO2287" t="s">
        <v>445</v>
      </c>
      <c r="AP2287" t="s">
        <v>430</v>
      </c>
      <c r="AQ2287" t="s">
        <v>230</v>
      </c>
      <c r="AR2287" t="s">
        <v>234</v>
      </c>
      <c r="AT2287" t="s">
        <v>52</v>
      </c>
      <c r="AU2287">
        <v>1000</v>
      </c>
      <c r="AW2287">
        <v>45352</v>
      </c>
      <c r="AX2287" t="s">
        <v>1013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425127.85981308413</v>
      </c>
      <c r="BI2287">
        <v>425127.85981308413</v>
      </c>
      <c r="BJ2287">
        <v>29758.950186915892</v>
      </c>
      <c r="BK2287">
        <v>454886.81</v>
      </c>
      <c r="BL2287" t="s">
        <v>242</v>
      </c>
      <c r="BM2287">
        <v>2</v>
      </c>
      <c r="BN2287">
        <v>6000</v>
      </c>
      <c r="BO2287">
        <v>0</v>
      </c>
      <c r="BP2287">
        <v>0</v>
      </c>
      <c r="BQ2287">
        <v>392.52336448598112</v>
      </c>
      <c r="BR2287" t="s">
        <v>58</v>
      </c>
    </row>
    <row r="2288" spans="1:70" x14ac:dyDescent="0.3">
      <c r="A2288" t="s">
        <v>798</v>
      </c>
      <c r="B2288">
        <v>4132301981</v>
      </c>
      <c r="C2288" t="s">
        <v>101</v>
      </c>
      <c r="D2288" t="s">
        <v>930</v>
      </c>
      <c r="E2288" t="s">
        <v>442</v>
      </c>
      <c r="F2288" t="s">
        <v>430</v>
      </c>
      <c r="G2288" t="s">
        <v>230</v>
      </c>
      <c r="H2288" t="s">
        <v>231</v>
      </c>
      <c r="J2288" t="s">
        <v>52</v>
      </c>
      <c r="K2288" s="15">
        <v>2000</v>
      </c>
      <c r="M2288">
        <v>45352</v>
      </c>
      <c r="N2288" t="s">
        <v>1013</v>
      </c>
      <c r="O2288">
        <v>0</v>
      </c>
      <c r="P2288">
        <v>20703.920725741384</v>
      </c>
      <c r="Q2288">
        <v>0</v>
      </c>
      <c r="R2288">
        <v>0</v>
      </c>
      <c r="S2288">
        <v>23352.81</v>
      </c>
      <c r="T2288">
        <v>9015.0273591202058</v>
      </c>
      <c r="U2288">
        <v>78504.672897196258</v>
      </c>
      <c r="V2288">
        <v>0</v>
      </c>
      <c r="W2288">
        <v>619149.53271028039</v>
      </c>
      <c r="X2288">
        <v>0</v>
      </c>
      <c r="Y2288">
        <v>750725.96369233821</v>
      </c>
      <c r="Z2288">
        <v>49466.846307661785</v>
      </c>
      <c r="AA2288">
        <v>800192.80999999994</v>
      </c>
      <c r="AB2288" t="s">
        <v>242</v>
      </c>
      <c r="AC2288">
        <v>4</v>
      </c>
      <c r="AD2288">
        <v>28000</v>
      </c>
      <c r="AE2288">
        <v>0</v>
      </c>
      <c r="AF2288">
        <v>0</v>
      </c>
      <c r="AG2288">
        <v>1724.0882717774757</v>
      </c>
      <c r="AH2288" t="s">
        <v>58</v>
      </c>
      <c r="AK2288" t="s">
        <v>798</v>
      </c>
      <c r="AL2288">
        <v>4142300798</v>
      </c>
      <c r="AM2288">
        <v>10364170</v>
      </c>
      <c r="AN2288" t="s">
        <v>210</v>
      </c>
      <c r="AO2288" t="s">
        <v>445</v>
      </c>
      <c r="AP2288" t="s">
        <v>430</v>
      </c>
      <c r="AQ2288" t="s">
        <v>230</v>
      </c>
      <c r="AR2288" t="s">
        <v>234</v>
      </c>
      <c r="AT2288" t="s">
        <v>52</v>
      </c>
      <c r="AU2288">
        <v>10000</v>
      </c>
      <c r="AW2288">
        <v>45352</v>
      </c>
      <c r="AX2288" t="s">
        <v>1013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728230.85289975686</v>
      </c>
      <c r="BI2288">
        <v>728230.85289975686</v>
      </c>
      <c r="BJ2288">
        <v>50976.159702982986</v>
      </c>
      <c r="BK2288">
        <v>779207.01260273985</v>
      </c>
      <c r="BL2288" t="s">
        <v>242</v>
      </c>
      <c r="BM2288">
        <v>6</v>
      </c>
      <c r="BN2288">
        <v>192000</v>
      </c>
      <c r="BO2288">
        <v>0</v>
      </c>
      <c r="BP2288">
        <v>0</v>
      </c>
      <c r="BQ2288">
        <v>12560.747663551407</v>
      </c>
      <c r="BR2288" t="s">
        <v>58</v>
      </c>
    </row>
    <row r="2289" spans="1:70" x14ac:dyDescent="0.3">
      <c r="A2289" t="s">
        <v>798</v>
      </c>
      <c r="B2289">
        <v>4142300044</v>
      </c>
      <c r="C2289">
        <v>120810</v>
      </c>
      <c r="D2289" t="s">
        <v>955</v>
      </c>
      <c r="E2289" t="s">
        <v>444</v>
      </c>
      <c r="F2289" t="s">
        <v>430</v>
      </c>
      <c r="G2289" t="s">
        <v>233</v>
      </c>
      <c r="H2289" t="s">
        <v>231</v>
      </c>
      <c r="J2289" t="s">
        <v>52</v>
      </c>
      <c r="K2289" s="15">
        <v>1637</v>
      </c>
      <c r="M2289">
        <v>45352</v>
      </c>
      <c r="N2289" t="s">
        <v>1013</v>
      </c>
      <c r="O2289">
        <v>0</v>
      </c>
      <c r="P2289">
        <v>0</v>
      </c>
      <c r="Q2289">
        <v>11315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11315</v>
      </c>
      <c r="Z2289">
        <v>0</v>
      </c>
      <c r="AA2289">
        <v>11315</v>
      </c>
      <c r="AB2289" t="s">
        <v>242</v>
      </c>
      <c r="AC2289">
        <v>7</v>
      </c>
      <c r="AD2289">
        <v>14685</v>
      </c>
      <c r="AE2289">
        <v>0</v>
      </c>
      <c r="AF2289">
        <v>0</v>
      </c>
      <c r="AG2289">
        <v>0</v>
      </c>
      <c r="AH2289" t="s">
        <v>58</v>
      </c>
      <c r="AK2289" t="s">
        <v>798</v>
      </c>
      <c r="AL2289">
        <v>4142300833</v>
      </c>
      <c r="AM2289">
        <v>10386254</v>
      </c>
      <c r="AN2289" t="s">
        <v>743</v>
      </c>
      <c r="AO2289" t="s">
        <v>445</v>
      </c>
      <c r="AP2289" t="s">
        <v>430</v>
      </c>
      <c r="AQ2289" t="s">
        <v>230</v>
      </c>
      <c r="AR2289" t="s">
        <v>234</v>
      </c>
      <c r="AT2289" t="s">
        <v>52</v>
      </c>
      <c r="AU2289">
        <v>4000</v>
      </c>
      <c r="AW2289">
        <v>45352</v>
      </c>
      <c r="AX2289" t="s">
        <v>1029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409212.39252336451</v>
      </c>
      <c r="BI2289">
        <v>409212.39252336451</v>
      </c>
      <c r="BJ2289">
        <v>28644.867476635518</v>
      </c>
      <c r="BK2289">
        <v>437857.26</v>
      </c>
      <c r="BL2289" t="s">
        <v>242</v>
      </c>
      <c r="BM2289">
        <v>3</v>
      </c>
      <c r="BN2289">
        <v>14000</v>
      </c>
      <c r="BO2289">
        <v>0</v>
      </c>
      <c r="BP2289">
        <v>0</v>
      </c>
      <c r="BQ2289">
        <v>915.88785046728935</v>
      </c>
      <c r="BR2289" t="s">
        <v>58</v>
      </c>
    </row>
    <row r="2290" spans="1:70" x14ac:dyDescent="0.3">
      <c r="A2290" t="s">
        <v>798</v>
      </c>
      <c r="B2290">
        <v>4142300107</v>
      </c>
      <c r="C2290">
        <v>96093</v>
      </c>
      <c r="D2290" t="s">
        <v>931</v>
      </c>
      <c r="E2290" t="s">
        <v>444</v>
      </c>
      <c r="F2290" t="s">
        <v>430</v>
      </c>
      <c r="G2290" t="s">
        <v>230</v>
      </c>
      <c r="H2290" t="s">
        <v>231</v>
      </c>
      <c r="J2290" t="s">
        <v>52</v>
      </c>
      <c r="K2290" s="15">
        <v>32000</v>
      </c>
      <c r="M2290">
        <v>45352</v>
      </c>
      <c r="N2290" t="s">
        <v>1013</v>
      </c>
      <c r="O2290">
        <v>0</v>
      </c>
      <c r="P2290">
        <v>1383.7962230059097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56058.134371022526</v>
      </c>
      <c r="X2290">
        <v>0</v>
      </c>
      <c r="Y2290">
        <v>57441.930594028439</v>
      </c>
      <c r="Z2290">
        <v>3924.0694059715775</v>
      </c>
      <c r="AA2290">
        <v>61366.000000000015</v>
      </c>
      <c r="AB2290" t="s">
        <v>242</v>
      </c>
      <c r="AC2290">
        <v>4</v>
      </c>
      <c r="AD2290">
        <v>176320</v>
      </c>
      <c r="AE2290">
        <v>0</v>
      </c>
      <c r="AF2290">
        <v>0</v>
      </c>
      <c r="AG2290">
        <v>11232.958631411606</v>
      </c>
      <c r="AH2290" t="s">
        <v>58</v>
      </c>
      <c r="AK2290" t="s">
        <v>798</v>
      </c>
      <c r="AL2290">
        <v>4142300910</v>
      </c>
      <c r="AM2290">
        <v>10429299</v>
      </c>
      <c r="AN2290" t="s">
        <v>213</v>
      </c>
      <c r="AO2290" t="s">
        <v>445</v>
      </c>
      <c r="AP2290" t="s">
        <v>430</v>
      </c>
      <c r="AQ2290" t="s">
        <v>230</v>
      </c>
      <c r="AR2290" t="s">
        <v>234</v>
      </c>
      <c r="AT2290" t="s">
        <v>52</v>
      </c>
      <c r="AU2290">
        <v>5000</v>
      </c>
      <c r="AW2290">
        <v>45352</v>
      </c>
      <c r="AX2290" t="s">
        <v>1013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770994.20560747664</v>
      </c>
      <c r="BI2290">
        <v>770994.20560747664</v>
      </c>
      <c r="BJ2290">
        <v>53969.594392523373</v>
      </c>
      <c r="BK2290">
        <v>824963.8</v>
      </c>
      <c r="BL2290" t="s">
        <v>242</v>
      </c>
      <c r="BM2290">
        <v>2</v>
      </c>
      <c r="BN2290">
        <v>15000</v>
      </c>
      <c r="BO2290">
        <v>0</v>
      </c>
      <c r="BP2290">
        <v>0</v>
      </c>
      <c r="BQ2290">
        <v>981.30841121495268</v>
      </c>
      <c r="BR2290" t="s">
        <v>58</v>
      </c>
    </row>
    <row r="2291" spans="1:70" x14ac:dyDescent="0.3">
      <c r="A2291" t="s">
        <v>798</v>
      </c>
      <c r="B2291">
        <v>4142300150</v>
      </c>
      <c r="C2291">
        <v>10035856</v>
      </c>
      <c r="D2291" t="s">
        <v>740</v>
      </c>
      <c r="E2291" t="s">
        <v>445</v>
      </c>
      <c r="F2291" t="s">
        <v>430</v>
      </c>
      <c r="G2291" t="s">
        <v>230</v>
      </c>
      <c r="H2291" t="s">
        <v>234</v>
      </c>
      <c r="J2291" t="s">
        <v>52</v>
      </c>
      <c r="K2291" s="15">
        <v>3000</v>
      </c>
      <c r="M2291">
        <v>45352</v>
      </c>
      <c r="N2291" t="s">
        <v>1013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324674.38893867622</v>
      </c>
      <c r="Y2291">
        <v>324674.38893867622</v>
      </c>
      <c r="Z2291">
        <v>22727.207225707338</v>
      </c>
      <c r="AA2291">
        <v>347401.59616438358</v>
      </c>
      <c r="AB2291" t="s">
        <v>242</v>
      </c>
      <c r="AC2291">
        <v>1</v>
      </c>
      <c r="AD2291">
        <v>3000</v>
      </c>
      <c r="AE2291">
        <v>0</v>
      </c>
      <c r="AF2291">
        <v>0</v>
      </c>
      <c r="AG2291">
        <v>196.2616822429909</v>
      </c>
      <c r="AH2291" t="s">
        <v>72</v>
      </c>
      <c r="AK2291" t="s">
        <v>798</v>
      </c>
      <c r="AL2291">
        <v>4142301002</v>
      </c>
      <c r="AM2291">
        <v>10496402</v>
      </c>
      <c r="AN2291" t="s">
        <v>744</v>
      </c>
      <c r="AO2291" t="s">
        <v>445</v>
      </c>
      <c r="AP2291" t="s">
        <v>430</v>
      </c>
      <c r="AQ2291" t="s">
        <v>230</v>
      </c>
      <c r="AR2291" t="s">
        <v>234</v>
      </c>
      <c r="AT2291" t="s">
        <v>52</v>
      </c>
      <c r="AU2291">
        <v>12000</v>
      </c>
      <c r="AW2291">
        <v>45352</v>
      </c>
      <c r="AX2291" t="s">
        <v>1029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616626.03738317755</v>
      </c>
      <c r="BI2291">
        <v>616626.03738317755</v>
      </c>
      <c r="BJ2291">
        <v>43163.822616822436</v>
      </c>
      <c r="BK2291">
        <v>659789.86</v>
      </c>
      <c r="BL2291" t="s">
        <v>242</v>
      </c>
      <c r="BM2291">
        <v>1</v>
      </c>
      <c r="BN2291">
        <v>12000</v>
      </c>
      <c r="BO2291">
        <v>0</v>
      </c>
      <c r="BP2291">
        <v>0</v>
      </c>
      <c r="BQ2291">
        <v>785.0467289719636</v>
      </c>
      <c r="BR2291" t="s">
        <v>72</v>
      </c>
    </row>
    <row r="2292" spans="1:70" x14ac:dyDescent="0.3">
      <c r="A2292" t="s">
        <v>798</v>
      </c>
      <c r="B2292">
        <v>4142300160</v>
      </c>
      <c r="C2292">
        <v>10044677</v>
      </c>
      <c r="D2292" t="s">
        <v>190</v>
      </c>
      <c r="E2292" t="s">
        <v>445</v>
      </c>
      <c r="F2292" t="s">
        <v>430</v>
      </c>
      <c r="G2292" t="s">
        <v>230</v>
      </c>
      <c r="H2292" t="s">
        <v>234</v>
      </c>
      <c r="J2292" t="s">
        <v>52</v>
      </c>
      <c r="K2292" s="15">
        <v>700</v>
      </c>
      <c r="M2292">
        <v>45352</v>
      </c>
      <c r="N2292" t="s">
        <v>1013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32865.056074766369</v>
      </c>
      <c r="Y2292">
        <v>32865.056074766369</v>
      </c>
      <c r="Z2292">
        <v>2300.5539252336462</v>
      </c>
      <c r="AA2292">
        <v>35165.610000000015</v>
      </c>
      <c r="AB2292" t="s">
        <v>242</v>
      </c>
      <c r="AC2292">
        <v>10</v>
      </c>
      <c r="AD2292">
        <v>51700</v>
      </c>
      <c r="AE2292">
        <v>0</v>
      </c>
      <c r="AF2292">
        <v>0</v>
      </c>
      <c r="AG2292">
        <v>3382.242990654207</v>
      </c>
      <c r="AH2292" t="s">
        <v>58</v>
      </c>
      <c r="AK2292" t="s">
        <v>798</v>
      </c>
      <c r="AL2292">
        <v>4142301400</v>
      </c>
      <c r="AM2292">
        <v>10447242</v>
      </c>
      <c r="AN2292" t="s">
        <v>755</v>
      </c>
      <c r="AO2292" t="s">
        <v>446</v>
      </c>
      <c r="AP2292" t="s">
        <v>430</v>
      </c>
      <c r="AQ2292" t="s">
        <v>230</v>
      </c>
      <c r="AR2292" t="s">
        <v>234</v>
      </c>
      <c r="AT2292" t="s">
        <v>52</v>
      </c>
      <c r="AU2292">
        <v>4000</v>
      </c>
      <c r="AW2292">
        <v>45352</v>
      </c>
      <c r="AX2292" t="s">
        <v>1013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200214.70093457945</v>
      </c>
      <c r="BI2292">
        <v>200214.70093457945</v>
      </c>
      <c r="BJ2292">
        <v>14015.029065420564</v>
      </c>
      <c r="BK2292">
        <v>214229.73</v>
      </c>
      <c r="BL2292" t="s">
        <v>242</v>
      </c>
      <c r="BM2292">
        <v>2</v>
      </c>
      <c r="BN2292">
        <v>7000</v>
      </c>
      <c r="BO2292">
        <v>0</v>
      </c>
      <c r="BP2292">
        <v>0</v>
      </c>
      <c r="BQ2292">
        <v>457.94392523364513</v>
      </c>
      <c r="BR2292" t="s">
        <v>58</v>
      </c>
    </row>
    <row r="2293" spans="1:70" x14ac:dyDescent="0.3">
      <c r="A2293" t="s">
        <v>798</v>
      </c>
      <c r="B2293">
        <v>4142300201</v>
      </c>
      <c r="C2293">
        <v>10077114</v>
      </c>
      <c r="D2293" t="s">
        <v>193</v>
      </c>
      <c r="E2293" t="s">
        <v>445</v>
      </c>
      <c r="F2293" t="s">
        <v>430</v>
      </c>
      <c r="G2293" t="s">
        <v>237</v>
      </c>
      <c r="H2293" t="s">
        <v>234</v>
      </c>
      <c r="J2293" t="s">
        <v>52</v>
      </c>
      <c r="K2293" s="15">
        <v>4000</v>
      </c>
      <c r="M2293">
        <v>45352</v>
      </c>
      <c r="N2293" t="s">
        <v>1029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32915.588785046733</v>
      </c>
      <c r="Y2293">
        <v>32915.588785046733</v>
      </c>
      <c r="Z2293">
        <v>2304.0912149532714</v>
      </c>
      <c r="AA2293">
        <v>35219.680000000008</v>
      </c>
      <c r="AB2293" t="s">
        <v>242</v>
      </c>
      <c r="AC2293">
        <v>4</v>
      </c>
      <c r="AD2293">
        <v>13000</v>
      </c>
      <c r="AE2293">
        <v>0</v>
      </c>
      <c r="AF2293">
        <v>0</v>
      </c>
      <c r="AG2293">
        <v>850.46728971962693</v>
      </c>
      <c r="AH2293" t="s">
        <v>58</v>
      </c>
      <c r="AK2293" t="s">
        <v>798</v>
      </c>
      <c r="AL2293">
        <v>4232300101</v>
      </c>
      <c r="AM2293">
        <v>129790</v>
      </c>
      <c r="AN2293" t="s">
        <v>764</v>
      </c>
      <c r="AO2293" t="s">
        <v>443</v>
      </c>
      <c r="AP2293" t="s">
        <v>431</v>
      </c>
      <c r="AQ2293" t="s">
        <v>230</v>
      </c>
      <c r="AR2293" t="s">
        <v>231</v>
      </c>
      <c r="AT2293" t="s">
        <v>52</v>
      </c>
      <c r="AU2293">
        <v>120000</v>
      </c>
      <c r="AW2293">
        <v>45352</v>
      </c>
      <c r="AX2293" t="s">
        <v>1029</v>
      </c>
      <c r="AY2293">
        <v>0</v>
      </c>
      <c r="AZ2293">
        <v>21407.761161210336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671202.09237270057</v>
      </c>
      <c r="BH2293">
        <v>0</v>
      </c>
      <c r="BI2293">
        <v>692609.85353391094</v>
      </c>
      <c r="BJ2293">
        <v>46984.146466089041</v>
      </c>
      <c r="BK2293">
        <v>739594</v>
      </c>
      <c r="BL2293" t="s">
        <v>242</v>
      </c>
      <c r="BM2293">
        <v>1</v>
      </c>
      <c r="BN2293">
        <v>120000</v>
      </c>
      <c r="BO2293">
        <v>0</v>
      </c>
      <c r="BP2293">
        <v>0</v>
      </c>
      <c r="BQ2293">
        <v>7605.1245619483379</v>
      </c>
      <c r="BR2293" t="s">
        <v>72</v>
      </c>
    </row>
    <row r="2294" spans="1:70" x14ac:dyDescent="0.3">
      <c r="A2294" t="s">
        <v>798</v>
      </c>
      <c r="B2294">
        <v>4142300315</v>
      </c>
      <c r="C2294">
        <v>10137121</v>
      </c>
      <c r="D2294" t="s">
        <v>197</v>
      </c>
      <c r="E2294" t="s">
        <v>445</v>
      </c>
      <c r="F2294" t="s">
        <v>430</v>
      </c>
      <c r="G2294" t="s">
        <v>230</v>
      </c>
      <c r="H2294" t="s">
        <v>234</v>
      </c>
      <c r="J2294" t="s">
        <v>52</v>
      </c>
      <c r="K2294" s="15">
        <v>100000</v>
      </c>
      <c r="M2294">
        <v>45352</v>
      </c>
      <c r="N2294" t="s">
        <v>1046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954621.77682242985</v>
      </c>
      <c r="Y2294">
        <v>954621.77682242985</v>
      </c>
      <c r="Z2294">
        <v>66823.524377570095</v>
      </c>
      <c r="AA2294">
        <v>1021445.3012</v>
      </c>
      <c r="AB2294" t="s">
        <v>242</v>
      </c>
      <c r="AC2294">
        <v>3</v>
      </c>
      <c r="AD2294">
        <v>140000</v>
      </c>
      <c r="AE2294">
        <v>0</v>
      </c>
      <c r="AF2294">
        <v>0</v>
      </c>
      <c r="AG2294">
        <v>9158.8785046728954</v>
      </c>
      <c r="AH2294" t="s">
        <v>58</v>
      </c>
      <c r="AK2294" t="s">
        <v>798</v>
      </c>
      <c r="AL2294">
        <v>4302300019</v>
      </c>
      <c r="AM2294">
        <v>901019008726</v>
      </c>
      <c r="AN2294" t="s">
        <v>224</v>
      </c>
      <c r="AO2294" t="s">
        <v>447</v>
      </c>
      <c r="AP2294" t="s">
        <v>433</v>
      </c>
      <c r="AQ2294" t="s">
        <v>82</v>
      </c>
      <c r="AR2294" t="s">
        <v>83</v>
      </c>
      <c r="AT2294" t="s">
        <v>52</v>
      </c>
      <c r="AU2294">
        <v>10000</v>
      </c>
      <c r="AW2294">
        <v>45352</v>
      </c>
      <c r="AX2294" t="s">
        <v>1013</v>
      </c>
      <c r="AY2294">
        <v>0</v>
      </c>
      <c r="AZ2294">
        <v>0</v>
      </c>
      <c r="BA2294">
        <v>27442.843544152445</v>
      </c>
      <c r="BB2294">
        <v>1621.7399999999998</v>
      </c>
      <c r="BC2294">
        <v>0</v>
      </c>
      <c r="BD2294">
        <v>0</v>
      </c>
      <c r="BE2294">
        <v>0</v>
      </c>
      <c r="BF2294">
        <v>440246.46435125935</v>
      </c>
      <c r="BG2294">
        <v>0</v>
      </c>
      <c r="BH2294">
        <v>0</v>
      </c>
      <c r="BI2294">
        <v>469311.04789541179</v>
      </c>
      <c r="BJ2294">
        <v>30817.252504588156</v>
      </c>
      <c r="BK2294">
        <v>500128.30039999995</v>
      </c>
      <c r="BL2294" t="s">
        <v>242</v>
      </c>
      <c r="BM2294">
        <v>3</v>
      </c>
      <c r="BN2294">
        <v>110000</v>
      </c>
      <c r="BO2294">
        <v>0</v>
      </c>
      <c r="BP2294">
        <v>0</v>
      </c>
      <c r="BQ2294">
        <v>6746.1978954118458</v>
      </c>
      <c r="BR2294" t="s">
        <v>58</v>
      </c>
    </row>
    <row r="2295" spans="1:70" x14ac:dyDescent="0.3">
      <c r="A2295" t="s">
        <v>798</v>
      </c>
      <c r="B2295">
        <v>4142300425</v>
      </c>
      <c r="C2295">
        <v>10188307</v>
      </c>
      <c r="D2295" t="s">
        <v>199</v>
      </c>
      <c r="E2295" t="s">
        <v>445</v>
      </c>
      <c r="F2295" t="s">
        <v>430</v>
      </c>
      <c r="G2295" t="s">
        <v>230</v>
      </c>
      <c r="H2295" t="s">
        <v>234</v>
      </c>
      <c r="J2295" t="s">
        <v>52</v>
      </c>
      <c r="K2295" s="15">
        <v>10000</v>
      </c>
      <c r="M2295">
        <v>45352</v>
      </c>
      <c r="N2295" t="s">
        <v>1029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251968.2523364487</v>
      </c>
      <c r="Y2295">
        <v>251968.2523364487</v>
      </c>
      <c r="Z2295">
        <v>17637.777663551409</v>
      </c>
      <c r="AA2295">
        <v>269606.03000000009</v>
      </c>
      <c r="AB2295" t="s">
        <v>242</v>
      </c>
      <c r="AC2295">
        <v>5</v>
      </c>
      <c r="AD2295">
        <v>71000</v>
      </c>
      <c r="AE2295">
        <v>0</v>
      </c>
      <c r="AF2295">
        <v>0</v>
      </c>
      <c r="AG2295">
        <v>4644.859813084111</v>
      </c>
      <c r="AH2295" t="s">
        <v>58</v>
      </c>
      <c r="AK2295" t="s">
        <v>798</v>
      </c>
      <c r="AL2295">
        <v>4302300042</v>
      </c>
      <c r="AM2295">
        <v>901012024750</v>
      </c>
      <c r="AN2295" t="s">
        <v>227</v>
      </c>
      <c r="AO2295" t="s">
        <v>447</v>
      </c>
      <c r="AP2295" t="s">
        <v>433</v>
      </c>
      <c r="AQ2295" t="s">
        <v>82</v>
      </c>
      <c r="AR2295" t="s">
        <v>83</v>
      </c>
      <c r="AT2295" t="s">
        <v>52</v>
      </c>
      <c r="AU2295">
        <v>200</v>
      </c>
      <c r="AW2295">
        <v>45352</v>
      </c>
      <c r="AX2295" t="s">
        <v>1013</v>
      </c>
      <c r="AY2295">
        <v>0</v>
      </c>
      <c r="AZ2295">
        <v>0</v>
      </c>
      <c r="BA2295">
        <v>38043.395767321308</v>
      </c>
      <c r="BB2295">
        <v>37265.26</v>
      </c>
      <c r="BC2295">
        <v>93987.026852970725</v>
      </c>
      <c r="BD2295">
        <v>0</v>
      </c>
      <c r="BE2295">
        <v>0</v>
      </c>
      <c r="BF2295">
        <v>553789.81999999995</v>
      </c>
      <c r="BG2295">
        <v>0</v>
      </c>
      <c r="BH2295">
        <v>0</v>
      </c>
      <c r="BI2295">
        <v>723085.50262029201</v>
      </c>
      <c r="BJ2295">
        <v>45344.379279707951</v>
      </c>
      <c r="BK2295">
        <v>768429.88189999992</v>
      </c>
      <c r="BL2295" t="s">
        <v>242</v>
      </c>
      <c r="BM2295">
        <v>3</v>
      </c>
      <c r="BN2295">
        <v>4200</v>
      </c>
      <c r="BO2295">
        <v>0</v>
      </c>
      <c r="BP2295">
        <v>0</v>
      </c>
      <c r="BQ2295">
        <v>246.14262029204866</v>
      </c>
      <c r="BR2295" t="s">
        <v>58</v>
      </c>
    </row>
    <row r="2296" spans="1:70" x14ac:dyDescent="0.3">
      <c r="A2296" t="s">
        <v>798</v>
      </c>
      <c r="B2296">
        <v>4142300720</v>
      </c>
      <c r="C2296">
        <v>10326408</v>
      </c>
      <c r="D2296" t="s">
        <v>205</v>
      </c>
      <c r="E2296" t="s">
        <v>445</v>
      </c>
      <c r="F2296" t="s">
        <v>430</v>
      </c>
      <c r="G2296" t="s">
        <v>230</v>
      </c>
      <c r="H2296" t="s">
        <v>234</v>
      </c>
      <c r="J2296" t="s">
        <v>52</v>
      </c>
      <c r="K2296" s="15">
        <v>5000</v>
      </c>
      <c r="M2296">
        <v>45352</v>
      </c>
      <c r="N2296" t="s">
        <v>1013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497021.1214953271</v>
      </c>
      <c r="Y2296">
        <v>497021.1214953271</v>
      </c>
      <c r="Z2296">
        <v>34791.478504672901</v>
      </c>
      <c r="AA2296">
        <v>531812.6</v>
      </c>
      <c r="AB2296" t="s">
        <v>242</v>
      </c>
      <c r="AC2296">
        <v>7</v>
      </c>
      <c r="AD2296">
        <v>35000</v>
      </c>
      <c r="AE2296">
        <v>0</v>
      </c>
      <c r="AF2296">
        <v>0</v>
      </c>
      <c r="AG2296">
        <v>2289.7196261682229</v>
      </c>
      <c r="AH2296" t="s">
        <v>58</v>
      </c>
      <c r="AK2296" t="s">
        <v>798</v>
      </c>
      <c r="AL2296">
        <v>4302300043</v>
      </c>
      <c r="AM2296">
        <v>901012030332</v>
      </c>
      <c r="AN2296" t="s">
        <v>227</v>
      </c>
      <c r="AO2296" t="s">
        <v>447</v>
      </c>
      <c r="AP2296" t="s">
        <v>433</v>
      </c>
      <c r="AQ2296" t="s">
        <v>82</v>
      </c>
      <c r="AR2296" t="s">
        <v>83</v>
      </c>
      <c r="AT2296" t="s">
        <v>52</v>
      </c>
      <c r="AU2296">
        <v>200</v>
      </c>
      <c r="AW2296">
        <v>45352</v>
      </c>
      <c r="AX2296" t="s">
        <v>1013</v>
      </c>
      <c r="AY2296">
        <v>0</v>
      </c>
      <c r="AZ2296">
        <v>0</v>
      </c>
      <c r="BA2296">
        <v>48232.237611584889</v>
      </c>
      <c r="BB2296">
        <v>41417.75</v>
      </c>
      <c r="BC2296">
        <v>103405.56606393936</v>
      </c>
      <c r="BD2296">
        <v>0</v>
      </c>
      <c r="BE2296">
        <v>0</v>
      </c>
      <c r="BF2296">
        <v>706553.99</v>
      </c>
      <c r="BG2296">
        <v>0</v>
      </c>
      <c r="BH2296">
        <v>0</v>
      </c>
      <c r="BI2296">
        <v>899609.54367552418</v>
      </c>
      <c r="BJ2296">
        <v>56697.168924475758</v>
      </c>
      <c r="BK2296">
        <v>956306.71259999997</v>
      </c>
      <c r="BL2296" t="s">
        <v>242</v>
      </c>
      <c r="BM2296">
        <v>4</v>
      </c>
      <c r="BN2296">
        <v>11200</v>
      </c>
      <c r="BO2296">
        <v>0</v>
      </c>
      <c r="BP2296">
        <v>0</v>
      </c>
      <c r="BQ2296">
        <v>659.6536755242447</v>
      </c>
      <c r="BR2296" t="s">
        <v>58</v>
      </c>
    </row>
    <row r="2297" spans="1:70" x14ac:dyDescent="0.3">
      <c r="A2297" t="s">
        <v>798</v>
      </c>
      <c r="B2297">
        <v>4142300793</v>
      </c>
      <c r="C2297">
        <v>10386799</v>
      </c>
      <c r="D2297" t="s">
        <v>742</v>
      </c>
      <c r="E2297" t="s">
        <v>445</v>
      </c>
      <c r="F2297" t="s">
        <v>430</v>
      </c>
      <c r="G2297" t="s">
        <v>230</v>
      </c>
      <c r="H2297" t="s">
        <v>234</v>
      </c>
      <c r="J2297" t="s">
        <v>52</v>
      </c>
      <c r="K2297" s="15">
        <v>1000</v>
      </c>
      <c r="M2297">
        <v>45352</v>
      </c>
      <c r="N2297" t="s">
        <v>1013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425127.85981308413</v>
      </c>
      <c r="Y2297">
        <v>425127.85981308413</v>
      </c>
      <c r="Z2297">
        <v>29758.950186915892</v>
      </c>
      <c r="AA2297">
        <v>454886.81</v>
      </c>
      <c r="AB2297" t="s">
        <v>242</v>
      </c>
      <c r="AC2297">
        <v>2</v>
      </c>
      <c r="AD2297">
        <v>6000</v>
      </c>
      <c r="AE2297">
        <v>0</v>
      </c>
      <c r="AF2297">
        <v>0</v>
      </c>
      <c r="AG2297">
        <v>392.52336448598112</v>
      </c>
      <c r="AH2297" t="s">
        <v>58</v>
      </c>
      <c r="AK2297" t="s">
        <v>798</v>
      </c>
      <c r="AL2297">
        <v>4302300044</v>
      </c>
      <c r="AM2297">
        <v>901012030496</v>
      </c>
      <c r="AN2297" t="s">
        <v>227</v>
      </c>
      <c r="AO2297" t="s">
        <v>447</v>
      </c>
      <c r="AP2297" t="s">
        <v>433</v>
      </c>
      <c r="AQ2297" t="s">
        <v>82</v>
      </c>
      <c r="AR2297" t="s">
        <v>83</v>
      </c>
      <c r="AT2297" t="s">
        <v>52</v>
      </c>
      <c r="AU2297">
        <v>200</v>
      </c>
      <c r="AW2297">
        <v>45352</v>
      </c>
      <c r="AX2297" t="s">
        <v>1013</v>
      </c>
      <c r="AY2297">
        <v>0</v>
      </c>
      <c r="AZ2297">
        <v>0</v>
      </c>
      <c r="BA2297">
        <v>50185.776107414669</v>
      </c>
      <c r="BB2297">
        <v>42434.2</v>
      </c>
      <c r="BC2297">
        <v>115353.94989961245</v>
      </c>
      <c r="BD2297">
        <v>0</v>
      </c>
      <c r="BE2297">
        <v>0</v>
      </c>
      <c r="BF2297">
        <v>725754.44</v>
      </c>
      <c r="BG2297">
        <v>0</v>
      </c>
      <c r="BH2297">
        <v>0</v>
      </c>
      <c r="BI2297">
        <v>933728.36600702698</v>
      </c>
      <c r="BJ2297">
        <v>58877.587292972872</v>
      </c>
      <c r="BK2297">
        <v>992605.95329999982</v>
      </c>
      <c r="BL2297" t="s">
        <v>242</v>
      </c>
      <c r="BM2297">
        <v>3</v>
      </c>
      <c r="BN2297">
        <v>4200</v>
      </c>
      <c r="BO2297">
        <v>0</v>
      </c>
      <c r="BP2297">
        <v>0</v>
      </c>
      <c r="BQ2297">
        <v>247.50600702712816</v>
      </c>
      <c r="BR2297" t="s">
        <v>58</v>
      </c>
    </row>
    <row r="2298" spans="1:70" x14ac:dyDescent="0.3">
      <c r="A2298" t="s">
        <v>798</v>
      </c>
      <c r="B2298">
        <v>4142300798</v>
      </c>
      <c r="C2298">
        <v>10364170</v>
      </c>
      <c r="D2298" t="s">
        <v>210</v>
      </c>
      <c r="E2298" t="s">
        <v>445</v>
      </c>
      <c r="F2298" t="s">
        <v>430</v>
      </c>
      <c r="G2298" t="s">
        <v>230</v>
      </c>
      <c r="H2298" t="s">
        <v>234</v>
      </c>
      <c r="J2298" t="s">
        <v>52</v>
      </c>
      <c r="K2298" s="15">
        <v>10000</v>
      </c>
      <c r="M2298">
        <v>45352</v>
      </c>
      <c r="N2298" t="s">
        <v>1013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728230.85289975686</v>
      </c>
      <c r="Y2298">
        <v>728230.85289975686</v>
      </c>
      <c r="Z2298">
        <v>50976.159702982986</v>
      </c>
      <c r="AA2298">
        <v>779207.01260273985</v>
      </c>
      <c r="AB2298" t="s">
        <v>242</v>
      </c>
      <c r="AC2298">
        <v>6</v>
      </c>
      <c r="AD2298">
        <v>192000</v>
      </c>
      <c r="AE2298">
        <v>0</v>
      </c>
      <c r="AF2298">
        <v>0</v>
      </c>
      <c r="AG2298">
        <v>12560.747663551407</v>
      </c>
      <c r="AH2298" t="s">
        <v>58</v>
      </c>
      <c r="AK2298" t="s">
        <v>798</v>
      </c>
      <c r="AL2298">
        <v>4302300045</v>
      </c>
      <c r="AM2298">
        <v>901012030501</v>
      </c>
      <c r="AN2298" t="s">
        <v>227</v>
      </c>
      <c r="AO2298" t="s">
        <v>447</v>
      </c>
      <c r="AP2298" t="s">
        <v>433</v>
      </c>
      <c r="AQ2298" t="s">
        <v>82</v>
      </c>
      <c r="AR2298" t="s">
        <v>83</v>
      </c>
      <c r="AT2298" t="s">
        <v>52</v>
      </c>
      <c r="AU2298">
        <v>200</v>
      </c>
      <c r="AW2298">
        <v>45352</v>
      </c>
      <c r="AX2298" t="s">
        <v>1013</v>
      </c>
      <c r="AY2298">
        <v>0</v>
      </c>
      <c r="AZ2298">
        <v>0</v>
      </c>
      <c r="BA2298">
        <v>49833.0118927476</v>
      </c>
      <c r="BB2298">
        <v>42537.96</v>
      </c>
      <c r="BC2298">
        <v>115520.42767032936</v>
      </c>
      <c r="BD2298">
        <v>0</v>
      </c>
      <c r="BE2298">
        <v>0</v>
      </c>
      <c r="BF2298">
        <v>727221.82</v>
      </c>
      <c r="BG2298">
        <v>0</v>
      </c>
      <c r="BH2298">
        <v>0</v>
      </c>
      <c r="BI2298">
        <v>935113.21956307697</v>
      </c>
      <c r="BJ2298">
        <v>58991.957336923057</v>
      </c>
      <c r="BK2298">
        <v>994105.17690000008</v>
      </c>
      <c r="BL2298" t="s">
        <v>242</v>
      </c>
      <c r="BM2298">
        <v>3</v>
      </c>
      <c r="BN2298">
        <v>4200</v>
      </c>
      <c r="BO2298">
        <v>0</v>
      </c>
      <c r="BP2298">
        <v>0</v>
      </c>
      <c r="BQ2298">
        <v>247.6195630769453</v>
      </c>
      <c r="BR2298" t="s">
        <v>58</v>
      </c>
    </row>
    <row r="2299" spans="1:70" x14ac:dyDescent="0.3">
      <c r="A2299" t="s">
        <v>798</v>
      </c>
      <c r="B2299">
        <v>4142300833</v>
      </c>
      <c r="C2299">
        <v>10386254</v>
      </c>
      <c r="D2299" t="s">
        <v>743</v>
      </c>
      <c r="E2299" t="s">
        <v>445</v>
      </c>
      <c r="F2299" t="s">
        <v>430</v>
      </c>
      <c r="G2299" t="s">
        <v>230</v>
      </c>
      <c r="H2299" t="s">
        <v>234</v>
      </c>
      <c r="J2299" t="s">
        <v>52</v>
      </c>
      <c r="K2299" s="15">
        <v>4000</v>
      </c>
      <c r="M2299">
        <v>45352</v>
      </c>
      <c r="N2299" t="s">
        <v>1029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409212.39252336451</v>
      </c>
      <c r="Y2299">
        <v>409212.39252336451</v>
      </c>
      <c r="Z2299">
        <v>28644.867476635518</v>
      </c>
      <c r="AA2299">
        <v>437857.26</v>
      </c>
      <c r="AB2299" t="s">
        <v>242</v>
      </c>
      <c r="AC2299">
        <v>3</v>
      </c>
      <c r="AD2299">
        <v>14000</v>
      </c>
      <c r="AE2299">
        <v>0</v>
      </c>
      <c r="AF2299">
        <v>0</v>
      </c>
      <c r="AG2299">
        <v>915.88785046728935</v>
      </c>
      <c r="AH2299" t="s">
        <v>58</v>
      </c>
      <c r="AK2299" t="s">
        <v>798</v>
      </c>
      <c r="AL2299">
        <v>4302300046</v>
      </c>
      <c r="AM2299">
        <v>901012034713</v>
      </c>
      <c r="AN2299" t="s">
        <v>227</v>
      </c>
      <c r="AO2299" t="s">
        <v>447</v>
      </c>
      <c r="AP2299" t="s">
        <v>433</v>
      </c>
      <c r="AQ2299" t="s">
        <v>82</v>
      </c>
      <c r="AR2299" t="s">
        <v>83</v>
      </c>
      <c r="AT2299" t="s">
        <v>52</v>
      </c>
      <c r="AU2299">
        <v>200</v>
      </c>
      <c r="AW2299">
        <v>45352</v>
      </c>
      <c r="AX2299" t="s">
        <v>1013</v>
      </c>
      <c r="AY2299">
        <v>0</v>
      </c>
      <c r="AZ2299">
        <v>0</v>
      </c>
      <c r="BA2299">
        <v>51136.831476586056</v>
      </c>
      <c r="BB2299">
        <v>46050.97</v>
      </c>
      <c r="BC2299">
        <v>107189.41226487285</v>
      </c>
      <c r="BD2299">
        <v>0</v>
      </c>
      <c r="BE2299">
        <v>0</v>
      </c>
      <c r="BF2299">
        <v>750980.5</v>
      </c>
      <c r="BG2299">
        <v>0</v>
      </c>
      <c r="BH2299">
        <v>0</v>
      </c>
      <c r="BI2299">
        <v>955357.71374145895</v>
      </c>
      <c r="BJ2299">
        <v>60071.893858541102</v>
      </c>
      <c r="BK2299">
        <v>1015429.6076000001</v>
      </c>
      <c r="BL2299" t="s">
        <v>242</v>
      </c>
      <c r="BM2299">
        <v>4</v>
      </c>
      <c r="BN2299">
        <v>13200</v>
      </c>
      <c r="BO2299">
        <v>0</v>
      </c>
      <c r="BP2299">
        <v>0</v>
      </c>
      <c r="BQ2299">
        <v>775.6537414589011</v>
      </c>
      <c r="BR2299" t="s">
        <v>58</v>
      </c>
    </row>
    <row r="2300" spans="1:70" x14ac:dyDescent="0.3">
      <c r="A2300" t="s">
        <v>798</v>
      </c>
      <c r="B2300">
        <v>4142300910</v>
      </c>
      <c r="C2300">
        <v>10429299</v>
      </c>
      <c r="D2300" t="s">
        <v>213</v>
      </c>
      <c r="E2300" t="s">
        <v>445</v>
      </c>
      <c r="F2300" t="s">
        <v>430</v>
      </c>
      <c r="G2300" t="s">
        <v>230</v>
      </c>
      <c r="H2300" t="s">
        <v>234</v>
      </c>
      <c r="J2300" t="s">
        <v>52</v>
      </c>
      <c r="K2300" s="15">
        <v>5000</v>
      </c>
      <c r="M2300">
        <v>45352</v>
      </c>
      <c r="N2300" t="s">
        <v>1013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770994.20560747664</v>
      </c>
      <c r="Y2300">
        <v>770994.20560747664</v>
      </c>
      <c r="Z2300">
        <v>53969.594392523373</v>
      </c>
      <c r="AA2300">
        <v>824963.8</v>
      </c>
      <c r="AB2300" t="s">
        <v>242</v>
      </c>
      <c r="AC2300">
        <v>2</v>
      </c>
      <c r="AD2300">
        <v>15000</v>
      </c>
      <c r="AE2300">
        <v>0</v>
      </c>
      <c r="AF2300">
        <v>0</v>
      </c>
      <c r="AG2300">
        <v>981.30841121495268</v>
      </c>
      <c r="AH2300" t="s">
        <v>58</v>
      </c>
      <c r="AK2300" t="s">
        <v>798</v>
      </c>
      <c r="AL2300">
        <v>4302300047</v>
      </c>
      <c r="AM2300">
        <v>901012034728</v>
      </c>
      <c r="AN2300" t="s">
        <v>227</v>
      </c>
      <c r="AO2300" t="s">
        <v>447</v>
      </c>
      <c r="AP2300" t="s">
        <v>433</v>
      </c>
      <c r="AQ2300" t="s">
        <v>82</v>
      </c>
      <c r="AR2300" t="s">
        <v>83</v>
      </c>
      <c r="AT2300" t="s">
        <v>52</v>
      </c>
      <c r="AU2300">
        <v>200</v>
      </c>
      <c r="AW2300">
        <v>45352</v>
      </c>
      <c r="AX2300" t="s">
        <v>1013</v>
      </c>
      <c r="AY2300">
        <v>0</v>
      </c>
      <c r="AZ2300">
        <v>0</v>
      </c>
      <c r="BA2300">
        <v>50681.411283789894</v>
      </c>
      <c r="BB2300">
        <v>45094.06</v>
      </c>
      <c r="BC2300">
        <v>106440.31151047673</v>
      </c>
      <c r="BD2300">
        <v>0</v>
      </c>
      <c r="BE2300">
        <v>0</v>
      </c>
      <c r="BF2300">
        <v>745073.02</v>
      </c>
      <c r="BG2300">
        <v>0</v>
      </c>
      <c r="BH2300">
        <v>0</v>
      </c>
      <c r="BI2300">
        <v>947288.80279426672</v>
      </c>
      <c r="BJ2300">
        <v>59605.933205733381</v>
      </c>
      <c r="BK2300">
        <v>1006894.7360000001</v>
      </c>
      <c r="BL2300" t="s">
        <v>242</v>
      </c>
      <c r="BM2300">
        <v>4</v>
      </c>
      <c r="BN2300">
        <v>13200</v>
      </c>
      <c r="BO2300">
        <v>0</v>
      </c>
      <c r="BP2300">
        <v>0</v>
      </c>
      <c r="BQ2300">
        <v>776.19279426662865</v>
      </c>
      <c r="BR2300" t="s">
        <v>58</v>
      </c>
    </row>
    <row r="2301" spans="1:70" x14ac:dyDescent="0.3">
      <c r="A2301" t="s">
        <v>798</v>
      </c>
      <c r="B2301">
        <v>4142301002</v>
      </c>
      <c r="C2301">
        <v>10496402</v>
      </c>
      <c r="D2301" t="s">
        <v>744</v>
      </c>
      <c r="E2301" t="s">
        <v>445</v>
      </c>
      <c r="F2301" t="s">
        <v>430</v>
      </c>
      <c r="G2301" t="s">
        <v>230</v>
      </c>
      <c r="H2301" t="s">
        <v>234</v>
      </c>
      <c r="J2301" t="s">
        <v>52</v>
      </c>
      <c r="K2301" s="15">
        <v>12000</v>
      </c>
      <c r="M2301">
        <v>45352</v>
      </c>
      <c r="N2301" t="s">
        <v>1029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616626.03738317755</v>
      </c>
      <c r="Y2301">
        <v>616626.03738317755</v>
      </c>
      <c r="Z2301">
        <v>43163.822616822436</v>
      </c>
      <c r="AA2301">
        <v>659789.86</v>
      </c>
      <c r="AB2301" t="s">
        <v>242</v>
      </c>
      <c r="AC2301">
        <v>1</v>
      </c>
      <c r="AD2301">
        <v>12000</v>
      </c>
      <c r="AE2301">
        <v>0</v>
      </c>
      <c r="AF2301">
        <v>0</v>
      </c>
      <c r="AG2301">
        <v>785.0467289719636</v>
      </c>
      <c r="AH2301" t="s">
        <v>72</v>
      </c>
      <c r="AK2301" t="s">
        <v>798</v>
      </c>
      <c r="AL2301">
        <v>4312300002</v>
      </c>
      <c r="AM2301" t="s">
        <v>59</v>
      </c>
      <c r="AN2301" t="s">
        <v>976</v>
      </c>
      <c r="AO2301" t="s">
        <v>448</v>
      </c>
      <c r="AP2301" t="s">
        <v>433</v>
      </c>
      <c r="AQ2301" t="s">
        <v>82</v>
      </c>
      <c r="AR2301" t="s">
        <v>71</v>
      </c>
      <c r="AT2301" t="s">
        <v>52</v>
      </c>
      <c r="AU2301">
        <v>20000</v>
      </c>
      <c r="AW2301">
        <v>45352</v>
      </c>
      <c r="AX2301" t="s">
        <v>1013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680734.96261682257</v>
      </c>
      <c r="BI2301">
        <v>680734.96261682257</v>
      </c>
      <c r="BJ2301">
        <v>47651.447383177583</v>
      </c>
      <c r="BK2301">
        <v>728386.41000000015</v>
      </c>
      <c r="BL2301" t="s">
        <v>242</v>
      </c>
      <c r="BM2301">
        <v>4</v>
      </c>
      <c r="BN2301">
        <v>80000</v>
      </c>
      <c r="BO2301">
        <v>0</v>
      </c>
      <c r="BP2301">
        <v>0</v>
      </c>
      <c r="BQ2301">
        <v>5233.644859813081</v>
      </c>
      <c r="BR2301" t="s">
        <v>58</v>
      </c>
    </row>
    <row r="2302" spans="1:70" x14ac:dyDescent="0.3">
      <c r="A2302" t="s">
        <v>798</v>
      </c>
      <c r="B2302">
        <v>4142301328</v>
      </c>
      <c r="C2302">
        <v>10334417</v>
      </c>
      <c r="D2302" t="s">
        <v>752</v>
      </c>
      <c r="E2302" t="s">
        <v>446</v>
      </c>
      <c r="F2302" t="s">
        <v>430</v>
      </c>
      <c r="G2302" t="s">
        <v>237</v>
      </c>
      <c r="H2302" t="s">
        <v>234</v>
      </c>
      <c r="J2302" t="s">
        <v>52</v>
      </c>
      <c r="K2302" s="15">
        <v>1000</v>
      </c>
      <c r="M2302">
        <v>45352</v>
      </c>
      <c r="N2302" t="s">
        <v>1029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78403.277429266425</v>
      </c>
      <c r="Y2302">
        <v>78403.277429266425</v>
      </c>
      <c r="Z2302">
        <v>5488.2294200486504</v>
      </c>
      <c r="AA2302">
        <v>83891.506849315076</v>
      </c>
      <c r="AB2302" t="s">
        <v>242</v>
      </c>
      <c r="AC2302">
        <v>1</v>
      </c>
      <c r="AD2302">
        <v>1000</v>
      </c>
      <c r="AE2302">
        <v>0</v>
      </c>
      <c r="AF2302">
        <v>0</v>
      </c>
      <c r="AG2302">
        <v>65.420560747663558</v>
      </c>
      <c r="AH2302" t="s">
        <v>72</v>
      </c>
      <c r="AK2302" t="s">
        <v>798</v>
      </c>
      <c r="AL2302">
        <v>4312300003</v>
      </c>
      <c r="AM2302" t="s">
        <v>63</v>
      </c>
      <c r="AN2302" t="s">
        <v>935</v>
      </c>
      <c r="AO2302" t="s">
        <v>448</v>
      </c>
      <c r="AP2302" t="s">
        <v>433</v>
      </c>
      <c r="AQ2302" t="s">
        <v>82</v>
      </c>
      <c r="AR2302" t="s">
        <v>71</v>
      </c>
      <c r="AT2302" t="s">
        <v>52</v>
      </c>
      <c r="AU2302">
        <v>20000</v>
      </c>
      <c r="AW2302">
        <v>45352</v>
      </c>
      <c r="AX2302" t="s">
        <v>1013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248714.17757009351</v>
      </c>
      <c r="BI2302">
        <v>248714.17757009351</v>
      </c>
      <c r="BJ2302">
        <v>17409.992429906546</v>
      </c>
      <c r="BK2302">
        <v>266124.17000000004</v>
      </c>
      <c r="BL2302" t="s">
        <v>242</v>
      </c>
      <c r="BM2302">
        <v>3</v>
      </c>
      <c r="BN2302">
        <v>60000</v>
      </c>
      <c r="BO2302">
        <v>0</v>
      </c>
      <c r="BP2302">
        <v>0</v>
      </c>
      <c r="BQ2302">
        <v>3925.2336448598107</v>
      </c>
      <c r="BR2302" t="s">
        <v>58</v>
      </c>
    </row>
    <row r="2303" spans="1:70" x14ac:dyDescent="0.3">
      <c r="A2303" t="s">
        <v>798</v>
      </c>
      <c r="B2303">
        <v>4142301400</v>
      </c>
      <c r="C2303">
        <v>10447242</v>
      </c>
      <c r="D2303" t="s">
        <v>755</v>
      </c>
      <c r="E2303" t="s">
        <v>446</v>
      </c>
      <c r="F2303" t="s">
        <v>430</v>
      </c>
      <c r="G2303" t="s">
        <v>230</v>
      </c>
      <c r="H2303" t="s">
        <v>234</v>
      </c>
      <c r="J2303" t="s">
        <v>52</v>
      </c>
      <c r="K2303" s="15">
        <v>4000</v>
      </c>
      <c r="M2303">
        <v>45352</v>
      </c>
      <c r="N2303" t="s">
        <v>1013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200214.70093457945</v>
      </c>
      <c r="Y2303">
        <v>200214.70093457945</v>
      </c>
      <c r="Z2303">
        <v>14015.029065420564</v>
      </c>
      <c r="AA2303">
        <v>214229.73</v>
      </c>
      <c r="AB2303" t="s">
        <v>242</v>
      </c>
      <c r="AC2303">
        <v>2</v>
      </c>
      <c r="AD2303">
        <v>7000</v>
      </c>
      <c r="AE2303">
        <v>0</v>
      </c>
      <c r="AF2303">
        <v>0</v>
      </c>
      <c r="AG2303">
        <v>457.94392523364513</v>
      </c>
      <c r="AH2303" t="s">
        <v>58</v>
      </c>
      <c r="AK2303" t="s">
        <v>798</v>
      </c>
      <c r="AL2303">
        <v>4312300009</v>
      </c>
      <c r="AM2303" t="s">
        <v>694</v>
      </c>
      <c r="AN2303" t="s">
        <v>970</v>
      </c>
      <c r="AO2303" t="s">
        <v>448</v>
      </c>
      <c r="AP2303" t="s">
        <v>433</v>
      </c>
      <c r="AQ2303" t="s">
        <v>82</v>
      </c>
      <c r="AR2303" t="s">
        <v>71</v>
      </c>
      <c r="AT2303" t="s">
        <v>52</v>
      </c>
      <c r="AU2303">
        <v>25000</v>
      </c>
      <c r="AW2303">
        <v>45352</v>
      </c>
      <c r="AX2303" t="s">
        <v>1029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529307.02803738322</v>
      </c>
      <c r="BI2303">
        <v>529307.02803738322</v>
      </c>
      <c r="BJ2303">
        <v>37051.491962616827</v>
      </c>
      <c r="BK2303">
        <v>566358.52</v>
      </c>
      <c r="BL2303" t="s">
        <v>242</v>
      </c>
      <c r="BM2303">
        <v>2</v>
      </c>
      <c r="BN2303">
        <v>50000</v>
      </c>
      <c r="BO2303">
        <v>0</v>
      </c>
      <c r="BP2303">
        <v>0</v>
      </c>
      <c r="BQ2303">
        <v>3271.0280373831774</v>
      </c>
      <c r="BR2303" t="s">
        <v>58</v>
      </c>
    </row>
    <row r="2304" spans="1:70" x14ac:dyDescent="0.3">
      <c r="A2304" t="s">
        <v>798</v>
      </c>
      <c r="B2304">
        <v>4142301482</v>
      </c>
      <c r="C2304">
        <v>10529902</v>
      </c>
      <c r="D2304" t="s">
        <v>757</v>
      </c>
      <c r="E2304" t="s">
        <v>446</v>
      </c>
      <c r="F2304" t="s">
        <v>430</v>
      </c>
      <c r="G2304" t="s">
        <v>237</v>
      </c>
      <c r="H2304" t="s">
        <v>234</v>
      </c>
      <c r="J2304" t="s">
        <v>52</v>
      </c>
      <c r="K2304" s="15">
        <v>1000</v>
      </c>
      <c r="M2304">
        <v>45352</v>
      </c>
      <c r="N2304" t="s">
        <v>1013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49865.560747663549</v>
      </c>
      <c r="Y2304">
        <v>49865.560747663549</v>
      </c>
      <c r="Z2304">
        <v>3490.5892523364487</v>
      </c>
      <c r="AA2304">
        <v>53356.149999999994</v>
      </c>
      <c r="AB2304" t="s">
        <v>242</v>
      </c>
      <c r="AC2304">
        <v>2</v>
      </c>
      <c r="AD2304">
        <v>2000</v>
      </c>
      <c r="AE2304">
        <v>0</v>
      </c>
      <c r="AF2304">
        <v>0</v>
      </c>
      <c r="AG2304">
        <v>130.84112149532712</v>
      </c>
      <c r="AH2304" t="s">
        <v>58</v>
      </c>
      <c r="AK2304" t="s">
        <v>798</v>
      </c>
      <c r="AL2304">
        <v>4312300011</v>
      </c>
      <c r="AM2304" t="s">
        <v>70</v>
      </c>
      <c r="AN2304" t="s">
        <v>935</v>
      </c>
      <c r="AO2304" t="s">
        <v>448</v>
      </c>
      <c r="AP2304" t="s">
        <v>433</v>
      </c>
      <c r="AQ2304" t="s">
        <v>82</v>
      </c>
      <c r="AR2304" t="s">
        <v>71</v>
      </c>
      <c r="AT2304" t="s">
        <v>52</v>
      </c>
      <c r="AU2304">
        <v>20000</v>
      </c>
      <c r="AW2304">
        <v>45352</v>
      </c>
      <c r="AX2304" t="s">
        <v>1013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278984.11214953277</v>
      </c>
      <c r="BI2304">
        <v>278984.11214953277</v>
      </c>
      <c r="BJ2304">
        <v>19528.887850467294</v>
      </c>
      <c r="BK2304">
        <v>298513.00000000006</v>
      </c>
      <c r="BL2304" t="s">
        <v>242</v>
      </c>
      <c r="BM2304">
        <v>4</v>
      </c>
      <c r="BN2304">
        <v>93000</v>
      </c>
      <c r="BO2304">
        <v>0</v>
      </c>
      <c r="BP2304">
        <v>0</v>
      </c>
      <c r="BQ2304">
        <v>6084.1121495327097</v>
      </c>
      <c r="BR2304" t="s">
        <v>58</v>
      </c>
    </row>
    <row r="2305" spans="1:70" x14ac:dyDescent="0.3">
      <c r="A2305" t="s">
        <v>798</v>
      </c>
      <c r="B2305">
        <v>4232300101</v>
      </c>
      <c r="C2305">
        <v>129790</v>
      </c>
      <c r="D2305" t="s">
        <v>764</v>
      </c>
      <c r="E2305" t="s">
        <v>443</v>
      </c>
      <c r="F2305" t="s">
        <v>431</v>
      </c>
      <c r="G2305" t="s">
        <v>230</v>
      </c>
      <c r="H2305" t="s">
        <v>231</v>
      </c>
      <c r="J2305" t="s">
        <v>52</v>
      </c>
      <c r="K2305" s="15">
        <v>120000</v>
      </c>
      <c r="M2305">
        <v>45352</v>
      </c>
      <c r="N2305" t="s">
        <v>1029</v>
      </c>
      <c r="O2305">
        <v>0</v>
      </c>
      <c r="P2305">
        <v>21407.761161210336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671202.09237270057</v>
      </c>
      <c r="X2305">
        <v>0</v>
      </c>
      <c r="Y2305">
        <v>692609.85353391094</v>
      </c>
      <c r="Z2305">
        <v>46984.146466089041</v>
      </c>
      <c r="AA2305">
        <v>739594</v>
      </c>
      <c r="AB2305" t="s">
        <v>242</v>
      </c>
      <c r="AC2305">
        <v>1</v>
      </c>
      <c r="AD2305">
        <v>120000</v>
      </c>
      <c r="AE2305">
        <v>0</v>
      </c>
      <c r="AF2305">
        <v>0</v>
      </c>
      <c r="AG2305">
        <v>7605.1245619483379</v>
      </c>
      <c r="AH2305" t="s">
        <v>72</v>
      </c>
      <c r="AK2305" t="s">
        <v>798</v>
      </c>
      <c r="AL2305">
        <v>5212300001</v>
      </c>
      <c r="AM2305" t="s">
        <v>65</v>
      </c>
      <c r="AN2305" t="s">
        <v>971</v>
      </c>
      <c r="AO2305" t="s">
        <v>448</v>
      </c>
      <c r="AP2305" t="s">
        <v>434</v>
      </c>
      <c r="AQ2305" t="s">
        <v>82</v>
      </c>
      <c r="AR2305" t="s">
        <v>71</v>
      </c>
      <c r="AT2305" t="s">
        <v>52</v>
      </c>
      <c r="AU2305">
        <v>33170</v>
      </c>
      <c r="AW2305">
        <v>45352</v>
      </c>
      <c r="AX2305" t="s">
        <v>1029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454579.43925233645</v>
      </c>
      <c r="BI2305">
        <v>454579.43925233645</v>
      </c>
      <c r="BJ2305">
        <v>31820.560747663556</v>
      </c>
      <c r="BK2305">
        <v>486400</v>
      </c>
      <c r="BL2305" t="s">
        <v>242</v>
      </c>
      <c r="BM2305">
        <v>3</v>
      </c>
      <c r="BN2305">
        <v>98510</v>
      </c>
      <c r="BO2305">
        <v>0</v>
      </c>
      <c r="BP2305">
        <v>0</v>
      </c>
      <c r="BQ2305">
        <v>6444.5794392523385</v>
      </c>
      <c r="BR2305" t="s">
        <v>58</v>
      </c>
    </row>
    <row r="2306" spans="1:70" x14ac:dyDescent="0.3">
      <c r="A2306" t="s">
        <v>798</v>
      </c>
      <c r="B2306">
        <v>4242300019</v>
      </c>
      <c r="C2306">
        <v>123154</v>
      </c>
      <c r="D2306" t="s">
        <v>995</v>
      </c>
      <c r="E2306" t="s">
        <v>444</v>
      </c>
      <c r="F2306" t="s">
        <v>433</v>
      </c>
      <c r="G2306" t="s">
        <v>230</v>
      </c>
      <c r="H2306" t="s">
        <v>231</v>
      </c>
      <c r="J2306" t="s">
        <v>52</v>
      </c>
      <c r="K2306" s="15">
        <v>80000</v>
      </c>
      <c r="M2306">
        <v>45352</v>
      </c>
      <c r="N2306" t="s">
        <v>1013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2803.7383177569864</v>
      </c>
      <c r="X2306">
        <v>0</v>
      </c>
      <c r="Y2306">
        <v>2803.7383177569864</v>
      </c>
      <c r="Z2306">
        <v>196.26168224298905</v>
      </c>
      <c r="AA2306">
        <v>2999.9999999999754</v>
      </c>
      <c r="AB2306" t="s">
        <v>242</v>
      </c>
      <c r="AC2306">
        <v>3</v>
      </c>
      <c r="AD2306">
        <v>200000</v>
      </c>
      <c r="AE2306">
        <v>0</v>
      </c>
      <c r="AF2306">
        <v>0</v>
      </c>
      <c r="AG2306">
        <v>12887.850467289714</v>
      </c>
      <c r="AH2306" t="s">
        <v>58</v>
      </c>
      <c r="AK2306" t="s">
        <v>798</v>
      </c>
      <c r="AL2306">
        <v>22200010</v>
      </c>
      <c r="AM2306">
        <v>18928437</v>
      </c>
      <c r="AN2306" t="s">
        <v>85</v>
      </c>
      <c r="AO2306" t="s">
        <v>435</v>
      </c>
      <c r="AP2306" t="s">
        <v>428</v>
      </c>
      <c r="AQ2306" t="s">
        <v>82</v>
      </c>
      <c r="AR2306" t="s">
        <v>82</v>
      </c>
      <c r="AT2306" t="s">
        <v>52</v>
      </c>
      <c r="AU2306">
        <v>500</v>
      </c>
      <c r="AW2306">
        <v>45352</v>
      </c>
      <c r="AX2306" t="s">
        <v>1013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15569.751865506852</v>
      </c>
      <c r="BG2306">
        <v>0</v>
      </c>
      <c r="BH2306">
        <v>0</v>
      </c>
      <c r="BI2306">
        <v>15569.751865506852</v>
      </c>
      <c r="BJ2306">
        <v>0</v>
      </c>
      <c r="BK2306">
        <v>15569.751865506852</v>
      </c>
      <c r="BL2306" t="s">
        <v>242</v>
      </c>
      <c r="BM2306">
        <v>18</v>
      </c>
      <c r="BN2306">
        <v>12500</v>
      </c>
      <c r="BO2306">
        <v>0</v>
      </c>
      <c r="BP2306">
        <v>0</v>
      </c>
      <c r="BQ2306">
        <v>0</v>
      </c>
      <c r="BR2306" t="s">
        <v>58</v>
      </c>
    </row>
    <row r="2307" spans="1:70" x14ac:dyDescent="0.3">
      <c r="A2307" t="s">
        <v>798</v>
      </c>
      <c r="B2307">
        <v>4302300019</v>
      </c>
      <c r="C2307">
        <v>901019008726</v>
      </c>
      <c r="D2307" t="s">
        <v>224</v>
      </c>
      <c r="E2307" t="s">
        <v>447</v>
      </c>
      <c r="F2307" t="s">
        <v>433</v>
      </c>
      <c r="G2307" t="s">
        <v>82</v>
      </c>
      <c r="H2307" t="s">
        <v>83</v>
      </c>
      <c r="J2307" t="s">
        <v>52</v>
      </c>
      <c r="K2307" s="15">
        <v>10000</v>
      </c>
      <c r="M2307">
        <v>45352</v>
      </c>
      <c r="N2307" t="s">
        <v>1013</v>
      </c>
      <c r="O2307">
        <v>0</v>
      </c>
      <c r="P2307">
        <v>0</v>
      </c>
      <c r="Q2307">
        <v>27442.843544152445</v>
      </c>
      <c r="R2307">
        <v>1621.7399999999998</v>
      </c>
      <c r="S2307">
        <v>0</v>
      </c>
      <c r="T2307">
        <v>0</v>
      </c>
      <c r="U2307">
        <v>0</v>
      </c>
      <c r="V2307">
        <v>440246.46435125935</v>
      </c>
      <c r="W2307">
        <v>0</v>
      </c>
      <c r="X2307">
        <v>0</v>
      </c>
      <c r="Y2307">
        <v>469311.04789541179</v>
      </c>
      <c r="Z2307">
        <v>30817.252504588156</v>
      </c>
      <c r="AA2307">
        <v>500128.30039999995</v>
      </c>
      <c r="AB2307" t="s">
        <v>242</v>
      </c>
      <c r="AC2307">
        <v>3</v>
      </c>
      <c r="AD2307">
        <v>110000</v>
      </c>
      <c r="AE2307">
        <v>0</v>
      </c>
      <c r="AF2307">
        <v>0</v>
      </c>
      <c r="AG2307">
        <v>6746.1978954118458</v>
      </c>
      <c r="AH2307" t="s">
        <v>58</v>
      </c>
      <c r="AK2307" t="s">
        <v>798</v>
      </c>
      <c r="AL2307">
        <v>42200856</v>
      </c>
      <c r="AM2307">
        <v>2757002330</v>
      </c>
      <c r="AN2307" t="s">
        <v>934</v>
      </c>
      <c r="AO2307" t="s">
        <v>439</v>
      </c>
      <c r="AP2307" t="s">
        <v>430</v>
      </c>
      <c r="AQ2307" t="s">
        <v>233</v>
      </c>
      <c r="AR2307" t="s">
        <v>234</v>
      </c>
      <c r="AT2307" t="s">
        <v>52</v>
      </c>
      <c r="AU2307">
        <v>500</v>
      </c>
      <c r="AW2307">
        <v>45352</v>
      </c>
      <c r="AX2307" t="s">
        <v>1013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33498.570093457936</v>
      </c>
      <c r="BI2307">
        <v>33498.570093457936</v>
      </c>
      <c r="BJ2307">
        <v>2344.8999065420558</v>
      </c>
      <c r="BK2307">
        <v>35843.469999999994</v>
      </c>
      <c r="BL2307" t="s">
        <v>242</v>
      </c>
      <c r="BM2307">
        <v>9</v>
      </c>
      <c r="BN2307">
        <v>4500</v>
      </c>
      <c r="BO2307">
        <v>0</v>
      </c>
      <c r="BP2307">
        <v>0</v>
      </c>
      <c r="BQ2307">
        <v>294.39252336448601</v>
      </c>
      <c r="BR2307" t="s">
        <v>58</v>
      </c>
    </row>
    <row r="2308" spans="1:70" x14ac:dyDescent="0.3">
      <c r="A2308" t="s">
        <v>798</v>
      </c>
      <c r="B2308">
        <v>4302300042</v>
      </c>
      <c r="C2308">
        <v>901012024750</v>
      </c>
      <c r="D2308" t="s">
        <v>227</v>
      </c>
      <c r="E2308" t="s">
        <v>447</v>
      </c>
      <c r="F2308" t="s">
        <v>433</v>
      </c>
      <c r="G2308" t="s">
        <v>82</v>
      </c>
      <c r="H2308" t="s">
        <v>83</v>
      </c>
      <c r="J2308" t="s">
        <v>52</v>
      </c>
      <c r="K2308" s="15">
        <v>200</v>
      </c>
      <c r="M2308">
        <v>45352</v>
      </c>
      <c r="N2308" t="s">
        <v>1013</v>
      </c>
      <c r="O2308">
        <v>0</v>
      </c>
      <c r="P2308">
        <v>0</v>
      </c>
      <c r="Q2308">
        <v>38043.395767321308</v>
      </c>
      <c r="R2308">
        <v>37265.26</v>
      </c>
      <c r="S2308">
        <v>93987.026852970725</v>
      </c>
      <c r="T2308">
        <v>0</v>
      </c>
      <c r="U2308">
        <v>0</v>
      </c>
      <c r="V2308">
        <v>553789.81999999995</v>
      </c>
      <c r="W2308">
        <v>0</v>
      </c>
      <c r="X2308">
        <v>0</v>
      </c>
      <c r="Y2308">
        <v>723085.50262029201</v>
      </c>
      <c r="Z2308">
        <v>45344.379279707951</v>
      </c>
      <c r="AA2308">
        <v>768429.88189999992</v>
      </c>
      <c r="AB2308" t="s">
        <v>242</v>
      </c>
      <c r="AC2308">
        <v>3</v>
      </c>
      <c r="AD2308">
        <v>4200</v>
      </c>
      <c r="AE2308">
        <v>0</v>
      </c>
      <c r="AF2308">
        <v>0</v>
      </c>
      <c r="AG2308">
        <v>246.14262029204866</v>
      </c>
      <c r="AH2308" t="s">
        <v>58</v>
      </c>
      <c r="AK2308" t="s">
        <v>798</v>
      </c>
      <c r="AL2308">
        <v>52200315</v>
      </c>
      <c r="AM2308">
        <v>25381712</v>
      </c>
      <c r="AN2308" t="s">
        <v>730</v>
      </c>
      <c r="AO2308" t="s">
        <v>436</v>
      </c>
      <c r="AP2308" t="s">
        <v>431</v>
      </c>
      <c r="AQ2308" t="s">
        <v>82</v>
      </c>
      <c r="AR2308" t="s">
        <v>83</v>
      </c>
      <c r="AT2308" t="s">
        <v>52</v>
      </c>
      <c r="AU2308">
        <v>1500</v>
      </c>
      <c r="AW2308">
        <v>45352</v>
      </c>
      <c r="AX2308" t="s">
        <v>1013</v>
      </c>
      <c r="AY2308">
        <v>0</v>
      </c>
      <c r="AZ2308">
        <v>0</v>
      </c>
      <c r="BA2308">
        <v>0</v>
      </c>
      <c r="BB2308">
        <v>848.51303320279271</v>
      </c>
      <c r="BC2308">
        <v>9179.3237037933523</v>
      </c>
      <c r="BD2308">
        <v>0</v>
      </c>
      <c r="BE2308">
        <v>0</v>
      </c>
      <c r="BF2308">
        <v>50029.54298716045</v>
      </c>
      <c r="BG2308">
        <v>0</v>
      </c>
      <c r="BH2308">
        <v>0</v>
      </c>
      <c r="BI2308">
        <v>60057.379724156592</v>
      </c>
      <c r="BJ2308">
        <v>4144.620668366766</v>
      </c>
      <c r="BK2308">
        <v>64202.000392523361</v>
      </c>
      <c r="BL2308" t="s">
        <v>242</v>
      </c>
      <c r="BM2308">
        <v>2</v>
      </c>
      <c r="BN2308">
        <v>3000</v>
      </c>
      <c r="BO2308">
        <v>0</v>
      </c>
      <c r="BP2308">
        <v>0</v>
      </c>
      <c r="BQ2308">
        <v>193.48216105065012</v>
      </c>
      <c r="BR2308" t="s">
        <v>58</v>
      </c>
    </row>
    <row r="2309" spans="1:70" x14ac:dyDescent="0.3">
      <c r="A2309" t="s">
        <v>798</v>
      </c>
      <c r="B2309">
        <v>4302300043</v>
      </c>
      <c r="C2309">
        <v>901012030332</v>
      </c>
      <c r="D2309" t="s">
        <v>227</v>
      </c>
      <c r="E2309" t="s">
        <v>447</v>
      </c>
      <c r="F2309" t="s">
        <v>433</v>
      </c>
      <c r="G2309" t="s">
        <v>82</v>
      </c>
      <c r="H2309" t="s">
        <v>83</v>
      </c>
      <c r="J2309" t="s">
        <v>52</v>
      </c>
      <c r="K2309" s="15">
        <v>200</v>
      </c>
      <c r="M2309">
        <v>45352</v>
      </c>
      <c r="N2309" t="s">
        <v>1013</v>
      </c>
      <c r="O2309">
        <v>0</v>
      </c>
      <c r="P2309">
        <v>0</v>
      </c>
      <c r="Q2309">
        <v>48232.237611584889</v>
      </c>
      <c r="R2309">
        <v>41417.75</v>
      </c>
      <c r="S2309">
        <v>103405.56606393936</v>
      </c>
      <c r="T2309">
        <v>0</v>
      </c>
      <c r="U2309">
        <v>0</v>
      </c>
      <c r="V2309">
        <v>706553.99</v>
      </c>
      <c r="W2309">
        <v>0</v>
      </c>
      <c r="X2309">
        <v>0</v>
      </c>
      <c r="Y2309">
        <v>899609.54367552418</v>
      </c>
      <c r="Z2309">
        <v>56697.168924475758</v>
      </c>
      <c r="AA2309">
        <v>956306.71259999997</v>
      </c>
      <c r="AB2309" t="s">
        <v>242</v>
      </c>
      <c r="AC2309">
        <v>4</v>
      </c>
      <c r="AD2309">
        <v>11200</v>
      </c>
      <c r="AE2309">
        <v>0</v>
      </c>
      <c r="AF2309">
        <v>0</v>
      </c>
      <c r="AG2309">
        <v>659.6536755242447</v>
      </c>
      <c r="AH2309" t="s">
        <v>58</v>
      </c>
      <c r="AK2309" t="s">
        <v>798</v>
      </c>
      <c r="AL2309">
        <v>52201277</v>
      </c>
      <c r="AM2309">
        <v>26285645</v>
      </c>
      <c r="AN2309" t="s">
        <v>153</v>
      </c>
      <c r="AO2309" t="s">
        <v>438</v>
      </c>
      <c r="AP2309" t="s">
        <v>431</v>
      </c>
      <c r="AQ2309" t="s">
        <v>82</v>
      </c>
      <c r="AR2309" t="s">
        <v>83</v>
      </c>
      <c r="AT2309" t="s">
        <v>52</v>
      </c>
      <c r="AU2309">
        <v>1000</v>
      </c>
      <c r="AW2309">
        <v>45352</v>
      </c>
      <c r="AX2309" t="s">
        <v>1013</v>
      </c>
      <c r="AY2309">
        <v>0</v>
      </c>
      <c r="AZ2309">
        <v>0</v>
      </c>
      <c r="BA2309">
        <v>0</v>
      </c>
      <c r="BB2309">
        <v>746.99138478603913</v>
      </c>
      <c r="BC2309">
        <v>26517.96546654799</v>
      </c>
      <c r="BD2309">
        <v>0</v>
      </c>
      <c r="BE2309">
        <v>0</v>
      </c>
      <c r="BF2309">
        <v>56278.303900452571</v>
      </c>
      <c r="BG2309">
        <v>0</v>
      </c>
      <c r="BH2309">
        <v>0</v>
      </c>
      <c r="BI2309">
        <v>83543.260751786598</v>
      </c>
      <c r="BJ2309">
        <v>5795.7388556900396</v>
      </c>
      <c r="BK2309">
        <v>89338.999607476639</v>
      </c>
      <c r="BL2309" t="s">
        <v>242</v>
      </c>
      <c r="BM2309">
        <v>9</v>
      </c>
      <c r="BN2309">
        <v>16000</v>
      </c>
      <c r="BO2309">
        <v>0</v>
      </c>
      <c r="BP2309">
        <v>0</v>
      </c>
      <c r="BQ2309">
        <v>1037.3078476028252</v>
      </c>
      <c r="BR2309" t="s">
        <v>58</v>
      </c>
    </row>
    <row r="2310" spans="1:70" x14ac:dyDescent="0.3">
      <c r="A2310" t="s">
        <v>798</v>
      </c>
      <c r="B2310">
        <v>4302300044</v>
      </c>
      <c r="C2310">
        <v>901012030496</v>
      </c>
      <c r="D2310" t="s">
        <v>227</v>
      </c>
      <c r="E2310" t="s">
        <v>447</v>
      </c>
      <c r="F2310" t="s">
        <v>433</v>
      </c>
      <c r="G2310" t="s">
        <v>82</v>
      </c>
      <c r="H2310" t="s">
        <v>83</v>
      </c>
      <c r="J2310" t="s">
        <v>52</v>
      </c>
      <c r="K2310" s="15">
        <v>200</v>
      </c>
      <c r="M2310">
        <v>45352</v>
      </c>
      <c r="N2310" t="s">
        <v>1013</v>
      </c>
      <c r="O2310">
        <v>0</v>
      </c>
      <c r="P2310">
        <v>0</v>
      </c>
      <c r="Q2310">
        <v>50185.776107414669</v>
      </c>
      <c r="R2310">
        <v>42434.2</v>
      </c>
      <c r="S2310">
        <v>115353.94989961245</v>
      </c>
      <c r="T2310">
        <v>0</v>
      </c>
      <c r="U2310">
        <v>0</v>
      </c>
      <c r="V2310">
        <v>725754.44</v>
      </c>
      <c r="W2310">
        <v>0</v>
      </c>
      <c r="X2310">
        <v>0</v>
      </c>
      <c r="Y2310">
        <v>933728.36600702698</v>
      </c>
      <c r="Z2310">
        <v>58877.587292972872</v>
      </c>
      <c r="AA2310">
        <v>992605.95329999982</v>
      </c>
      <c r="AB2310" t="s">
        <v>242</v>
      </c>
      <c r="AC2310">
        <v>3</v>
      </c>
      <c r="AD2310">
        <v>4200</v>
      </c>
      <c r="AE2310">
        <v>0</v>
      </c>
      <c r="AF2310">
        <v>0</v>
      </c>
      <c r="AG2310">
        <v>247.50600702712816</v>
      </c>
      <c r="AH2310" t="s">
        <v>58</v>
      </c>
      <c r="AK2310" t="s">
        <v>798</v>
      </c>
      <c r="AL2310">
        <v>52201809</v>
      </c>
      <c r="AM2310">
        <v>28380987</v>
      </c>
      <c r="AN2310" t="s">
        <v>164</v>
      </c>
      <c r="AO2310" t="s">
        <v>438</v>
      </c>
      <c r="AP2310" t="s">
        <v>431</v>
      </c>
      <c r="AQ2310" t="s">
        <v>82</v>
      </c>
      <c r="AR2310" t="s">
        <v>83</v>
      </c>
      <c r="AT2310" t="s">
        <v>52</v>
      </c>
      <c r="AU2310">
        <v>500</v>
      </c>
      <c r="AW2310">
        <v>45352</v>
      </c>
      <c r="AX2310" t="s">
        <v>1013</v>
      </c>
      <c r="AY2310">
        <v>0</v>
      </c>
      <c r="AZ2310">
        <v>0</v>
      </c>
      <c r="BA2310">
        <v>0</v>
      </c>
      <c r="BB2310">
        <v>925.76591361248722</v>
      </c>
      <c r="BC2310">
        <v>27666.262788409098</v>
      </c>
      <c r="BD2310">
        <v>0</v>
      </c>
      <c r="BE2310">
        <v>0</v>
      </c>
      <c r="BF2310">
        <v>51867.600635850336</v>
      </c>
      <c r="BG2310">
        <v>0</v>
      </c>
      <c r="BH2310">
        <v>0</v>
      </c>
      <c r="BI2310">
        <v>80459.629337871913</v>
      </c>
      <c r="BJ2310">
        <v>5567.3704396981611</v>
      </c>
      <c r="BK2310">
        <v>86026.999777570076</v>
      </c>
      <c r="BL2310" t="s">
        <v>242</v>
      </c>
      <c r="BM2310">
        <v>14</v>
      </c>
      <c r="BN2310">
        <v>9800</v>
      </c>
      <c r="BO2310">
        <v>0</v>
      </c>
      <c r="BP2310">
        <v>0</v>
      </c>
      <c r="BQ2310">
        <v>633.71365789988249</v>
      </c>
      <c r="BR2310" t="s">
        <v>58</v>
      </c>
    </row>
    <row r="2311" spans="1:70" x14ac:dyDescent="0.3">
      <c r="A2311" t="s">
        <v>798</v>
      </c>
      <c r="B2311">
        <v>4302300045</v>
      </c>
      <c r="C2311">
        <v>901012030501</v>
      </c>
      <c r="D2311" t="s">
        <v>227</v>
      </c>
      <c r="E2311" t="s">
        <v>447</v>
      </c>
      <c r="F2311" t="s">
        <v>433</v>
      </c>
      <c r="G2311" t="s">
        <v>82</v>
      </c>
      <c r="H2311" t="s">
        <v>83</v>
      </c>
      <c r="J2311" t="s">
        <v>52</v>
      </c>
      <c r="K2311" s="15">
        <v>200</v>
      </c>
      <c r="M2311">
        <v>45352</v>
      </c>
      <c r="N2311" t="s">
        <v>1013</v>
      </c>
      <c r="O2311">
        <v>0</v>
      </c>
      <c r="P2311">
        <v>0</v>
      </c>
      <c r="Q2311">
        <v>49833.0118927476</v>
      </c>
      <c r="R2311">
        <v>42537.96</v>
      </c>
      <c r="S2311">
        <v>115520.42767032936</v>
      </c>
      <c r="T2311">
        <v>0</v>
      </c>
      <c r="U2311">
        <v>0</v>
      </c>
      <c r="V2311">
        <v>727221.82</v>
      </c>
      <c r="W2311">
        <v>0</v>
      </c>
      <c r="X2311">
        <v>0</v>
      </c>
      <c r="Y2311">
        <v>935113.21956307697</v>
      </c>
      <c r="Z2311">
        <v>58991.957336923057</v>
      </c>
      <c r="AA2311">
        <v>994105.17690000008</v>
      </c>
      <c r="AB2311" t="s">
        <v>242</v>
      </c>
      <c r="AC2311">
        <v>3</v>
      </c>
      <c r="AD2311">
        <v>4200</v>
      </c>
      <c r="AE2311">
        <v>0</v>
      </c>
      <c r="AF2311">
        <v>0</v>
      </c>
      <c r="AG2311">
        <v>247.6195630769453</v>
      </c>
      <c r="AH2311" t="s">
        <v>58</v>
      </c>
      <c r="AK2311" t="s">
        <v>798</v>
      </c>
      <c r="AL2311">
        <v>52201890</v>
      </c>
      <c r="AM2311">
        <v>26738561</v>
      </c>
      <c r="AN2311" t="s">
        <v>168</v>
      </c>
      <c r="AO2311" t="s">
        <v>438</v>
      </c>
      <c r="AP2311" t="s">
        <v>431</v>
      </c>
      <c r="AQ2311" t="s">
        <v>82</v>
      </c>
      <c r="AR2311" t="s">
        <v>83</v>
      </c>
      <c r="AT2311" t="s">
        <v>52</v>
      </c>
      <c r="AU2311">
        <v>1000</v>
      </c>
      <c r="AW2311">
        <v>45352</v>
      </c>
      <c r="AX2311" t="s">
        <v>1013</v>
      </c>
      <c r="AY2311">
        <v>0</v>
      </c>
      <c r="AZ2311">
        <v>0</v>
      </c>
      <c r="BA2311">
        <v>0</v>
      </c>
      <c r="BB2311">
        <v>1026.4507922099565</v>
      </c>
      <c r="BC2311">
        <v>23489.303621337171</v>
      </c>
      <c r="BD2311">
        <v>0</v>
      </c>
      <c r="BE2311">
        <v>0</v>
      </c>
      <c r="BF2311">
        <v>41284.106700381184</v>
      </c>
      <c r="BG2311">
        <v>0</v>
      </c>
      <c r="BH2311">
        <v>0</v>
      </c>
      <c r="BI2311">
        <v>65799.861113928317</v>
      </c>
      <c r="BJ2311">
        <v>4534.1387225202852</v>
      </c>
      <c r="BK2311">
        <v>70333.999836448609</v>
      </c>
      <c r="BL2311" t="s">
        <v>242</v>
      </c>
      <c r="BM2311">
        <v>4</v>
      </c>
      <c r="BN2311">
        <v>4000</v>
      </c>
      <c r="BO2311">
        <v>0</v>
      </c>
      <c r="BP2311">
        <v>0</v>
      </c>
      <c r="BQ2311">
        <v>257.59023874270736</v>
      </c>
      <c r="BR2311" t="s">
        <v>58</v>
      </c>
    </row>
    <row r="2312" spans="1:70" x14ac:dyDescent="0.3">
      <c r="A2312" t="s">
        <v>798</v>
      </c>
      <c r="B2312">
        <v>4302300046</v>
      </c>
      <c r="C2312">
        <v>901012034713</v>
      </c>
      <c r="D2312" t="s">
        <v>227</v>
      </c>
      <c r="E2312" t="s">
        <v>447</v>
      </c>
      <c r="F2312" t="s">
        <v>433</v>
      </c>
      <c r="G2312" t="s">
        <v>82</v>
      </c>
      <c r="H2312" t="s">
        <v>83</v>
      </c>
      <c r="J2312" t="s">
        <v>52</v>
      </c>
      <c r="K2312" s="15">
        <v>200</v>
      </c>
      <c r="M2312">
        <v>45352</v>
      </c>
      <c r="N2312" t="s">
        <v>1013</v>
      </c>
      <c r="O2312">
        <v>0</v>
      </c>
      <c r="P2312">
        <v>0</v>
      </c>
      <c r="Q2312">
        <v>51136.831476586056</v>
      </c>
      <c r="R2312">
        <v>46050.97</v>
      </c>
      <c r="S2312">
        <v>107189.41226487285</v>
      </c>
      <c r="T2312">
        <v>0</v>
      </c>
      <c r="U2312">
        <v>0</v>
      </c>
      <c r="V2312">
        <v>750980.5</v>
      </c>
      <c r="W2312">
        <v>0</v>
      </c>
      <c r="X2312">
        <v>0</v>
      </c>
      <c r="Y2312">
        <v>955357.71374145895</v>
      </c>
      <c r="Z2312">
        <v>60071.893858541102</v>
      </c>
      <c r="AA2312">
        <v>1015429.6076000001</v>
      </c>
      <c r="AB2312" t="s">
        <v>242</v>
      </c>
      <c r="AC2312">
        <v>4</v>
      </c>
      <c r="AD2312">
        <v>13200</v>
      </c>
      <c r="AE2312">
        <v>0</v>
      </c>
      <c r="AF2312">
        <v>0</v>
      </c>
      <c r="AG2312">
        <v>775.6537414589011</v>
      </c>
      <c r="AH2312" t="s">
        <v>58</v>
      </c>
      <c r="AK2312" t="s">
        <v>798</v>
      </c>
      <c r="AL2312">
        <v>4142300044</v>
      </c>
      <c r="AM2312">
        <v>120810</v>
      </c>
      <c r="AN2312" t="s">
        <v>955</v>
      </c>
      <c r="AO2312" t="s">
        <v>444</v>
      </c>
      <c r="AP2312" t="s">
        <v>430</v>
      </c>
      <c r="AQ2312" t="s">
        <v>233</v>
      </c>
      <c r="AR2312" t="s">
        <v>231</v>
      </c>
      <c r="AT2312" t="s">
        <v>52</v>
      </c>
      <c r="AU2312">
        <v>1637</v>
      </c>
      <c r="AW2312">
        <v>45352</v>
      </c>
      <c r="AX2312" t="s">
        <v>1013</v>
      </c>
      <c r="AY2312">
        <v>0</v>
      </c>
      <c r="AZ2312">
        <v>0</v>
      </c>
      <c r="BA2312">
        <v>11315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11315</v>
      </c>
      <c r="BJ2312">
        <v>0</v>
      </c>
      <c r="BK2312">
        <v>11315</v>
      </c>
      <c r="BL2312" t="s">
        <v>242</v>
      </c>
      <c r="BM2312">
        <v>7</v>
      </c>
      <c r="BN2312">
        <v>14685</v>
      </c>
      <c r="BO2312">
        <v>0</v>
      </c>
      <c r="BP2312">
        <v>0</v>
      </c>
      <c r="BQ2312">
        <v>0</v>
      </c>
      <c r="BR2312" t="s">
        <v>58</v>
      </c>
    </row>
    <row r="2313" spans="1:70" x14ac:dyDescent="0.3">
      <c r="A2313" t="s">
        <v>798</v>
      </c>
      <c r="B2313">
        <v>4302300047</v>
      </c>
      <c r="C2313">
        <v>901012034728</v>
      </c>
      <c r="D2313" t="s">
        <v>227</v>
      </c>
      <c r="E2313" t="s">
        <v>447</v>
      </c>
      <c r="F2313" t="s">
        <v>433</v>
      </c>
      <c r="G2313" t="s">
        <v>82</v>
      </c>
      <c r="H2313" t="s">
        <v>83</v>
      </c>
      <c r="J2313" t="s">
        <v>52</v>
      </c>
      <c r="K2313" s="15">
        <v>200</v>
      </c>
      <c r="M2313">
        <v>45352</v>
      </c>
      <c r="N2313" t="s">
        <v>1013</v>
      </c>
      <c r="O2313">
        <v>0</v>
      </c>
      <c r="P2313">
        <v>0</v>
      </c>
      <c r="Q2313">
        <v>50681.411283789894</v>
      </c>
      <c r="R2313">
        <v>45094.06</v>
      </c>
      <c r="S2313">
        <v>106440.31151047673</v>
      </c>
      <c r="T2313">
        <v>0</v>
      </c>
      <c r="U2313">
        <v>0</v>
      </c>
      <c r="V2313">
        <v>745073.02</v>
      </c>
      <c r="W2313">
        <v>0</v>
      </c>
      <c r="X2313">
        <v>0</v>
      </c>
      <c r="Y2313">
        <v>947288.80279426672</v>
      </c>
      <c r="Z2313">
        <v>59605.933205733381</v>
      </c>
      <c r="AA2313">
        <v>1006894.7360000001</v>
      </c>
      <c r="AB2313" t="s">
        <v>242</v>
      </c>
      <c r="AC2313">
        <v>4</v>
      </c>
      <c r="AD2313">
        <v>13200</v>
      </c>
      <c r="AE2313">
        <v>0</v>
      </c>
      <c r="AF2313">
        <v>0</v>
      </c>
      <c r="AG2313">
        <v>776.19279426662865</v>
      </c>
      <c r="AH2313" t="s">
        <v>58</v>
      </c>
      <c r="AK2313" t="s">
        <v>798</v>
      </c>
      <c r="AL2313">
        <v>4142300107</v>
      </c>
      <c r="AM2313">
        <v>96093</v>
      </c>
      <c r="AN2313" t="s">
        <v>931</v>
      </c>
      <c r="AO2313" t="s">
        <v>444</v>
      </c>
      <c r="AP2313" t="s">
        <v>430</v>
      </c>
      <c r="AQ2313" t="s">
        <v>230</v>
      </c>
      <c r="AR2313" t="s">
        <v>231</v>
      </c>
      <c r="AT2313" t="s">
        <v>52</v>
      </c>
      <c r="AU2313">
        <v>32000</v>
      </c>
      <c r="AW2313">
        <v>45352</v>
      </c>
      <c r="AX2313" t="s">
        <v>1013</v>
      </c>
      <c r="AY2313">
        <v>0</v>
      </c>
      <c r="AZ2313">
        <v>1383.7962230059097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56058.134371022526</v>
      </c>
      <c r="BH2313">
        <v>0</v>
      </c>
      <c r="BI2313">
        <v>57441.930594028439</v>
      </c>
      <c r="BJ2313">
        <v>3924.0694059715775</v>
      </c>
      <c r="BK2313">
        <v>61366.000000000015</v>
      </c>
      <c r="BL2313" t="s">
        <v>242</v>
      </c>
      <c r="BM2313">
        <v>4</v>
      </c>
      <c r="BN2313">
        <v>176320</v>
      </c>
      <c r="BO2313">
        <v>0</v>
      </c>
      <c r="BP2313">
        <v>0</v>
      </c>
      <c r="BQ2313">
        <v>11232.958631411606</v>
      </c>
      <c r="BR2313" t="s">
        <v>58</v>
      </c>
    </row>
    <row r="2314" spans="1:70" x14ac:dyDescent="0.3">
      <c r="A2314" t="s">
        <v>798</v>
      </c>
      <c r="B2314">
        <v>4312300002</v>
      </c>
      <c r="C2314" t="s">
        <v>59</v>
      </c>
      <c r="D2314" t="s">
        <v>976</v>
      </c>
      <c r="E2314" t="s">
        <v>448</v>
      </c>
      <c r="F2314" t="s">
        <v>433</v>
      </c>
      <c r="G2314" t="s">
        <v>82</v>
      </c>
      <c r="H2314" t="s">
        <v>71</v>
      </c>
      <c r="J2314" t="s">
        <v>52</v>
      </c>
      <c r="K2314" s="15">
        <v>20000</v>
      </c>
      <c r="M2314">
        <v>45352</v>
      </c>
      <c r="N2314" t="s">
        <v>1013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680734.96261682257</v>
      </c>
      <c r="Y2314">
        <v>680734.96261682257</v>
      </c>
      <c r="Z2314">
        <v>47651.447383177583</v>
      </c>
      <c r="AA2314">
        <v>728386.41000000015</v>
      </c>
      <c r="AB2314" t="s">
        <v>242</v>
      </c>
      <c r="AC2314">
        <v>4</v>
      </c>
      <c r="AD2314">
        <v>80000</v>
      </c>
      <c r="AE2314">
        <v>0</v>
      </c>
      <c r="AF2314">
        <v>0</v>
      </c>
      <c r="AG2314">
        <v>5233.644859813081</v>
      </c>
      <c r="AH2314" t="s">
        <v>58</v>
      </c>
      <c r="AK2314" t="s">
        <v>798</v>
      </c>
      <c r="AL2314">
        <v>4142300160</v>
      </c>
      <c r="AM2314">
        <v>10044677</v>
      </c>
      <c r="AN2314" t="s">
        <v>190</v>
      </c>
      <c r="AO2314" t="s">
        <v>445</v>
      </c>
      <c r="AP2314" t="s">
        <v>430</v>
      </c>
      <c r="AQ2314" t="s">
        <v>230</v>
      </c>
      <c r="AR2314" t="s">
        <v>234</v>
      </c>
      <c r="AT2314" t="s">
        <v>52</v>
      </c>
      <c r="AU2314">
        <v>700</v>
      </c>
      <c r="AW2314">
        <v>45352</v>
      </c>
      <c r="AX2314" t="s">
        <v>1013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32865.056074766369</v>
      </c>
      <c r="BI2314">
        <v>32865.056074766369</v>
      </c>
      <c r="BJ2314">
        <v>2300.5539252336462</v>
      </c>
      <c r="BK2314">
        <v>35165.610000000015</v>
      </c>
      <c r="BL2314" t="s">
        <v>242</v>
      </c>
      <c r="BM2314">
        <v>10</v>
      </c>
      <c r="BN2314">
        <v>51700</v>
      </c>
      <c r="BO2314">
        <v>0</v>
      </c>
      <c r="BP2314">
        <v>0</v>
      </c>
      <c r="BQ2314">
        <v>3382.242990654207</v>
      </c>
      <c r="BR2314" t="s">
        <v>58</v>
      </c>
    </row>
    <row r="2315" spans="1:70" x14ac:dyDescent="0.3">
      <c r="A2315" t="s">
        <v>798</v>
      </c>
      <c r="B2315">
        <v>4312300003</v>
      </c>
      <c r="C2315" t="s">
        <v>63</v>
      </c>
      <c r="D2315" t="s">
        <v>935</v>
      </c>
      <c r="E2315" t="s">
        <v>448</v>
      </c>
      <c r="F2315" t="s">
        <v>433</v>
      </c>
      <c r="G2315" t="s">
        <v>82</v>
      </c>
      <c r="H2315" t="s">
        <v>71</v>
      </c>
      <c r="J2315" t="s">
        <v>52</v>
      </c>
      <c r="K2315" s="15">
        <v>20000</v>
      </c>
      <c r="M2315">
        <v>45352</v>
      </c>
      <c r="N2315" t="s">
        <v>1013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248714.17757009351</v>
      </c>
      <c r="Y2315">
        <v>248714.17757009351</v>
      </c>
      <c r="Z2315">
        <v>17409.992429906546</v>
      </c>
      <c r="AA2315">
        <v>266124.17000000004</v>
      </c>
      <c r="AB2315" t="s">
        <v>242</v>
      </c>
      <c r="AC2315">
        <v>3</v>
      </c>
      <c r="AD2315">
        <v>60000</v>
      </c>
      <c r="AE2315">
        <v>0</v>
      </c>
      <c r="AF2315">
        <v>0</v>
      </c>
      <c r="AG2315">
        <v>3925.2336448598107</v>
      </c>
      <c r="AH2315" t="s">
        <v>58</v>
      </c>
      <c r="AK2315" t="s">
        <v>798</v>
      </c>
      <c r="AL2315">
        <v>4142301482</v>
      </c>
      <c r="AM2315">
        <v>10529902</v>
      </c>
      <c r="AN2315" t="s">
        <v>757</v>
      </c>
      <c r="AO2315" t="s">
        <v>446</v>
      </c>
      <c r="AP2315" t="s">
        <v>430</v>
      </c>
      <c r="AQ2315" t="s">
        <v>237</v>
      </c>
      <c r="AR2315" t="s">
        <v>234</v>
      </c>
      <c r="AT2315" t="s">
        <v>52</v>
      </c>
      <c r="AU2315">
        <v>1000</v>
      </c>
      <c r="AW2315">
        <v>45352</v>
      </c>
      <c r="AX2315" t="s">
        <v>1013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49865.560747663549</v>
      </c>
      <c r="BI2315">
        <v>49865.560747663549</v>
      </c>
      <c r="BJ2315">
        <v>3490.5892523364487</v>
      </c>
      <c r="BK2315">
        <v>53356.149999999994</v>
      </c>
      <c r="BL2315" t="s">
        <v>242</v>
      </c>
      <c r="BM2315">
        <v>2</v>
      </c>
      <c r="BN2315">
        <v>2000</v>
      </c>
      <c r="BO2315">
        <v>0</v>
      </c>
      <c r="BP2315">
        <v>0</v>
      </c>
      <c r="BQ2315">
        <v>130.84112149532712</v>
      </c>
      <c r="BR2315" t="s">
        <v>58</v>
      </c>
    </row>
    <row r="2316" spans="1:70" x14ac:dyDescent="0.3">
      <c r="A2316" t="s">
        <v>798</v>
      </c>
      <c r="B2316">
        <v>4312300009</v>
      </c>
      <c r="C2316" t="s">
        <v>694</v>
      </c>
      <c r="D2316" t="s">
        <v>970</v>
      </c>
      <c r="E2316" t="s">
        <v>448</v>
      </c>
      <c r="F2316" t="s">
        <v>433</v>
      </c>
      <c r="G2316" t="s">
        <v>82</v>
      </c>
      <c r="H2316" t="s">
        <v>71</v>
      </c>
      <c r="J2316" t="s">
        <v>52</v>
      </c>
      <c r="K2316" s="15">
        <v>25000</v>
      </c>
      <c r="M2316">
        <v>45352</v>
      </c>
      <c r="N2316" t="s">
        <v>1029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529307.02803738322</v>
      </c>
      <c r="Y2316">
        <v>529307.02803738322</v>
      </c>
      <c r="Z2316">
        <v>37051.491962616827</v>
      </c>
      <c r="AA2316">
        <v>566358.52</v>
      </c>
      <c r="AB2316" t="s">
        <v>242</v>
      </c>
      <c r="AC2316">
        <v>2</v>
      </c>
      <c r="AD2316">
        <v>50000</v>
      </c>
      <c r="AE2316">
        <v>0</v>
      </c>
      <c r="AF2316">
        <v>0</v>
      </c>
      <c r="AG2316">
        <v>3271.0280373831774</v>
      </c>
      <c r="AH2316" t="s">
        <v>58</v>
      </c>
      <c r="AK2316" t="s">
        <v>798</v>
      </c>
      <c r="AL2316">
        <v>4242300019</v>
      </c>
      <c r="AM2316">
        <v>123154</v>
      </c>
      <c r="AN2316" t="s">
        <v>995</v>
      </c>
      <c r="AO2316" t="s">
        <v>444</v>
      </c>
      <c r="AP2316" t="s">
        <v>433</v>
      </c>
      <c r="AQ2316" t="s">
        <v>230</v>
      </c>
      <c r="AR2316" t="s">
        <v>231</v>
      </c>
      <c r="AT2316" t="s">
        <v>52</v>
      </c>
      <c r="AU2316">
        <v>80000</v>
      </c>
      <c r="AW2316">
        <v>45352</v>
      </c>
      <c r="AX2316" t="s">
        <v>1013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2803.7383177569864</v>
      </c>
      <c r="BH2316">
        <v>0</v>
      </c>
      <c r="BI2316">
        <v>2803.7383177569864</v>
      </c>
      <c r="BJ2316">
        <v>196.26168224298905</v>
      </c>
      <c r="BK2316">
        <v>2999.9999999999754</v>
      </c>
      <c r="BL2316" t="s">
        <v>242</v>
      </c>
      <c r="BM2316">
        <v>3</v>
      </c>
      <c r="BN2316">
        <v>200000</v>
      </c>
      <c r="BO2316">
        <v>0</v>
      </c>
      <c r="BP2316">
        <v>0</v>
      </c>
      <c r="BQ2316">
        <v>12887.850467289714</v>
      </c>
      <c r="BR2316" t="s">
        <v>58</v>
      </c>
    </row>
    <row r="2317" spans="1:70" x14ac:dyDescent="0.3">
      <c r="A2317" t="s">
        <v>798</v>
      </c>
      <c r="B2317">
        <v>4312300011</v>
      </c>
      <c r="C2317" t="s">
        <v>70</v>
      </c>
      <c r="D2317" t="s">
        <v>935</v>
      </c>
      <c r="E2317" t="s">
        <v>448</v>
      </c>
      <c r="F2317" t="s">
        <v>433</v>
      </c>
      <c r="G2317" t="s">
        <v>82</v>
      </c>
      <c r="H2317" t="s">
        <v>71</v>
      </c>
      <c r="J2317" t="s">
        <v>52</v>
      </c>
      <c r="K2317" s="15">
        <v>20000</v>
      </c>
      <c r="M2317">
        <v>45352</v>
      </c>
      <c r="N2317" t="s">
        <v>1013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278984.11214953277</v>
      </c>
      <c r="Y2317">
        <v>278984.11214953277</v>
      </c>
      <c r="Z2317">
        <v>19528.887850467294</v>
      </c>
      <c r="AA2317">
        <v>298513.00000000006</v>
      </c>
      <c r="AB2317" t="s">
        <v>242</v>
      </c>
      <c r="AC2317">
        <v>4</v>
      </c>
      <c r="AD2317">
        <v>93000</v>
      </c>
      <c r="AE2317">
        <v>0</v>
      </c>
      <c r="AF2317">
        <v>0</v>
      </c>
      <c r="AG2317">
        <v>6084.1121495327097</v>
      </c>
      <c r="AH2317" t="s">
        <v>58</v>
      </c>
      <c r="AK2317" t="s">
        <v>798</v>
      </c>
      <c r="AL2317">
        <v>4142300201</v>
      </c>
      <c r="AM2317">
        <v>10077114</v>
      </c>
      <c r="AN2317" t="s">
        <v>193</v>
      </c>
      <c r="AO2317" t="s">
        <v>445</v>
      </c>
      <c r="AP2317" t="s">
        <v>430</v>
      </c>
      <c r="AQ2317" t="s">
        <v>237</v>
      </c>
      <c r="AR2317" t="s">
        <v>234</v>
      </c>
      <c r="AT2317" t="s">
        <v>52</v>
      </c>
      <c r="AU2317">
        <v>4000</v>
      </c>
      <c r="AW2317">
        <v>45352</v>
      </c>
      <c r="AX2317" t="s">
        <v>1029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32915.588785046733</v>
      </c>
      <c r="BI2317">
        <v>32915.588785046733</v>
      </c>
      <c r="BJ2317">
        <v>2304.0912149532714</v>
      </c>
      <c r="BK2317">
        <v>35219.680000000008</v>
      </c>
      <c r="BL2317" t="s">
        <v>242</v>
      </c>
      <c r="BM2317">
        <v>4</v>
      </c>
      <c r="BN2317">
        <v>13000</v>
      </c>
      <c r="BO2317">
        <v>0</v>
      </c>
      <c r="BP2317">
        <v>0</v>
      </c>
      <c r="BQ2317">
        <v>850.46728971962693</v>
      </c>
      <c r="BR2317" t="s">
        <v>58</v>
      </c>
    </row>
    <row r="2318" spans="1:70" x14ac:dyDescent="0.3">
      <c r="A2318" t="s">
        <v>798</v>
      </c>
      <c r="B2318">
        <v>5212300001</v>
      </c>
      <c r="C2318" t="s">
        <v>65</v>
      </c>
      <c r="D2318" t="s">
        <v>971</v>
      </c>
      <c r="E2318" t="s">
        <v>448</v>
      </c>
      <c r="F2318" t="s">
        <v>434</v>
      </c>
      <c r="G2318" t="s">
        <v>82</v>
      </c>
      <c r="H2318" t="s">
        <v>71</v>
      </c>
      <c r="J2318" t="s">
        <v>52</v>
      </c>
      <c r="K2318" s="15">
        <v>33170</v>
      </c>
      <c r="M2318">
        <v>45352</v>
      </c>
      <c r="N2318" t="s">
        <v>1029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454579.43925233645</v>
      </c>
      <c r="Y2318">
        <v>454579.43925233645</v>
      </c>
      <c r="Z2318">
        <v>31820.560747663556</v>
      </c>
      <c r="AA2318">
        <v>486400</v>
      </c>
      <c r="AB2318" t="s">
        <v>242</v>
      </c>
      <c r="AC2318">
        <v>3</v>
      </c>
      <c r="AD2318">
        <v>98510</v>
      </c>
      <c r="AE2318">
        <v>0</v>
      </c>
      <c r="AF2318">
        <v>0</v>
      </c>
      <c r="AG2318">
        <v>6444.5794392523385</v>
      </c>
      <c r="AH2318" t="s">
        <v>58</v>
      </c>
      <c r="AK2318" t="s">
        <v>798</v>
      </c>
      <c r="AL2318">
        <v>4142301328</v>
      </c>
      <c r="AM2318">
        <v>10334417</v>
      </c>
      <c r="AN2318" t="s">
        <v>752</v>
      </c>
      <c r="AO2318" t="s">
        <v>446</v>
      </c>
      <c r="AP2318" t="s">
        <v>430</v>
      </c>
      <c r="AQ2318" t="s">
        <v>237</v>
      </c>
      <c r="AR2318" t="s">
        <v>234</v>
      </c>
      <c r="AT2318" t="s">
        <v>52</v>
      </c>
      <c r="AU2318">
        <v>1000</v>
      </c>
      <c r="AW2318">
        <v>45352</v>
      </c>
      <c r="AX2318" t="s">
        <v>1029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78403.277429266425</v>
      </c>
      <c r="BI2318">
        <v>78403.277429266425</v>
      </c>
      <c r="BJ2318">
        <v>5488.2294200486504</v>
      </c>
      <c r="BK2318">
        <v>83891.506849315076</v>
      </c>
      <c r="BL2318" t="s">
        <v>242</v>
      </c>
      <c r="BM2318">
        <v>1</v>
      </c>
      <c r="BN2318">
        <v>1000</v>
      </c>
      <c r="BO2318">
        <v>0</v>
      </c>
      <c r="BP2318">
        <v>0</v>
      </c>
      <c r="BQ2318">
        <v>65.420560747663558</v>
      </c>
      <c r="BR2318" t="s">
        <v>72</v>
      </c>
    </row>
    <row r="2319" spans="1:70" x14ac:dyDescent="0.3">
      <c r="A2319" t="s">
        <v>798</v>
      </c>
      <c r="B2319">
        <v>52201928</v>
      </c>
      <c r="C2319">
        <v>28868846</v>
      </c>
      <c r="D2319" t="s">
        <v>169</v>
      </c>
      <c r="E2319" t="s">
        <v>438</v>
      </c>
      <c r="F2319" t="s">
        <v>431</v>
      </c>
      <c r="G2319" t="s">
        <v>82</v>
      </c>
      <c r="H2319" t="s">
        <v>83</v>
      </c>
      <c r="J2319" t="s">
        <v>52</v>
      </c>
      <c r="K2319" s="15">
        <v>1500</v>
      </c>
      <c r="M2319">
        <v>45353</v>
      </c>
      <c r="N2319" t="s">
        <v>1013</v>
      </c>
      <c r="O2319">
        <v>0</v>
      </c>
      <c r="P2319">
        <v>0</v>
      </c>
      <c r="Q2319">
        <v>0</v>
      </c>
      <c r="R2319">
        <v>755.98619265222192</v>
      </c>
      <c r="S2319">
        <v>0</v>
      </c>
      <c r="T2319">
        <v>0</v>
      </c>
      <c r="U2319">
        <v>0</v>
      </c>
      <c r="V2319">
        <v>46721.508255622437</v>
      </c>
      <c r="W2319">
        <v>0</v>
      </c>
      <c r="X2319">
        <v>0</v>
      </c>
      <c r="Y2319">
        <v>47477.494448274658</v>
      </c>
      <c r="Z2319">
        <v>3270.5055778935707</v>
      </c>
      <c r="AA2319">
        <v>50748.000026168229</v>
      </c>
      <c r="AB2319" t="s">
        <v>242</v>
      </c>
      <c r="AC2319">
        <v>4</v>
      </c>
      <c r="AD2319">
        <v>17500</v>
      </c>
      <c r="AE2319">
        <v>0</v>
      </c>
      <c r="AF2319">
        <v>0</v>
      </c>
      <c r="AG2319">
        <v>1126.3448911080898</v>
      </c>
      <c r="AH2319" t="s">
        <v>58</v>
      </c>
      <c r="AK2319" t="s">
        <v>798</v>
      </c>
      <c r="AL2319">
        <v>4132301817</v>
      </c>
      <c r="AM2319" t="s">
        <v>691</v>
      </c>
      <c r="AN2319" t="s">
        <v>944</v>
      </c>
      <c r="AO2319" t="s">
        <v>442</v>
      </c>
      <c r="AP2319" t="s">
        <v>430</v>
      </c>
      <c r="AQ2319" t="s">
        <v>230</v>
      </c>
      <c r="AR2319" t="s">
        <v>231</v>
      </c>
      <c r="AT2319" t="s">
        <v>52</v>
      </c>
      <c r="AU2319">
        <v>5000</v>
      </c>
      <c r="AW2319">
        <v>45353</v>
      </c>
      <c r="AX2319" t="s">
        <v>1013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329510.30841121497</v>
      </c>
      <c r="BH2319">
        <v>0</v>
      </c>
      <c r="BI2319">
        <v>329510.30841121497</v>
      </c>
      <c r="BJ2319">
        <v>23065.721588785051</v>
      </c>
      <c r="BK2319">
        <v>352576.03</v>
      </c>
      <c r="BL2319" t="s">
        <v>242</v>
      </c>
      <c r="BM2319">
        <v>3</v>
      </c>
      <c r="BN2319">
        <v>15000</v>
      </c>
      <c r="BO2319">
        <v>0</v>
      </c>
      <c r="BP2319">
        <v>0</v>
      </c>
      <c r="BQ2319">
        <v>981.30841121495268</v>
      </c>
      <c r="BR2319" t="s">
        <v>58</v>
      </c>
    </row>
    <row r="2320" spans="1:70" x14ac:dyDescent="0.3">
      <c r="A2320" t="s">
        <v>798</v>
      </c>
      <c r="B2320">
        <v>4132301817</v>
      </c>
      <c r="C2320" t="s">
        <v>691</v>
      </c>
      <c r="D2320" t="s">
        <v>944</v>
      </c>
      <c r="E2320" t="s">
        <v>442</v>
      </c>
      <c r="F2320" t="s">
        <v>430</v>
      </c>
      <c r="G2320" t="s">
        <v>230</v>
      </c>
      <c r="H2320" t="s">
        <v>231</v>
      </c>
      <c r="J2320" t="s">
        <v>52</v>
      </c>
      <c r="K2320" s="15">
        <v>5000</v>
      </c>
      <c r="M2320">
        <v>45353</v>
      </c>
      <c r="N2320" t="s">
        <v>1013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329510.30841121497</v>
      </c>
      <c r="X2320">
        <v>0</v>
      </c>
      <c r="Y2320">
        <v>329510.30841121497</v>
      </c>
      <c r="Z2320">
        <v>23065.721588785051</v>
      </c>
      <c r="AA2320">
        <v>352576.03</v>
      </c>
      <c r="AB2320" t="s">
        <v>242</v>
      </c>
      <c r="AC2320">
        <v>3</v>
      </c>
      <c r="AD2320">
        <v>15000</v>
      </c>
      <c r="AE2320">
        <v>0</v>
      </c>
      <c r="AF2320">
        <v>0</v>
      </c>
      <c r="AG2320">
        <v>981.30841121495268</v>
      </c>
      <c r="AH2320" t="s">
        <v>58</v>
      </c>
      <c r="AK2320" t="s">
        <v>798</v>
      </c>
      <c r="AL2320">
        <v>4142301290</v>
      </c>
      <c r="AM2320">
        <v>10276970</v>
      </c>
      <c r="AN2320" t="s">
        <v>751</v>
      </c>
      <c r="AO2320" t="s">
        <v>446</v>
      </c>
      <c r="AP2320" t="s">
        <v>430</v>
      </c>
      <c r="AQ2320" t="s">
        <v>230</v>
      </c>
      <c r="AR2320" t="s">
        <v>234</v>
      </c>
      <c r="AT2320" t="s">
        <v>52</v>
      </c>
      <c r="AU2320">
        <v>8000</v>
      </c>
      <c r="AW2320">
        <v>45353</v>
      </c>
      <c r="AX2320" t="s">
        <v>1013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551013.54878504667</v>
      </c>
      <c r="BI2320">
        <v>551013.54878504667</v>
      </c>
      <c r="BJ2320">
        <v>38570.948414953273</v>
      </c>
      <c r="BK2320">
        <v>589584.49719999998</v>
      </c>
      <c r="BL2320" t="s">
        <v>242</v>
      </c>
      <c r="BM2320">
        <v>2</v>
      </c>
      <c r="BN2320">
        <v>16000</v>
      </c>
      <c r="BO2320">
        <v>0</v>
      </c>
      <c r="BP2320">
        <v>0</v>
      </c>
      <c r="BQ2320">
        <v>1046.7289719626169</v>
      </c>
      <c r="BR2320" t="s">
        <v>58</v>
      </c>
    </row>
    <row r="2321" spans="1:70" x14ac:dyDescent="0.3">
      <c r="A2321" t="s">
        <v>798</v>
      </c>
      <c r="B2321">
        <v>4142301290</v>
      </c>
      <c r="C2321">
        <v>10276970</v>
      </c>
      <c r="D2321" t="s">
        <v>751</v>
      </c>
      <c r="E2321" t="s">
        <v>446</v>
      </c>
      <c r="F2321" t="s">
        <v>430</v>
      </c>
      <c r="G2321" t="s">
        <v>230</v>
      </c>
      <c r="H2321" t="s">
        <v>234</v>
      </c>
      <c r="J2321" t="s">
        <v>52</v>
      </c>
      <c r="K2321" s="15">
        <v>8000</v>
      </c>
      <c r="M2321">
        <v>45353</v>
      </c>
      <c r="N2321" t="s">
        <v>1013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551013.54878504667</v>
      </c>
      <c r="Y2321">
        <v>551013.54878504667</v>
      </c>
      <c r="Z2321">
        <v>38570.948414953273</v>
      </c>
      <c r="AA2321">
        <v>589584.49719999998</v>
      </c>
      <c r="AB2321" t="s">
        <v>242</v>
      </c>
      <c r="AC2321">
        <v>2</v>
      </c>
      <c r="AD2321">
        <v>16000</v>
      </c>
      <c r="AE2321">
        <v>0</v>
      </c>
      <c r="AF2321">
        <v>0</v>
      </c>
      <c r="AG2321">
        <v>1046.7289719626169</v>
      </c>
      <c r="AH2321" t="s">
        <v>58</v>
      </c>
      <c r="AK2321" t="s">
        <v>798</v>
      </c>
      <c r="AL2321">
        <v>4302300032</v>
      </c>
      <c r="AM2321">
        <v>901014009730</v>
      </c>
      <c r="AN2321" t="s">
        <v>226</v>
      </c>
      <c r="AO2321" t="s">
        <v>447</v>
      </c>
      <c r="AP2321" t="s">
        <v>433</v>
      </c>
      <c r="AQ2321" t="s">
        <v>82</v>
      </c>
      <c r="AR2321" t="s">
        <v>83</v>
      </c>
      <c r="AT2321" t="s">
        <v>52</v>
      </c>
      <c r="AU2321">
        <v>21182.32</v>
      </c>
      <c r="AW2321">
        <v>45353</v>
      </c>
      <c r="AX2321" t="s">
        <v>1013</v>
      </c>
      <c r="AY2321">
        <v>0</v>
      </c>
      <c r="AZ2321">
        <v>0</v>
      </c>
      <c r="BA2321">
        <v>22484.554869848744</v>
      </c>
      <c r="BB2321">
        <v>16879.09</v>
      </c>
      <c r="BC2321">
        <v>44582.847504814243</v>
      </c>
      <c r="BD2321">
        <v>0</v>
      </c>
      <c r="BE2321">
        <v>0</v>
      </c>
      <c r="BF2321">
        <v>367159.58</v>
      </c>
      <c r="BG2321">
        <v>0</v>
      </c>
      <c r="BH2321">
        <v>0</v>
      </c>
      <c r="BI2321">
        <v>451106.07237466297</v>
      </c>
      <c r="BJ2321">
        <v>28821.969925336998</v>
      </c>
      <c r="BK2321">
        <v>479928.04229999997</v>
      </c>
      <c r="BL2321" t="s">
        <v>242</v>
      </c>
      <c r="BM2321">
        <v>7</v>
      </c>
      <c r="BN2321">
        <v>48182.32</v>
      </c>
      <c r="BO2321">
        <v>0</v>
      </c>
      <c r="BP2321">
        <v>0</v>
      </c>
      <c r="BQ2321">
        <v>2875.9823746630032</v>
      </c>
      <c r="BR2321" t="s">
        <v>58</v>
      </c>
    </row>
    <row r="2322" spans="1:70" x14ac:dyDescent="0.3">
      <c r="A2322" t="s">
        <v>798</v>
      </c>
      <c r="B2322">
        <v>4302300032</v>
      </c>
      <c r="C2322">
        <v>901014009730</v>
      </c>
      <c r="D2322" t="s">
        <v>226</v>
      </c>
      <c r="E2322" t="s">
        <v>447</v>
      </c>
      <c r="F2322" t="s">
        <v>433</v>
      </c>
      <c r="G2322" t="s">
        <v>82</v>
      </c>
      <c r="H2322" t="s">
        <v>83</v>
      </c>
      <c r="J2322" t="s">
        <v>52</v>
      </c>
      <c r="K2322" s="15">
        <v>21182.32</v>
      </c>
      <c r="M2322">
        <v>45353</v>
      </c>
      <c r="N2322" t="s">
        <v>1013</v>
      </c>
      <c r="O2322">
        <v>0</v>
      </c>
      <c r="P2322">
        <v>0</v>
      </c>
      <c r="Q2322">
        <v>22484.554869848744</v>
      </c>
      <c r="R2322">
        <v>16879.09</v>
      </c>
      <c r="S2322">
        <v>44582.847504814243</v>
      </c>
      <c r="T2322">
        <v>0</v>
      </c>
      <c r="U2322">
        <v>0</v>
      </c>
      <c r="V2322">
        <v>367159.58</v>
      </c>
      <c r="W2322">
        <v>0</v>
      </c>
      <c r="X2322">
        <v>0</v>
      </c>
      <c r="Y2322">
        <v>451106.07237466297</v>
      </c>
      <c r="Z2322">
        <v>28821.969925336998</v>
      </c>
      <c r="AA2322">
        <v>479928.04229999997</v>
      </c>
      <c r="AB2322" t="s">
        <v>242</v>
      </c>
      <c r="AC2322">
        <v>7</v>
      </c>
      <c r="AD2322">
        <v>48182.32</v>
      </c>
      <c r="AE2322">
        <v>0</v>
      </c>
      <c r="AF2322">
        <v>0</v>
      </c>
      <c r="AG2322">
        <v>2875.9823746630032</v>
      </c>
      <c r="AH2322" t="s">
        <v>58</v>
      </c>
      <c r="AK2322" t="s">
        <v>798</v>
      </c>
      <c r="AL2322">
        <v>4302300042</v>
      </c>
      <c r="AM2322">
        <v>901012024750</v>
      </c>
      <c r="AN2322" t="s">
        <v>227</v>
      </c>
      <c r="AO2322" t="s">
        <v>447</v>
      </c>
      <c r="AP2322" t="s">
        <v>433</v>
      </c>
      <c r="AQ2322" t="s">
        <v>82</v>
      </c>
      <c r="AR2322" t="s">
        <v>83</v>
      </c>
      <c r="AT2322" t="s">
        <v>52</v>
      </c>
      <c r="AU2322">
        <v>1800</v>
      </c>
      <c r="AW2322">
        <v>45353</v>
      </c>
      <c r="AX2322" t="s">
        <v>1013</v>
      </c>
      <c r="AY2322">
        <v>0</v>
      </c>
      <c r="AZ2322">
        <v>0</v>
      </c>
      <c r="BA2322">
        <v>37855.927508187422</v>
      </c>
      <c r="BB2322">
        <v>37265.26</v>
      </c>
      <c r="BC2322">
        <v>92479.987842815477</v>
      </c>
      <c r="BD2322">
        <v>0</v>
      </c>
      <c r="BE2322">
        <v>0</v>
      </c>
      <c r="BF2322">
        <v>553789.81999999995</v>
      </c>
      <c r="BG2322">
        <v>0</v>
      </c>
      <c r="BH2322">
        <v>0</v>
      </c>
      <c r="BI2322">
        <v>721390.99535100278</v>
      </c>
      <c r="BJ2322">
        <v>45238.886548997085</v>
      </c>
      <c r="BK2322">
        <v>766629.88189999992</v>
      </c>
      <c r="BL2322" t="s">
        <v>242</v>
      </c>
      <c r="BM2322">
        <v>4</v>
      </c>
      <c r="BN2322">
        <v>6000</v>
      </c>
      <c r="BO2322">
        <v>0</v>
      </c>
      <c r="BP2322">
        <v>0</v>
      </c>
      <c r="BQ2322">
        <v>351.6353510029158</v>
      </c>
      <c r="BR2322" t="s">
        <v>58</v>
      </c>
    </row>
    <row r="2323" spans="1:70" x14ac:dyDescent="0.3">
      <c r="A2323" t="s">
        <v>798</v>
      </c>
      <c r="B2323">
        <v>4302300042</v>
      </c>
      <c r="C2323">
        <v>901012024750</v>
      </c>
      <c r="D2323" t="s">
        <v>227</v>
      </c>
      <c r="E2323" t="s">
        <v>447</v>
      </c>
      <c r="F2323" t="s">
        <v>433</v>
      </c>
      <c r="G2323" t="s">
        <v>82</v>
      </c>
      <c r="H2323" t="s">
        <v>83</v>
      </c>
      <c r="J2323" t="s">
        <v>52</v>
      </c>
      <c r="K2323" s="15">
        <v>1800</v>
      </c>
      <c r="M2323">
        <v>45353</v>
      </c>
      <c r="N2323" t="s">
        <v>1013</v>
      </c>
      <c r="O2323">
        <v>0</v>
      </c>
      <c r="P2323">
        <v>0</v>
      </c>
      <c r="Q2323">
        <v>37855.927508187422</v>
      </c>
      <c r="R2323">
        <v>37265.26</v>
      </c>
      <c r="S2323">
        <v>92479.987842815477</v>
      </c>
      <c r="T2323">
        <v>0</v>
      </c>
      <c r="U2323">
        <v>0</v>
      </c>
      <c r="V2323">
        <v>553789.81999999995</v>
      </c>
      <c r="W2323">
        <v>0</v>
      </c>
      <c r="X2323">
        <v>0</v>
      </c>
      <c r="Y2323">
        <v>721390.99535100278</v>
      </c>
      <c r="Z2323">
        <v>45238.886548997085</v>
      </c>
      <c r="AA2323">
        <v>766629.88189999992</v>
      </c>
      <c r="AB2323" t="s">
        <v>242</v>
      </c>
      <c r="AC2323">
        <v>4</v>
      </c>
      <c r="AD2323">
        <v>6000</v>
      </c>
      <c r="AE2323">
        <v>0</v>
      </c>
      <c r="AF2323">
        <v>0</v>
      </c>
      <c r="AG2323">
        <v>351.6353510029158</v>
      </c>
      <c r="AH2323" t="s">
        <v>58</v>
      </c>
      <c r="AK2323" t="s">
        <v>798</v>
      </c>
      <c r="AL2323">
        <v>4302300043</v>
      </c>
      <c r="AM2323">
        <v>901012030332</v>
      </c>
      <c r="AN2323" t="s">
        <v>227</v>
      </c>
      <c r="AO2323" t="s">
        <v>447</v>
      </c>
      <c r="AP2323" t="s">
        <v>433</v>
      </c>
      <c r="AQ2323" t="s">
        <v>82</v>
      </c>
      <c r="AR2323" t="s">
        <v>83</v>
      </c>
      <c r="AT2323" t="s">
        <v>52</v>
      </c>
      <c r="AU2323">
        <v>1800</v>
      </c>
      <c r="AW2323">
        <v>45353</v>
      </c>
      <c r="AX2323" t="s">
        <v>1013</v>
      </c>
      <c r="AY2323">
        <v>0</v>
      </c>
      <c r="AZ2323">
        <v>0</v>
      </c>
      <c r="BA2323">
        <v>48052.859815033793</v>
      </c>
      <c r="BB2323">
        <v>41417.75</v>
      </c>
      <c r="BC2323">
        <v>101890.9658738002</v>
      </c>
      <c r="BD2323">
        <v>0</v>
      </c>
      <c r="BE2323">
        <v>0</v>
      </c>
      <c r="BF2323">
        <v>706553.99</v>
      </c>
      <c r="BG2323">
        <v>0</v>
      </c>
      <c r="BH2323">
        <v>0</v>
      </c>
      <c r="BI2323">
        <v>897915.56568883406</v>
      </c>
      <c r="BJ2323">
        <v>56591.146911166019</v>
      </c>
      <c r="BK2323">
        <v>954506.71260000009</v>
      </c>
      <c r="BL2323" t="s">
        <v>242</v>
      </c>
      <c r="BM2323">
        <v>5</v>
      </c>
      <c r="BN2323">
        <v>13000</v>
      </c>
      <c r="BO2323">
        <v>0</v>
      </c>
      <c r="BP2323">
        <v>0</v>
      </c>
      <c r="BQ2323">
        <v>765.6756888339861</v>
      </c>
      <c r="BR2323" t="s">
        <v>58</v>
      </c>
    </row>
    <row r="2324" spans="1:70" x14ac:dyDescent="0.3">
      <c r="A2324" t="s">
        <v>798</v>
      </c>
      <c r="B2324">
        <v>4302300043</v>
      </c>
      <c r="C2324">
        <v>901012030332</v>
      </c>
      <c r="D2324" t="s">
        <v>227</v>
      </c>
      <c r="E2324" t="s">
        <v>447</v>
      </c>
      <c r="F2324" t="s">
        <v>433</v>
      </c>
      <c r="G2324" t="s">
        <v>82</v>
      </c>
      <c r="H2324" t="s">
        <v>83</v>
      </c>
      <c r="J2324" t="s">
        <v>52</v>
      </c>
      <c r="K2324" s="15">
        <v>1800</v>
      </c>
      <c r="M2324">
        <v>45353</v>
      </c>
      <c r="N2324" t="s">
        <v>1013</v>
      </c>
      <c r="O2324">
        <v>0</v>
      </c>
      <c r="P2324">
        <v>0</v>
      </c>
      <c r="Q2324">
        <v>48052.859815033793</v>
      </c>
      <c r="R2324">
        <v>41417.75</v>
      </c>
      <c r="S2324">
        <v>101890.9658738002</v>
      </c>
      <c r="T2324">
        <v>0</v>
      </c>
      <c r="U2324">
        <v>0</v>
      </c>
      <c r="V2324">
        <v>706553.99</v>
      </c>
      <c r="W2324">
        <v>0</v>
      </c>
      <c r="X2324">
        <v>0</v>
      </c>
      <c r="Y2324">
        <v>897915.56568883406</v>
      </c>
      <c r="Z2324">
        <v>56591.146911166019</v>
      </c>
      <c r="AA2324">
        <v>954506.71260000009</v>
      </c>
      <c r="AB2324" t="s">
        <v>242</v>
      </c>
      <c r="AC2324">
        <v>5</v>
      </c>
      <c r="AD2324">
        <v>13000</v>
      </c>
      <c r="AE2324">
        <v>0</v>
      </c>
      <c r="AF2324">
        <v>0</v>
      </c>
      <c r="AG2324">
        <v>765.6756888339861</v>
      </c>
      <c r="AH2324" t="s">
        <v>58</v>
      </c>
      <c r="AK2324" t="s">
        <v>798</v>
      </c>
      <c r="AL2324">
        <v>4302300044</v>
      </c>
      <c r="AM2324">
        <v>901012030496</v>
      </c>
      <c r="AN2324" t="s">
        <v>227</v>
      </c>
      <c r="AO2324" t="s">
        <v>447</v>
      </c>
      <c r="AP2324" t="s">
        <v>433</v>
      </c>
      <c r="AQ2324" t="s">
        <v>82</v>
      </c>
      <c r="AR2324" t="s">
        <v>83</v>
      </c>
      <c r="AT2324" t="s">
        <v>52</v>
      </c>
      <c r="AU2324">
        <v>1800</v>
      </c>
      <c r="AW2324">
        <v>45353</v>
      </c>
      <c r="AX2324" t="s">
        <v>1013</v>
      </c>
      <c r="AY2324">
        <v>0</v>
      </c>
      <c r="AZ2324">
        <v>0</v>
      </c>
      <c r="BA2324">
        <v>50007.227438376918</v>
      </c>
      <c r="BB2324">
        <v>42434.2</v>
      </c>
      <c r="BC2324">
        <v>113838.57482394679</v>
      </c>
      <c r="BD2324">
        <v>0</v>
      </c>
      <c r="BE2324">
        <v>0</v>
      </c>
      <c r="BF2324">
        <v>725754.44</v>
      </c>
      <c r="BG2324">
        <v>0</v>
      </c>
      <c r="BH2324">
        <v>0</v>
      </c>
      <c r="BI2324">
        <v>932034.44226232357</v>
      </c>
      <c r="BJ2324">
        <v>58771.511037676275</v>
      </c>
      <c r="BK2324">
        <v>990805.95329999982</v>
      </c>
      <c r="BL2324" t="s">
        <v>242</v>
      </c>
      <c r="BM2324">
        <v>4</v>
      </c>
      <c r="BN2324">
        <v>6000</v>
      </c>
      <c r="BO2324">
        <v>0</v>
      </c>
      <c r="BP2324">
        <v>0</v>
      </c>
      <c r="BQ2324">
        <v>353.58226232372408</v>
      </c>
      <c r="BR2324" t="s">
        <v>58</v>
      </c>
    </row>
    <row r="2325" spans="1:70" x14ac:dyDescent="0.3">
      <c r="A2325" t="s">
        <v>798</v>
      </c>
      <c r="B2325">
        <v>4302300044</v>
      </c>
      <c r="C2325">
        <v>901012030496</v>
      </c>
      <c r="D2325" t="s">
        <v>227</v>
      </c>
      <c r="E2325" t="s">
        <v>447</v>
      </c>
      <c r="F2325" t="s">
        <v>433</v>
      </c>
      <c r="G2325" t="s">
        <v>82</v>
      </c>
      <c r="H2325" t="s">
        <v>83</v>
      </c>
      <c r="J2325" t="s">
        <v>52</v>
      </c>
      <c r="K2325" s="15">
        <v>1800</v>
      </c>
      <c r="M2325">
        <v>45353</v>
      </c>
      <c r="N2325" t="s">
        <v>1013</v>
      </c>
      <c r="O2325">
        <v>0</v>
      </c>
      <c r="P2325">
        <v>0</v>
      </c>
      <c r="Q2325">
        <v>50007.227438376918</v>
      </c>
      <c r="R2325">
        <v>42434.2</v>
      </c>
      <c r="S2325">
        <v>113838.57482394679</v>
      </c>
      <c r="T2325">
        <v>0</v>
      </c>
      <c r="U2325">
        <v>0</v>
      </c>
      <c r="V2325">
        <v>725754.44</v>
      </c>
      <c r="W2325">
        <v>0</v>
      </c>
      <c r="X2325">
        <v>0</v>
      </c>
      <c r="Y2325">
        <v>932034.44226232357</v>
      </c>
      <c r="Z2325">
        <v>58771.511037676275</v>
      </c>
      <c r="AA2325">
        <v>990805.95329999982</v>
      </c>
      <c r="AB2325" t="s">
        <v>242</v>
      </c>
      <c r="AC2325">
        <v>4</v>
      </c>
      <c r="AD2325">
        <v>6000</v>
      </c>
      <c r="AE2325">
        <v>0</v>
      </c>
      <c r="AF2325">
        <v>0</v>
      </c>
      <c r="AG2325">
        <v>353.58226232372408</v>
      </c>
      <c r="AH2325" t="s">
        <v>58</v>
      </c>
      <c r="AK2325" t="s">
        <v>798</v>
      </c>
      <c r="AL2325">
        <v>4302300046</v>
      </c>
      <c r="AM2325">
        <v>901012034713</v>
      </c>
      <c r="AN2325" t="s">
        <v>227</v>
      </c>
      <c r="AO2325" t="s">
        <v>447</v>
      </c>
      <c r="AP2325" t="s">
        <v>433</v>
      </c>
      <c r="AQ2325" t="s">
        <v>82</v>
      </c>
      <c r="AR2325" t="s">
        <v>83</v>
      </c>
      <c r="AT2325" t="s">
        <v>52</v>
      </c>
      <c r="AU2325">
        <v>2800</v>
      </c>
      <c r="AW2325">
        <v>45353</v>
      </c>
      <c r="AX2325" t="s">
        <v>1013</v>
      </c>
      <c r="AY2325">
        <v>0</v>
      </c>
      <c r="AZ2325">
        <v>0</v>
      </c>
      <c r="BA2325">
        <v>50851.989641721171</v>
      </c>
      <c r="BB2325">
        <v>46050.97</v>
      </c>
      <c r="BC2325">
        <v>104838.79715726995</v>
      </c>
      <c r="BD2325">
        <v>0</v>
      </c>
      <c r="BE2325">
        <v>0</v>
      </c>
      <c r="BF2325">
        <v>750980.5</v>
      </c>
      <c r="BG2325">
        <v>0</v>
      </c>
      <c r="BH2325">
        <v>0</v>
      </c>
      <c r="BI2325">
        <v>952722.25679899112</v>
      </c>
      <c r="BJ2325">
        <v>59907.350801008899</v>
      </c>
      <c r="BK2325">
        <v>1012629.6076</v>
      </c>
      <c r="BL2325" t="s">
        <v>242</v>
      </c>
      <c r="BM2325">
        <v>5</v>
      </c>
      <c r="BN2325">
        <v>16000</v>
      </c>
      <c r="BO2325">
        <v>0</v>
      </c>
      <c r="BP2325">
        <v>0</v>
      </c>
      <c r="BQ2325">
        <v>940.19679899110452</v>
      </c>
      <c r="BR2325" t="s">
        <v>58</v>
      </c>
    </row>
    <row r="2326" spans="1:70" x14ac:dyDescent="0.3">
      <c r="A2326" t="s">
        <v>798</v>
      </c>
      <c r="B2326">
        <v>4302300046</v>
      </c>
      <c r="C2326">
        <v>901012034713</v>
      </c>
      <c r="D2326" t="s">
        <v>227</v>
      </c>
      <c r="E2326" t="s">
        <v>447</v>
      </c>
      <c r="F2326" t="s">
        <v>433</v>
      </c>
      <c r="G2326" t="s">
        <v>82</v>
      </c>
      <c r="H2326" t="s">
        <v>83</v>
      </c>
      <c r="J2326" t="s">
        <v>52</v>
      </c>
      <c r="K2326" s="15">
        <v>2800</v>
      </c>
      <c r="M2326">
        <v>45353</v>
      </c>
      <c r="N2326" t="s">
        <v>1013</v>
      </c>
      <c r="O2326">
        <v>0</v>
      </c>
      <c r="P2326">
        <v>0</v>
      </c>
      <c r="Q2326">
        <v>50851.989641721171</v>
      </c>
      <c r="R2326">
        <v>46050.97</v>
      </c>
      <c r="S2326">
        <v>104838.79715726995</v>
      </c>
      <c r="T2326">
        <v>0</v>
      </c>
      <c r="U2326">
        <v>0</v>
      </c>
      <c r="V2326">
        <v>750980.5</v>
      </c>
      <c r="W2326">
        <v>0</v>
      </c>
      <c r="X2326">
        <v>0</v>
      </c>
      <c r="Y2326">
        <v>952722.25679899112</v>
      </c>
      <c r="Z2326">
        <v>59907.350801008899</v>
      </c>
      <c r="AA2326">
        <v>1012629.6076</v>
      </c>
      <c r="AB2326" t="s">
        <v>242</v>
      </c>
      <c r="AC2326">
        <v>5</v>
      </c>
      <c r="AD2326">
        <v>16000</v>
      </c>
      <c r="AE2326">
        <v>0</v>
      </c>
      <c r="AF2326">
        <v>0</v>
      </c>
      <c r="AG2326">
        <v>940.19679899110452</v>
      </c>
      <c r="AH2326" t="s">
        <v>58</v>
      </c>
      <c r="AK2326" t="s">
        <v>798</v>
      </c>
      <c r="AL2326">
        <v>4302300047</v>
      </c>
      <c r="AM2326">
        <v>901012034728</v>
      </c>
      <c r="AN2326" t="s">
        <v>227</v>
      </c>
      <c r="AO2326" t="s">
        <v>447</v>
      </c>
      <c r="AP2326" t="s">
        <v>433</v>
      </c>
      <c r="AQ2326" t="s">
        <v>82</v>
      </c>
      <c r="AR2326" t="s">
        <v>83</v>
      </c>
      <c r="AT2326" t="s">
        <v>52</v>
      </c>
      <c r="AU2326">
        <v>2800</v>
      </c>
      <c r="AW2326">
        <v>45353</v>
      </c>
      <c r="AX2326" t="s">
        <v>1013</v>
      </c>
      <c r="AY2326">
        <v>0</v>
      </c>
      <c r="AZ2326">
        <v>0</v>
      </c>
      <c r="BA2326">
        <v>50398.31776594869</v>
      </c>
      <c r="BB2326">
        <v>45094.06</v>
      </c>
      <c r="BC2326">
        <v>104088.06246173019</v>
      </c>
      <c r="BD2326">
        <v>0</v>
      </c>
      <c r="BE2326">
        <v>0</v>
      </c>
      <c r="BF2326">
        <v>745073.02</v>
      </c>
      <c r="BG2326">
        <v>0</v>
      </c>
      <c r="BH2326">
        <v>0</v>
      </c>
      <c r="BI2326">
        <v>944653.46022767888</v>
      </c>
      <c r="BJ2326">
        <v>59441.275772321118</v>
      </c>
      <c r="BK2326">
        <v>1004094.736</v>
      </c>
      <c r="BL2326" t="s">
        <v>242</v>
      </c>
      <c r="BM2326">
        <v>5</v>
      </c>
      <c r="BN2326">
        <v>16000</v>
      </c>
      <c r="BO2326">
        <v>0</v>
      </c>
      <c r="BP2326">
        <v>0</v>
      </c>
      <c r="BQ2326">
        <v>940.85022767888609</v>
      </c>
      <c r="BR2326" t="s">
        <v>58</v>
      </c>
    </row>
    <row r="2327" spans="1:70" x14ac:dyDescent="0.3">
      <c r="A2327" t="s">
        <v>798</v>
      </c>
      <c r="B2327">
        <v>4302300047</v>
      </c>
      <c r="C2327">
        <v>901012034728</v>
      </c>
      <c r="D2327" t="s">
        <v>227</v>
      </c>
      <c r="E2327" t="s">
        <v>447</v>
      </c>
      <c r="F2327" t="s">
        <v>433</v>
      </c>
      <c r="G2327" t="s">
        <v>82</v>
      </c>
      <c r="H2327" t="s">
        <v>83</v>
      </c>
      <c r="J2327" t="s">
        <v>52</v>
      </c>
      <c r="K2327" s="15">
        <v>2800</v>
      </c>
      <c r="M2327">
        <v>45353</v>
      </c>
      <c r="N2327" t="s">
        <v>1013</v>
      </c>
      <c r="O2327">
        <v>0</v>
      </c>
      <c r="P2327">
        <v>0</v>
      </c>
      <c r="Q2327">
        <v>50398.31776594869</v>
      </c>
      <c r="R2327">
        <v>45094.06</v>
      </c>
      <c r="S2327">
        <v>104088.06246173019</v>
      </c>
      <c r="T2327">
        <v>0</v>
      </c>
      <c r="U2327">
        <v>0</v>
      </c>
      <c r="V2327">
        <v>745073.02</v>
      </c>
      <c r="W2327">
        <v>0</v>
      </c>
      <c r="X2327">
        <v>0</v>
      </c>
      <c r="Y2327">
        <v>944653.46022767888</v>
      </c>
      <c r="Z2327">
        <v>59441.275772321118</v>
      </c>
      <c r="AA2327">
        <v>1004094.736</v>
      </c>
      <c r="AB2327" t="s">
        <v>242</v>
      </c>
      <c r="AC2327">
        <v>5</v>
      </c>
      <c r="AD2327">
        <v>16000</v>
      </c>
      <c r="AE2327">
        <v>0</v>
      </c>
      <c r="AF2327">
        <v>0</v>
      </c>
      <c r="AG2327">
        <v>940.85022767888609</v>
      </c>
      <c r="AH2327" t="s">
        <v>58</v>
      </c>
      <c r="AK2327" t="s">
        <v>798</v>
      </c>
      <c r="AL2327">
        <v>4312300012</v>
      </c>
      <c r="AM2327" t="s">
        <v>61</v>
      </c>
      <c r="AN2327" t="s">
        <v>963</v>
      </c>
      <c r="AO2327" t="s">
        <v>448</v>
      </c>
      <c r="AP2327" t="s">
        <v>433</v>
      </c>
      <c r="AQ2327" t="s">
        <v>82</v>
      </c>
      <c r="AR2327" t="s">
        <v>71</v>
      </c>
      <c r="AT2327" t="s">
        <v>52</v>
      </c>
      <c r="AU2327">
        <v>20000</v>
      </c>
      <c r="AW2327">
        <v>45353</v>
      </c>
      <c r="AX2327" t="s">
        <v>1013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1805518.9532710281</v>
      </c>
      <c r="BI2327">
        <v>1805518.9532710281</v>
      </c>
      <c r="BJ2327">
        <v>126386.32672897198</v>
      </c>
      <c r="BK2327">
        <v>1931905.28</v>
      </c>
      <c r="BL2327" t="s">
        <v>242</v>
      </c>
      <c r="BM2327">
        <v>11</v>
      </c>
      <c r="BN2327">
        <v>180165</v>
      </c>
      <c r="BO2327">
        <v>0</v>
      </c>
      <c r="BP2327">
        <v>0</v>
      </c>
      <c r="BQ2327">
        <v>11786.495327102804</v>
      </c>
      <c r="BR2327" t="s">
        <v>58</v>
      </c>
    </row>
    <row r="2328" spans="1:70" x14ac:dyDescent="0.3">
      <c r="A2328" t="s">
        <v>798</v>
      </c>
      <c r="B2328">
        <v>4312300012</v>
      </c>
      <c r="C2328" t="s">
        <v>61</v>
      </c>
      <c r="D2328" t="s">
        <v>963</v>
      </c>
      <c r="E2328" t="s">
        <v>448</v>
      </c>
      <c r="F2328" t="s">
        <v>433</v>
      </c>
      <c r="G2328" t="s">
        <v>82</v>
      </c>
      <c r="H2328" t="s">
        <v>71</v>
      </c>
      <c r="J2328" t="s">
        <v>52</v>
      </c>
      <c r="K2328" s="15">
        <v>20000</v>
      </c>
      <c r="M2328">
        <v>45353</v>
      </c>
      <c r="N2328" t="s">
        <v>1013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1805518.9532710281</v>
      </c>
      <c r="Y2328">
        <v>1805518.9532710281</v>
      </c>
      <c r="Z2328">
        <v>126386.32672897198</v>
      </c>
      <c r="AA2328">
        <v>1931905.28</v>
      </c>
      <c r="AB2328" t="s">
        <v>242</v>
      </c>
      <c r="AC2328">
        <v>11</v>
      </c>
      <c r="AD2328">
        <v>180165</v>
      </c>
      <c r="AE2328">
        <v>0</v>
      </c>
      <c r="AF2328">
        <v>0</v>
      </c>
      <c r="AG2328">
        <v>11786.495327102804</v>
      </c>
      <c r="AH2328" t="s">
        <v>58</v>
      </c>
      <c r="AK2328" t="s">
        <v>798</v>
      </c>
      <c r="AL2328">
        <v>52201928</v>
      </c>
      <c r="AM2328">
        <v>28868846</v>
      </c>
      <c r="AN2328" t="s">
        <v>169</v>
      </c>
      <c r="AO2328" t="s">
        <v>438</v>
      </c>
      <c r="AP2328" t="s">
        <v>431</v>
      </c>
      <c r="AQ2328" t="s">
        <v>82</v>
      </c>
      <c r="AR2328" t="s">
        <v>83</v>
      </c>
      <c r="AT2328" t="s">
        <v>52</v>
      </c>
      <c r="AU2328">
        <v>1500</v>
      </c>
      <c r="AW2328">
        <v>45353</v>
      </c>
      <c r="AX2328" t="s">
        <v>1013</v>
      </c>
      <c r="AY2328">
        <v>0</v>
      </c>
      <c r="AZ2328">
        <v>0</v>
      </c>
      <c r="BA2328">
        <v>0</v>
      </c>
      <c r="BB2328">
        <v>755.98619265222192</v>
      </c>
      <c r="BC2328">
        <v>0</v>
      </c>
      <c r="BD2328">
        <v>0</v>
      </c>
      <c r="BE2328">
        <v>0</v>
      </c>
      <c r="BF2328">
        <v>46721.508255622437</v>
      </c>
      <c r="BG2328">
        <v>0</v>
      </c>
      <c r="BH2328">
        <v>0</v>
      </c>
      <c r="BI2328">
        <v>47477.494448274658</v>
      </c>
      <c r="BJ2328">
        <v>3270.5055778935707</v>
      </c>
      <c r="BK2328">
        <v>50748.000026168229</v>
      </c>
      <c r="BL2328" t="s">
        <v>242</v>
      </c>
      <c r="BM2328">
        <v>4</v>
      </c>
      <c r="BN2328">
        <v>17500</v>
      </c>
      <c r="BO2328">
        <v>0</v>
      </c>
      <c r="BP2328">
        <v>0</v>
      </c>
      <c r="BQ2328">
        <v>1126.3448911080898</v>
      </c>
      <c r="BR2328" t="s">
        <v>58</v>
      </c>
    </row>
    <row r="2329" spans="1:70" x14ac:dyDescent="0.3">
      <c r="A2329" t="s">
        <v>798</v>
      </c>
      <c r="B2329">
        <v>52201928</v>
      </c>
      <c r="C2329">
        <v>28868846</v>
      </c>
      <c r="D2329" t="s">
        <v>169</v>
      </c>
      <c r="E2329" t="s">
        <v>438</v>
      </c>
      <c r="F2329" t="s">
        <v>431</v>
      </c>
      <c r="G2329" t="s">
        <v>82</v>
      </c>
      <c r="H2329" t="s">
        <v>83</v>
      </c>
      <c r="J2329" t="s">
        <v>52</v>
      </c>
      <c r="K2329" s="15">
        <v>1500</v>
      </c>
      <c r="M2329">
        <v>45354</v>
      </c>
      <c r="N2329" t="s">
        <v>1013</v>
      </c>
      <c r="O2329">
        <v>0</v>
      </c>
      <c r="P2329">
        <v>0</v>
      </c>
      <c r="Q2329">
        <v>0</v>
      </c>
      <c r="R2329">
        <v>732.10162793042991</v>
      </c>
      <c r="S2329">
        <v>0</v>
      </c>
      <c r="T2329">
        <v>0</v>
      </c>
      <c r="U2329">
        <v>0</v>
      </c>
      <c r="V2329">
        <v>45341.961119848413</v>
      </c>
      <c r="W2329">
        <v>0</v>
      </c>
      <c r="X2329">
        <v>0</v>
      </c>
      <c r="Y2329">
        <v>46074.062747778844</v>
      </c>
      <c r="Z2329">
        <v>3173.9372783893891</v>
      </c>
      <c r="AA2329">
        <v>49248.000026168236</v>
      </c>
      <c r="AB2329" t="s">
        <v>242</v>
      </c>
      <c r="AC2329">
        <v>5</v>
      </c>
      <c r="AD2329">
        <v>19000</v>
      </c>
      <c r="AE2329">
        <v>0</v>
      </c>
      <c r="AF2329">
        <v>0</v>
      </c>
      <c r="AG2329">
        <v>1222.9131906122716</v>
      </c>
      <c r="AH2329" t="s">
        <v>58</v>
      </c>
      <c r="AK2329" t="s">
        <v>798</v>
      </c>
      <c r="AL2329">
        <v>4142300116</v>
      </c>
      <c r="AM2329">
        <v>10205921</v>
      </c>
      <c r="AN2329" t="s">
        <v>189</v>
      </c>
      <c r="AO2329" t="s">
        <v>445</v>
      </c>
      <c r="AP2329" t="s">
        <v>430</v>
      </c>
      <c r="AQ2329" t="s">
        <v>233</v>
      </c>
      <c r="AR2329" t="s">
        <v>234</v>
      </c>
      <c r="AT2329" t="s">
        <v>52</v>
      </c>
      <c r="AU2329">
        <v>50844.160000000003</v>
      </c>
      <c r="AW2329">
        <v>45354</v>
      </c>
      <c r="AX2329" t="s">
        <v>1013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95035.822429906475</v>
      </c>
      <c r="BI2329">
        <v>95035.822429906475</v>
      </c>
      <c r="BJ2329">
        <v>6652.507570093454</v>
      </c>
      <c r="BK2329">
        <v>101688.32999999993</v>
      </c>
      <c r="BL2329" t="s">
        <v>242</v>
      </c>
      <c r="BM2329">
        <v>7</v>
      </c>
      <c r="BN2329">
        <v>455909.12</v>
      </c>
      <c r="BO2329">
        <v>0</v>
      </c>
      <c r="BP2329">
        <v>0</v>
      </c>
      <c r="BQ2329">
        <v>29825.830280373819</v>
      </c>
      <c r="BR2329" t="s">
        <v>58</v>
      </c>
    </row>
    <row r="2330" spans="1:70" x14ac:dyDescent="0.3">
      <c r="A2330" t="s">
        <v>798</v>
      </c>
      <c r="B2330">
        <v>4142300116</v>
      </c>
      <c r="C2330">
        <v>10205921</v>
      </c>
      <c r="D2330" t="s">
        <v>189</v>
      </c>
      <c r="E2330" t="s">
        <v>445</v>
      </c>
      <c r="F2330" t="s">
        <v>430</v>
      </c>
      <c r="G2330" t="s">
        <v>233</v>
      </c>
      <c r="H2330" t="s">
        <v>234</v>
      </c>
      <c r="J2330" t="s">
        <v>52</v>
      </c>
      <c r="K2330" s="15">
        <v>50844.160000000003</v>
      </c>
      <c r="M2330">
        <v>45354</v>
      </c>
      <c r="N2330" t="s">
        <v>1013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95035.822429906475</v>
      </c>
      <c r="Y2330">
        <v>95035.822429906475</v>
      </c>
      <c r="Z2330">
        <v>6652.507570093454</v>
      </c>
      <c r="AA2330">
        <v>101688.32999999993</v>
      </c>
      <c r="AB2330" t="s">
        <v>242</v>
      </c>
      <c r="AC2330">
        <v>7</v>
      </c>
      <c r="AD2330">
        <v>455909.12</v>
      </c>
      <c r="AE2330">
        <v>0</v>
      </c>
      <c r="AF2330">
        <v>0</v>
      </c>
      <c r="AG2330">
        <v>29825.830280373819</v>
      </c>
      <c r="AH2330" t="s">
        <v>58</v>
      </c>
      <c r="AK2330" t="s">
        <v>798</v>
      </c>
      <c r="AL2330">
        <v>4232300098</v>
      </c>
      <c r="AM2330">
        <v>111655</v>
      </c>
      <c r="AN2330" t="s">
        <v>763</v>
      </c>
      <c r="AO2330" t="s">
        <v>443</v>
      </c>
      <c r="AP2330" t="s">
        <v>431</v>
      </c>
      <c r="AQ2330" t="s">
        <v>230</v>
      </c>
      <c r="AR2330" t="s">
        <v>231</v>
      </c>
      <c r="AT2330" t="s">
        <v>52</v>
      </c>
      <c r="AU2330">
        <v>16000</v>
      </c>
      <c r="AW2330">
        <v>45354</v>
      </c>
      <c r="AX2330" t="s">
        <v>1013</v>
      </c>
      <c r="AY2330">
        <v>0</v>
      </c>
      <c r="AZ2330">
        <v>15141.210440257415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495499.80332686211</v>
      </c>
      <c r="BH2330">
        <v>0</v>
      </c>
      <c r="BI2330">
        <v>510641.0137671195</v>
      </c>
      <c r="BJ2330">
        <v>34684.98623288035</v>
      </c>
      <c r="BK2330">
        <v>545325.99999999988</v>
      </c>
      <c r="BL2330" t="s">
        <v>242</v>
      </c>
      <c r="BM2330">
        <v>3</v>
      </c>
      <c r="BN2330">
        <v>116000</v>
      </c>
      <c r="BO2330">
        <v>0</v>
      </c>
      <c r="BP2330">
        <v>0</v>
      </c>
      <c r="BQ2330">
        <v>7361.5932063719774</v>
      </c>
      <c r="BR2330" t="s">
        <v>58</v>
      </c>
    </row>
    <row r="2331" spans="1:70" x14ac:dyDescent="0.3">
      <c r="A2331" t="s">
        <v>798</v>
      </c>
      <c r="B2331">
        <v>4142301620</v>
      </c>
      <c r="C2331">
        <v>10665498</v>
      </c>
      <c r="D2331" t="s">
        <v>762</v>
      </c>
      <c r="E2331" t="s">
        <v>446</v>
      </c>
      <c r="F2331" t="s">
        <v>430</v>
      </c>
      <c r="G2331" t="s">
        <v>237</v>
      </c>
      <c r="H2331" t="s">
        <v>234</v>
      </c>
      <c r="J2331" t="s">
        <v>52</v>
      </c>
      <c r="K2331" s="15">
        <v>2000</v>
      </c>
      <c r="M2331">
        <v>45354</v>
      </c>
      <c r="N2331" t="s">
        <v>1013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43813.08411214954</v>
      </c>
      <c r="Y2331">
        <v>43813.08411214954</v>
      </c>
      <c r="Z2331">
        <v>3066.9158878504682</v>
      </c>
      <c r="AA2331">
        <v>46880.000000000007</v>
      </c>
      <c r="AB2331" t="s">
        <v>242</v>
      </c>
      <c r="AC2331">
        <v>2</v>
      </c>
      <c r="AD2331">
        <v>4000</v>
      </c>
      <c r="AE2331">
        <v>0</v>
      </c>
      <c r="AF2331">
        <v>0</v>
      </c>
      <c r="AG2331">
        <v>261.68224299065423</v>
      </c>
      <c r="AH2331" t="s">
        <v>58</v>
      </c>
      <c r="AK2331" t="s">
        <v>798</v>
      </c>
      <c r="AL2331">
        <v>4302300045</v>
      </c>
      <c r="AM2331">
        <v>901012030501</v>
      </c>
      <c r="AN2331" t="s">
        <v>227</v>
      </c>
      <c r="AO2331" t="s">
        <v>447</v>
      </c>
      <c r="AP2331" t="s">
        <v>433</v>
      </c>
      <c r="AQ2331" t="s">
        <v>82</v>
      </c>
      <c r="AR2331" t="s">
        <v>83</v>
      </c>
      <c r="AT2331" t="s">
        <v>52</v>
      </c>
      <c r="AU2331">
        <v>1800</v>
      </c>
      <c r="AW2331">
        <v>45354</v>
      </c>
      <c r="AX2331" t="s">
        <v>1013</v>
      </c>
      <c r="AY2331">
        <v>0</v>
      </c>
      <c r="AZ2331">
        <v>0</v>
      </c>
      <c r="BA2331">
        <v>49655.206953272318</v>
      </c>
      <c r="BB2331">
        <v>42537.96</v>
      </c>
      <c r="BC2331">
        <v>114004.35752030625</v>
      </c>
      <c r="BD2331">
        <v>0</v>
      </c>
      <c r="BE2331">
        <v>0</v>
      </c>
      <c r="BF2331">
        <v>727221.82</v>
      </c>
      <c r="BG2331">
        <v>0</v>
      </c>
      <c r="BH2331">
        <v>0</v>
      </c>
      <c r="BI2331">
        <v>933419.3444735785</v>
      </c>
      <c r="BJ2331">
        <v>58885.832426421439</v>
      </c>
      <c r="BK2331">
        <v>992305.17689999996</v>
      </c>
      <c r="BL2331" t="s">
        <v>242</v>
      </c>
      <c r="BM2331">
        <v>4</v>
      </c>
      <c r="BN2331">
        <v>6000</v>
      </c>
      <c r="BO2331">
        <v>0</v>
      </c>
      <c r="BP2331">
        <v>0</v>
      </c>
      <c r="BQ2331">
        <v>353.74447357856252</v>
      </c>
      <c r="BR2331" t="s">
        <v>58</v>
      </c>
    </row>
    <row r="2332" spans="1:70" x14ac:dyDescent="0.3">
      <c r="A2332" t="s">
        <v>798</v>
      </c>
      <c r="B2332">
        <v>4232300098</v>
      </c>
      <c r="C2332">
        <v>111655</v>
      </c>
      <c r="D2332" t="s">
        <v>763</v>
      </c>
      <c r="E2332" t="s">
        <v>443</v>
      </c>
      <c r="F2332" t="s">
        <v>431</v>
      </c>
      <c r="G2332" t="s">
        <v>230</v>
      </c>
      <c r="H2332" t="s">
        <v>231</v>
      </c>
      <c r="J2332" t="s">
        <v>52</v>
      </c>
      <c r="K2332" s="15">
        <v>16000</v>
      </c>
      <c r="M2332">
        <v>45354</v>
      </c>
      <c r="N2332" t="s">
        <v>1013</v>
      </c>
      <c r="O2332">
        <v>0</v>
      </c>
      <c r="P2332">
        <v>15141.210440257415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495499.80332686211</v>
      </c>
      <c r="X2332">
        <v>0</v>
      </c>
      <c r="Y2332">
        <v>510641.0137671195</v>
      </c>
      <c r="Z2332">
        <v>34684.98623288035</v>
      </c>
      <c r="AA2332">
        <v>545325.99999999988</v>
      </c>
      <c r="AB2332" t="s">
        <v>242</v>
      </c>
      <c r="AC2332">
        <v>3</v>
      </c>
      <c r="AD2332">
        <v>116000</v>
      </c>
      <c r="AE2332">
        <v>0</v>
      </c>
      <c r="AF2332">
        <v>0</v>
      </c>
      <c r="AG2332">
        <v>7361.5932063719774</v>
      </c>
      <c r="AH2332" t="s">
        <v>58</v>
      </c>
      <c r="AK2332" t="s">
        <v>798</v>
      </c>
      <c r="AL2332">
        <v>52201928</v>
      </c>
      <c r="AM2332">
        <v>28868846</v>
      </c>
      <c r="AN2332" t="s">
        <v>169</v>
      </c>
      <c r="AO2332" t="s">
        <v>438</v>
      </c>
      <c r="AP2332" t="s">
        <v>431</v>
      </c>
      <c r="AQ2332" t="s">
        <v>82</v>
      </c>
      <c r="AR2332" t="s">
        <v>83</v>
      </c>
      <c r="AT2332" t="s">
        <v>52</v>
      </c>
      <c r="AU2332">
        <v>1500</v>
      </c>
      <c r="AW2332">
        <v>45354</v>
      </c>
      <c r="AX2332" t="s">
        <v>1013</v>
      </c>
      <c r="AY2332">
        <v>0</v>
      </c>
      <c r="AZ2332">
        <v>0</v>
      </c>
      <c r="BA2332">
        <v>0</v>
      </c>
      <c r="BB2332">
        <v>732.10162793042991</v>
      </c>
      <c r="BC2332">
        <v>0</v>
      </c>
      <c r="BD2332">
        <v>0</v>
      </c>
      <c r="BE2332">
        <v>0</v>
      </c>
      <c r="BF2332">
        <v>45341.961119848413</v>
      </c>
      <c r="BG2332">
        <v>0</v>
      </c>
      <c r="BH2332">
        <v>0</v>
      </c>
      <c r="BI2332">
        <v>46074.062747778844</v>
      </c>
      <c r="BJ2332">
        <v>3173.9372783893891</v>
      </c>
      <c r="BK2332">
        <v>49248.000026168236</v>
      </c>
      <c r="BL2332" t="s">
        <v>242</v>
      </c>
      <c r="BM2332">
        <v>5</v>
      </c>
      <c r="BN2332">
        <v>19000</v>
      </c>
      <c r="BO2332">
        <v>0</v>
      </c>
      <c r="BP2332">
        <v>0</v>
      </c>
      <c r="BQ2332">
        <v>1222.9131906122716</v>
      </c>
      <c r="BR2332" t="s">
        <v>58</v>
      </c>
    </row>
    <row r="2333" spans="1:70" x14ac:dyDescent="0.3">
      <c r="A2333" t="s">
        <v>798</v>
      </c>
      <c r="B2333">
        <v>4302300045</v>
      </c>
      <c r="C2333">
        <v>901012030501</v>
      </c>
      <c r="D2333" t="s">
        <v>227</v>
      </c>
      <c r="E2333" t="s">
        <v>447</v>
      </c>
      <c r="F2333" t="s">
        <v>433</v>
      </c>
      <c r="G2333" t="s">
        <v>82</v>
      </c>
      <c r="H2333" t="s">
        <v>83</v>
      </c>
      <c r="J2333" t="s">
        <v>52</v>
      </c>
      <c r="K2333" s="15">
        <v>1800</v>
      </c>
      <c r="M2333">
        <v>45354</v>
      </c>
      <c r="N2333" t="s">
        <v>1013</v>
      </c>
      <c r="O2333">
        <v>0</v>
      </c>
      <c r="P2333">
        <v>0</v>
      </c>
      <c r="Q2333">
        <v>49655.206953272318</v>
      </c>
      <c r="R2333">
        <v>42537.96</v>
      </c>
      <c r="S2333">
        <v>114004.35752030625</v>
      </c>
      <c r="T2333">
        <v>0</v>
      </c>
      <c r="U2333">
        <v>0</v>
      </c>
      <c r="V2333">
        <v>727221.82</v>
      </c>
      <c r="W2333">
        <v>0</v>
      </c>
      <c r="X2333">
        <v>0</v>
      </c>
      <c r="Y2333">
        <v>933419.3444735785</v>
      </c>
      <c r="Z2333">
        <v>58885.832426421439</v>
      </c>
      <c r="AA2333">
        <v>992305.17689999996</v>
      </c>
      <c r="AB2333" t="s">
        <v>242</v>
      </c>
      <c r="AC2333">
        <v>4</v>
      </c>
      <c r="AD2333">
        <v>6000</v>
      </c>
      <c r="AE2333">
        <v>0</v>
      </c>
      <c r="AF2333">
        <v>0</v>
      </c>
      <c r="AG2333">
        <v>353.74447357856252</v>
      </c>
      <c r="AH2333" t="s">
        <v>58</v>
      </c>
      <c r="AK2333" t="s">
        <v>798</v>
      </c>
      <c r="AL2333">
        <v>4142301620</v>
      </c>
      <c r="AM2333">
        <v>10665498</v>
      </c>
      <c r="AN2333" t="s">
        <v>762</v>
      </c>
      <c r="AO2333" t="s">
        <v>446</v>
      </c>
      <c r="AP2333" t="s">
        <v>430</v>
      </c>
      <c r="AQ2333" t="s">
        <v>237</v>
      </c>
      <c r="AR2333" t="s">
        <v>234</v>
      </c>
      <c r="AT2333" t="s">
        <v>52</v>
      </c>
      <c r="AU2333">
        <v>2000</v>
      </c>
      <c r="AW2333">
        <v>45354</v>
      </c>
      <c r="AX2333" t="s">
        <v>1013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43813.08411214954</v>
      </c>
      <c r="BI2333">
        <v>43813.08411214954</v>
      </c>
      <c r="BJ2333">
        <v>3066.9158878504682</v>
      </c>
      <c r="BK2333">
        <v>46880.000000000007</v>
      </c>
      <c r="BL2333" t="s">
        <v>242</v>
      </c>
      <c r="BM2333">
        <v>2</v>
      </c>
      <c r="BN2333">
        <v>4000</v>
      </c>
      <c r="BO2333">
        <v>0</v>
      </c>
      <c r="BP2333">
        <v>0</v>
      </c>
      <c r="BQ2333">
        <v>261.68224299065423</v>
      </c>
      <c r="BR2333" t="s">
        <v>58</v>
      </c>
    </row>
    <row r="2334" spans="1:70" x14ac:dyDescent="0.3">
      <c r="A2334" t="s">
        <v>798</v>
      </c>
      <c r="B2334">
        <v>52201037</v>
      </c>
      <c r="C2334">
        <v>28665648</v>
      </c>
      <c r="D2334" t="s">
        <v>770</v>
      </c>
      <c r="E2334" t="s">
        <v>438</v>
      </c>
      <c r="F2334" t="s">
        <v>431</v>
      </c>
      <c r="G2334" t="s">
        <v>235</v>
      </c>
      <c r="H2334" t="s">
        <v>236</v>
      </c>
      <c r="J2334" t="s">
        <v>52</v>
      </c>
      <c r="K2334" s="15">
        <v>4000</v>
      </c>
      <c r="M2334">
        <v>45355</v>
      </c>
      <c r="N2334" t="s">
        <v>1013</v>
      </c>
      <c r="O2334">
        <v>0</v>
      </c>
      <c r="P2334">
        <v>0</v>
      </c>
      <c r="Q2334">
        <v>0</v>
      </c>
      <c r="R2334">
        <v>868.15129607000995</v>
      </c>
      <c r="S2334">
        <v>66353.305453709763</v>
      </c>
      <c r="T2334">
        <v>0</v>
      </c>
      <c r="U2334">
        <v>0</v>
      </c>
      <c r="V2334">
        <v>85021.319967903532</v>
      </c>
      <c r="W2334">
        <v>0</v>
      </c>
      <c r="X2334">
        <v>0</v>
      </c>
      <c r="Y2334">
        <v>152242.7767176833</v>
      </c>
      <c r="Z2334">
        <v>5951.492397753248</v>
      </c>
      <c r="AA2334">
        <v>158194.26911543656</v>
      </c>
      <c r="AB2334" t="s">
        <v>242</v>
      </c>
      <c r="AC2334">
        <v>1</v>
      </c>
      <c r="AD2334">
        <v>4000</v>
      </c>
      <c r="AE2334">
        <v>0</v>
      </c>
      <c r="AF2334">
        <v>0</v>
      </c>
      <c r="AG2334">
        <v>260.18746796719688</v>
      </c>
      <c r="AH2334" t="s">
        <v>72</v>
      </c>
      <c r="AK2334" t="s">
        <v>798</v>
      </c>
      <c r="AL2334">
        <v>52201037</v>
      </c>
      <c r="AM2334">
        <v>28665648</v>
      </c>
      <c r="AN2334" t="s">
        <v>770</v>
      </c>
      <c r="AO2334" t="s">
        <v>438</v>
      </c>
      <c r="AP2334" t="s">
        <v>431</v>
      </c>
      <c r="AQ2334" t="s">
        <v>235</v>
      </c>
      <c r="AR2334" t="s">
        <v>236</v>
      </c>
      <c r="AT2334" t="s">
        <v>52</v>
      </c>
      <c r="AU2334">
        <v>4000</v>
      </c>
      <c r="AW2334">
        <v>45355</v>
      </c>
      <c r="AX2334" t="s">
        <v>1013</v>
      </c>
      <c r="AY2334">
        <v>0</v>
      </c>
      <c r="AZ2334">
        <v>0</v>
      </c>
      <c r="BA2334">
        <v>0</v>
      </c>
      <c r="BB2334">
        <v>868.15129607000995</v>
      </c>
      <c r="BC2334">
        <v>66353.305453709763</v>
      </c>
      <c r="BD2334">
        <v>0</v>
      </c>
      <c r="BE2334">
        <v>0</v>
      </c>
      <c r="BF2334">
        <v>85021.319967903532</v>
      </c>
      <c r="BG2334">
        <v>0</v>
      </c>
      <c r="BH2334">
        <v>0</v>
      </c>
      <c r="BI2334">
        <v>152242.7767176833</v>
      </c>
      <c r="BJ2334">
        <v>5951.492397753248</v>
      </c>
      <c r="BK2334">
        <v>158194.26911543656</v>
      </c>
      <c r="BL2334" t="s">
        <v>242</v>
      </c>
      <c r="BM2334">
        <v>1</v>
      </c>
      <c r="BN2334">
        <v>4000</v>
      </c>
      <c r="BO2334">
        <v>0</v>
      </c>
      <c r="BP2334">
        <v>0</v>
      </c>
      <c r="BQ2334">
        <v>260.18746796719688</v>
      </c>
      <c r="BR2334" t="s">
        <v>72</v>
      </c>
    </row>
    <row r="2335" spans="1:70" x14ac:dyDescent="0.3">
      <c r="A2335" t="s">
        <v>798</v>
      </c>
      <c r="B2335">
        <v>52201037</v>
      </c>
      <c r="C2335">
        <v>28665648</v>
      </c>
      <c r="D2335" t="s">
        <v>770</v>
      </c>
      <c r="E2335" t="s">
        <v>438</v>
      </c>
      <c r="F2335" t="s">
        <v>431</v>
      </c>
      <c r="G2335" t="s">
        <v>235</v>
      </c>
      <c r="H2335" t="s">
        <v>236</v>
      </c>
      <c r="J2335" t="s">
        <v>672</v>
      </c>
      <c r="M2335">
        <v>45355</v>
      </c>
      <c r="N2335" t="s">
        <v>1024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185929.90654205607</v>
      </c>
      <c r="W2335">
        <v>0</v>
      </c>
      <c r="X2335">
        <v>0</v>
      </c>
      <c r="Y2335">
        <v>185929.90654205607</v>
      </c>
      <c r="Z2335">
        <v>13015.093457943925</v>
      </c>
      <c r="AA2335">
        <v>198945</v>
      </c>
      <c r="AB2335" t="s">
        <v>242</v>
      </c>
      <c r="AC2335">
        <v>1</v>
      </c>
      <c r="AD2335">
        <v>4000</v>
      </c>
      <c r="AE2335">
        <v>0</v>
      </c>
      <c r="AF2335">
        <v>0</v>
      </c>
      <c r="AG2335">
        <v>260.18746796719688</v>
      </c>
      <c r="AH2335" t="s">
        <v>58</v>
      </c>
      <c r="AK2335" t="s">
        <v>798</v>
      </c>
      <c r="AL2335">
        <v>4132301706</v>
      </c>
      <c r="AM2335" t="s">
        <v>683</v>
      </c>
      <c r="AN2335" t="s">
        <v>980</v>
      </c>
      <c r="AO2335" t="s">
        <v>442</v>
      </c>
      <c r="AP2335" t="s">
        <v>430</v>
      </c>
      <c r="AQ2335" t="s">
        <v>230</v>
      </c>
      <c r="AR2335" t="s">
        <v>231</v>
      </c>
      <c r="AT2335" t="s">
        <v>52</v>
      </c>
      <c r="AU2335">
        <v>3000</v>
      </c>
      <c r="AW2335">
        <v>45355</v>
      </c>
      <c r="AX2335" t="s">
        <v>1013</v>
      </c>
      <c r="AY2335">
        <v>0</v>
      </c>
      <c r="AZ2335">
        <v>13897.16143078885</v>
      </c>
      <c r="BA2335">
        <v>0</v>
      </c>
      <c r="BB2335">
        <v>0</v>
      </c>
      <c r="BC2335">
        <v>12681.38</v>
      </c>
      <c r="BD2335">
        <v>8827.5500646833316</v>
      </c>
      <c r="BE2335">
        <v>42056.074766355137</v>
      </c>
      <c r="BF2335">
        <v>0</v>
      </c>
      <c r="BG2335">
        <v>299065.42056074768</v>
      </c>
      <c r="BH2335">
        <v>0</v>
      </c>
      <c r="BI2335">
        <v>376527.58682257496</v>
      </c>
      <c r="BJ2335">
        <v>24496.433177425031</v>
      </c>
      <c r="BK2335">
        <v>401024.02</v>
      </c>
      <c r="BL2335" t="s">
        <v>242</v>
      </c>
      <c r="BM2335">
        <v>2</v>
      </c>
      <c r="BN2335">
        <v>6000</v>
      </c>
      <c r="BO2335">
        <v>0</v>
      </c>
      <c r="BP2335">
        <v>0</v>
      </c>
      <c r="BQ2335">
        <v>364.79560762170058</v>
      </c>
      <c r="BR2335" t="s">
        <v>58</v>
      </c>
    </row>
    <row r="2336" spans="1:70" x14ac:dyDescent="0.3">
      <c r="A2336" t="s">
        <v>798</v>
      </c>
      <c r="B2336">
        <v>52201351</v>
      </c>
      <c r="C2336">
        <v>22940816</v>
      </c>
      <c r="D2336" t="s">
        <v>155</v>
      </c>
      <c r="E2336" t="s">
        <v>438</v>
      </c>
      <c r="F2336" t="s">
        <v>431</v>
      </c>
      <c r="G2336" t="s">
        <v>82</v>
      </c>
      <c r="H2336" t="s">
        <v>83</v>
      </c>
      <c r="J2336" t="s">
        <v>52</v>
      </c>
      <c r="K2336" s="15">
        <v>800</v>
      </c>
      <c r="M2336">
        <v>45355</v>
      </c>
      <c r="N2336" t="s">
        <v>1013</v>
      </c>
      <c r="O2336">
        <v>0</v>
      </c>
      <c r="P2336">
        <v>0</v>
      </c>
      <c r="Q2336">
        <v>0</v>
      </c>
      <c r="R2336">
        <v>755.7491902998205</v>
      </c>
      <c r="S2336">
        <v>15899.465099460416</v>
      </c>
      <c r="T2336">
        <v>0</v>
      </c>
      <c r="U2336">
        <v>0</v>
      </c>
      <c r="V2336">
        <v>73829.741339665459</v>
      </c>
      <c r="W2336">
        <v>0</v>
      </c>
      <c r="X2336">
        <v>0</v>
      </c>
      <c r="Y2336">
        <v>90484.955629425691</v>
      </c>
      <c r="Z2336">
        <v>6281.044450738812</v>
      </c>
      <c r="AA2336">
        <v>96766.000080164507</v>
      </c>
      <c r="AB2336" t="s">
        <v>242</v>
      </c>
      <c r="AC2336">
        <v>22</v>
      </c>
      <c r="AD2336">
        <v>16100</v>
      </c>
      <c r="AE2336">
        <v>0</v>
      </c>
      <c r="AF2336">
        <v>0</v>
      </c>
      <c r="AG2336">
        <v>1044.422844225222</v>
      </c>
      <c r="AH2336" t="s">
        <v>58</v>
      </c>
      <c r="AK2336" t="s">
        <v>798</v>
      </c>
      <c r="AL2336">
        <v>4132301724</v>
      </c>
      <c r="AM2336" t="s">
        <v>684</v>
      </c>
      <c r="AN2336" t="s">
        <v>967</v>
      </c>
      <c r="AO2336" t="s">
        <v>442</v>
      </c>
      <c r="AP2336" t="s">
        <v>430</v>
      </c>
      <c r="AQ2336" t="s">
        <v>230</v>
      </c>
      <c r="AR2336" t="s">
        <v>231</v>
      </c>
      <c r="AT2336" t="s">
        <v>52</v>
      </c>
      <c r="AU2336">
        <v>2000</v>
      </c>
      <c r="AW2336">
        <v>45355</v>
      </c>
      <c r="AX2336" t="s">
        <v>1013</v>
      </c>
      <c r="AY2336">
        <v>0</v>
      </c>
      <c r="AZ2336">
        <v>22222.216294324477</v>
      </c>
      <c r="BA2336">
        <v>0</v>
      </c>
      <c r="BB2336">
        <v>0</v>
      </c>
      <c r="BC2336">
        <v>270738.90999999997</v>
      </c>
      <c r="BD2336">
        <v>0</v>
      </c>
      <c r="BE2336">
        <v>0</v>
      </c>
      <c r="BF2336">
        <v>0</v>
      </c>
      <c r="BG2336">
        <v>632958.6763604444</v>
      </c>
      <c r="BH2336">
        <v>0</v>
      </c>
      <c r="BI2336">
        <v>925919.80265476881</v>
      </c>
      <c r="BJ2336">
        <v>44307.10734523111</v>
      </c>
      <c r="BK2336">
        <v>970226.90999999992</v>
      </c>
      <c r="BL2336" t="s">
        <v>242</v>
      </c>
      <c r="BM2336">
        <v>2</v>
      </c>
      <c r="BN2336">
        <v>4000</v>
      </c>
      <c r="BO2336">
        <v>0</v>
      </c>
      <c r="BP2336">
        <v>0</v>
      </c>
      <c r="BQ2336">
        <v>178.87396318010587</v>
      </c>
      <c r="BR2336" t="s">
        <v>58</v>
      </c>
    </row>
    <row r="2337" spans="1:70" x14ac:dyDescent="0.3">
      <c r="A2337" t="s">
        <v>798</v>
      </c>
      <c r="B2337">
        <v>4132300001</v>
      </c>
      <c r="C2337">
        <v>901013034103</v>
      </c>
      <c r="D2337" t="s">
        <v>771</v>
      </c>
      <c r="E2337" t="s">
        <v>447</v>
      </c>
      <c r="F2337" t="s">
        <v>430</v>
      </c>
      <c r="G2337" t="s">
        <v>237</v>
      </c>
      <c r="H2337" t="s">
        <v>231</v>
      </c>
      <c r="J2337" t="s">
        <v>425</v>
      </c>
      <c r="K2337" s="15">
        <v>120000</v>
      </c>
      <c r="M2337">
        <v>45355</v>
      </c>
      <c r="N2337" t="s">
        <v>1023</v>
      </c>
      <c r="O2337">
        <v>0</v>
      </c>
      <c r="P2337">
        <v>11676</v>
      </c>
      <c r="Q2337">
        <v>3078.95</v>
      </c>
      <c r="R2337">
        <v>0</v>
      </c>
      <c r="S2337">
        <v>51461.45</v>
      </c>
      <c r="T2337">
        <v>0</v>
      </c>
      <c r="U2337">
        <v>78504.672897196258</v>
      </c>
      <c r="V2337">
        <v>185445.06</v>
      </c>
      <c r="W2337">
        <v>0</v>
      </c>
      <c r="X2337">
        <v>0</v>
      </c>
      <c r="Y2337">
        <v>330166.13289719622</v>
      </c>
      <c r="Z2337">
        <v>5495.3271028037389</v>
      </c>
      <c r="AA2337">
        <v>335661.45999999996</v>
      </c>
      <c r="AB2337" t="s">
        <v>594</v>
      </c>
      <c r="AC2337">
        <v>0</v>
      </c>
      <c r="AD2337">
        <v>0</v>
      </c>
      <c r="AE2337">
        <v>0</v>
      </c>
      <c r="AF2337">
        <v>128400</v>
      </c>
      <c r="AG2337">
        <v>8400</v>
      </c>
      <c r="AH2337" t="s">
        <v>72</v>
      </c>
      <c r="AK2337" t="s">
        <v>798</v>
      </c>
      <c r="AL2337">
        <v>4132301757</v>
      </c>
      <c r="AM2337" t="s">
        <v>687</v>
      </c>
      <c r="AN2337" t="s">
        <v>960</v>
      </c>
      <c r="AO2337" t="s">
        <v>442</v>
      </c>
      <c r="AP2337" t="s">
        <v>430</v>
      </c>
      <c r="AQ2337" t="s">
        <v>230</v>
      </c>
      <c r="AR2337" t="s">
        <v>231</v>
      </c>
      <c r="AT2337" t="s">
        <v>52</v>
      </c>
      <c r="AU2337">
        <v>2000</v>
      </c>
      <c r="AW2337">
        <v>45355</v>
      </c>
      <c r="AX2337" t="s">
        <v>1013</v>
      </c>
      <c r="AY2337">
        <v>0</v>
      </c>
      <c r="AZ2337">
        <v>22264.717215297587</v>
      </c>
      <c r="BA2337">
        <v>0</v>
      </c>
      <c r="BB2337">
        <v>0</v>
      </c>
      <c r="BC2337">
        <v>367687.74</v>
      </c>
      <c r="BD2337">
        <v>40572.226901591028</v>
      </c>
      <c r="BE2337">
        <v>69532.710280373838</v>
      </c>
      <c r="BF2337">
        <v>0</v>
      </c>
      <c r="BG2337">
        <v>598130.84112149535</v>
      </c>
      <c r="BH2337">
        <v>0</v>
      </c>
      <c r="BI2337">
        <v>1098188.2355187577</v>
      </c>
      <c r="BJ2337">
        <v>49576.50448124222</v>
      </c>
      <c r="BK2337">
        <v>1147764.74</v>
      </c>
      <c r="BL2337" t="s">
        <v>242</v>
      </c>
      <c r="BM2337">
        <v>5</v>
      </c>
      <c r="BN2337">
        <v>12000</v>
      </c>
      <c r="BO2337">
        <v>0</v>
      </c>
      <c r="BP2337">
        <v>0</v>
      </c>
      <c r="BQ2337">
        <v>506.20579913161839</v>
      </c>
      <c r="BR2337" t="s">
        <v>58</v>
      </c>
    </row>
    <row r="2338" spans="1:70" x14ac:dyDescent="0.3">
      <c r="A2338" t="s">
        <v>798</v>
      </c>
      <c r="B2338">
        <v>4132301706</v>
      </c>
      <c r="C2338" t="s">
        <v>683</v>
      </c>
      <c r="D2338" t="s">
        <v>980</v>
      </c>
      <c r="E2338" t="s">
        <v>442</v>
      </c>
      <c r="F2338" t="s">
        <v>430</v>
      </c>
      <c r="G2338" t="s">
        <v>230</v>
      </c>
      <c r="H2338" t="s">
        <v>231</v>
      </c>
      <c r="J2338" t="s">
        <v>52</v>
      </c>
      <c r="K2338" s="15">
        <v>3000</v>
      </c>
      <c r="M2338">
        <v>45355</v>
      </c>
      <c r="N2338" t="s">
        <v>1013</v>
      </c>
      <c r="O2338">
        <v>0</v>
      </c>
      <c r="P2338">
        <v>13897.16143078885</v>
      </c>
      <c r="Q2338">
        <v>0</v>
      </c>
      <c r="R2338">
        <v>0</v>
      </c>
      <c r="S2338">
        <v>12681.38</v>
      </c>
      <c r="T2338">
        <v>8827.5500646833316</v>
      </c>
      <c r="U2338">
        <v>42056.074766355137</v>
      </c>
      <c r="V2338">
        <v>0</v>
      </c>
      <c r="W2338">
        <v>299065.42056074768</v>
      </c>
      <c r="X2338">
        <v>0</v>
      </c>
      <c r="Y2338">
        <v>376527.58682257496</v>
      </c>
      <c r="Z2338">
        <v>24496.433177425031</v>
      </c>
      <c r="AA2338">
        <v>401024.02</v>
      </c>
      <c r="AB2338" t="s">
        <v>242</v>
      </c>
      <c r="AC2338">
        <v>2</v>
      </c>
      <c r="AD2338">
        <v>6000</v>
      </c>
      <c r="AE2338">
        <v>0</v>
      </c>
      <c r="AF2338">
        <v>0</v>
      </c>
      <c r="AG2338">
        <v>364.79560762170058</v>
      </c>
      <c r="AH2338" t="s">
        <v>58</v>
      </c>
      <c r="AK2338" t="s">
        <v>798</v>
      </c>
      <c r="AL2338">
        <v>4302300030</v>
      </c>
      <c r="AM2338">
        <v>901014009060</v>
      </c>
      <c r="AN2338" t="s">
        <v>226</v>
      </c>
      <c r="AO2338" t="s">
        <v>447</v>
      </c>
      <c r="AP2338" t="s">
        <v>433</v>
      </c>
      <c r="AQ2338" t="s">
        <v>82</v>
      </c>
      <c r="AR2338" t="s">
        <v>83</v>
      </c>
      <c r="AT2338" t="s">
        <v>52</v>
      </c>
      <c r="AU2338">
        <v>20000</v>
      </c>
      <c r="AW2338">
        <v>45355</v>
      </c>
      <c r="AX2338" t="s">
        <v>1013</v>
      </c>
      <c r="AY2338">
        <v>0</v>
      </c>
      <c r="AZ2338">
        <v>0</v>
      </c>
      <c r="BA2338">
        <v>26819.807922860698</v>
      </c>
      <c r="BB2338">
        <v>24628.69</v>
      </c>
      <c r="BC2338">
        <v>0</v>
      </c>
      <c r="BD2338">
        <v>0</v>
      </c>
      <c r="BE2338">
        <v>0</v>
      </c>
      <c r="BF2338">
        <v>559499.56007209281</v>
      </c>
      <c r="BG2338">
        <v>0</v>
      </c>
      <c r="BH2338">
        <v>0</v>
      </c>
      <c r="BI2338">
        <v>610948.05799495347</v>
      </c>
      <c r="BJ2338">
        <v>39164.969205046502</v>
      </c>
      <c r="BK2338">
        <v>650113.02720000001</v>
      </c>
      <c r="BL2338" t="s">
        <v>242</v>
      </c>
      <c r="BM2338">
        <v>10</v>
      </c>
      <c r="BN2338">
        <v>187000</v>
      </c>
      <c r="BO2338">
        <v>0</v>
      </c>
      <c r="BP2338">
        <v>0</v>
      </c>
      <c r="BQ2338">
        <v>11193.727994953504</v>
      </c>
      <c r="BR2338" t="s">
        <v>58</v>
      </c>
    </row>
    <row r="2339" spans="1:70" x14ac:dyDescent="0.3">
      <c r="A2339" t="s">
        <v>798</v>
      </c>
      <c r="B2339">
        <v>4132301724</v>
      </c>
      <c r="C2339" t="s">
        <v>684</v>
      </c>
      <c r="D2339" t="s">
        <v>967</v>
      </c>
      <c r="E2339" t="s">
        <v>442</v>
      </c>
      <c r="F2339" t="s">
        <v>430</v>
      </c>
      <c r="G2339" t="s">
        <v>230</v>
      </c>
      <c r="H2339" t="s">
        <v>231</v>
      </c>
      <c r="J2339" t="s">
        <v>52</v>
      </c>
      <c r="K2339" s="15">
        <v>2000</v>
      </c>
      <c r="M2339">
        <v>45355</v>
      </c>
      <c r="N2339" t="s">
        <v>1013</v>
      </c>
      <c r="O2339">
        <v>0</v>
      </c>
      <c r="P2339">
        <v>22222.216294324477</v>
      </c>
      <c r="Q2339">
        <v>0</v>
      </c>
      <c r="R2339">
        <v>0</v>
      </c>
      <c r="S2339">
        <v>270738.90999999997</v>
      </c>
      <c r="T2339">
        <v>0</v>
      </c>
      <c r="U2339">
        <v>0</v>
      </c>
      <c r="V2339">
        <v>0</v>
      </c>
      <c r="W2339">
        <v>632958.6763604444</v>
      </c>
      <c r="X2339">
        <v>0</v>
      </c>
      <c r="Y2339">
        <v>925919.80265476881</v>
      </c>
      <c r="Z2339">
        <v>44307.10734523111</v>
      </c>
      <c r="AA2339">
        <v>970226.90999999992</v>
      </c>
      <c r="AB2339" t="s">
        <v>242</v>
      </c>
      <c r="AC2339">
        <v>2</v>
      </c>
      <c r="AD2339">
        <v>4000</v>
      </c>
      <c r="AE2339">
        <v>0</v>
      </c>
      <c r="AF2339">
        <v>0</v>
      </c>
      <c r="AG2339">
        <v>178.87396318010587</v>
      </c>
      <c r="AH2339" t="s">
        <v>58</v>
      </c>
      <c r="AK2339" t="s">
        <v>798</v>
      </c>
      <c r="AL2339">
        <v>4302300036</v>
      </c>
      <c r="AM2339">
        <v>901015004180</v>
      </c>
      <c r="AN2339" t="s">
        <v>226</v>
      </c>
      <c r="AO2339" t="s">
        <v>447</v>
      </c>
      <c r="AP2339" t="s">
        <v>433</v>
      </c>
      <c r="AQ2339" t="s">
        <v>82</v>
      </c>
      <c r="AR2339" t="s">
        <v>83</v>
      </c>
      <c r="AT2339" t="s">
        <v>52</v>
      </c>
      <c r="AU2339">
        <v>20000</v>
      </c>
      <c r="AW2339">
        <v>45355</v>
      </c>
      <c r="AX2339" t="s">
        <v>1013</v>
      </c>
      <c r="AY2339">
        <v>0</v>
      </c>
      <c r="AZ2339">
        <v>0</v>
      </c>
      <c r="BA2339">
        <v>61259.410436706268</v>
      </c>
      <c r="BB2339">
        <v>32364.02</v>
      </c>
      <c r="BC2339">
        <v>47007.896788124955</v>
      </c>
      <c r="BD2339">
        <v>0</v>
      </c>
      <c r="BE2339">
        <v>0</v>
      </c>
      <c r="BF2339">
        <v>1054424.3799999999</v>
      </c>
      <c r="BG2339">
        <v>0</v>
      </c>
      <c r="BH2339">
        <v>0</v>
      </c>
      <c r="BI2339">
        <v>1195055.707224831</v>
      </c>
      <c r="BJ2339">
        <v>77100.259375168738</v>
      </c>
      <c r="BK2339">
        <v>1272155.9665999997</v>
      </c>
      <c r="BL2339" t="s">
        <v>242</v>
      </c>
      <c r="BM2339">
        <v>10</v>
      </c>
      <c r="BN2339">
        <v>193000</v>
      </c>
      <c r="BO2339">
        <v>0</v>
      </c>
      <c r="BP2339">
        <v>0</v>
      </c>
      <c r="BQ2339">
        <v>11631.907224831251</v>
      </c>
      <c r="BR2339" t="s">
        <v>58</v>
      </c>
    </row>
    <row r="2340" spans="1:70" x14ac:dyDescent="0.3">
      <c r="A2340" t="s">
        <v>798</v>
      </c>
      <c r="B2340">
        <v>4132301757</v>
      </c>
      <c r="C2340" t="s">
        <v>687</v>
      </c>
      <c r="D2340" t="s">
        <v>960</v>
      </c>
      <c r="E2340" t="s">
        <v>442</v>
      </c>
      <c r="F2340" t="s">
        <v>430</v>
      </c>
      <c r="G2340" t="s">
        <v>230</v>
      </c>
      <c r="H2340" t="s">
        <v>231</v>
      </c>
      <c r="J2340" t="s">
        <v>52</v>
      </c>
      <c r="K2340" s="15">
        <v>2000</v>
      </c>
      <c r="M2340">
        <v>45355</v>
      </c>
      <c r="N2340" t="s">
        <v>1013</v>
      </c>
      <c r="O2340">
        <v>0</v>
      </c>
      <c r="P2340">
        <v>22264.717215297587</v>
      </c>
      <c r="Q2340">
        <v>0</v>
      </c>
      <c r="R2340">
        <v>0</v>
      </c>
      <c r="S2340">
        <v>367687.74</v>
      </c>
      <c r="T2340">
        <v>40572.226901591028</v>
      </c>
      <c r="U2340">
        <v>69532.710280373838</v>
      </c>
      <c r="V2340">
        <v>0</v>
      </c>
      <c r="W2340">
        <v>598130.84112149535</v>
      </c>
      <c r="X2340">
        <v>0</v>
      </c>
      <c r="Y2340">
        <v>1098188.2355187577</v>
      </c>
      <c r="Z2340">
        <v>49576.50448124222</v>
      </c>
      <c r="AA2340">
        <v>1147764.74</v>
      </c>
      <c r="AB2340" t="s">
        <v>242</v>
      </c>
      <c r="AC2340">
        <v>5</v>
      </c>
      <c r="AD2340">
        <v>12000</v>
      </c>
      <c r="AE2340">
        <v>0</v>
      </c>
      <c r="AF2340">
        <v>0</v>
      </c>
      <c r="AG2340">
        <v>506.20579913161839</v>
      </c>
      <c r="AH2340" t="s">
        <v>58</v>
      </c>
      <c r="AK2340" t="s">
        <v>798</v>
      </c>
      <c r="AL2340">
        <v>52201351</v>
      </c>
      <c r="AM2340">
        <v>22940816</v>
      </c>
      <c r="AN2340" t="s">
        <v>155</v>
      </c>
      <c r="AO2340" t="s">
        <v>438</v>
      </c>
      <c r="AP2340" t="s">
        <v>431</v>
      </c>
      <c r="AQ2340" t="s">
        <v>82</v>
      </c>
      <c r="AR2340" t="s">
        <v>83</v>
      </c>
      <c r="AT2340" t="s">
        <v>52</v>
      </c>
      <c r="AU2340">
        <v>800</v>
      </c>
      <c r="AW2340">
        <v>45355</v>
      </c>
      <c r="AX2340" t="s">
        <v>1013</v>
      </c>
      <c r="AY2340">
        <v>0</v>
      </c>
      <c r="AZ2340">
        <v>0</v>
      </c>
      <c r="BA2340">
        <v>0</v>
      </c>
      <c r="BB2340">
        <v>755.7491902998205</v>
      </c>
      <c r="BC2340">
        <v>15899.465099460416</v>
      </c>
      <c r="BD2340">
        <v>0</v>
      </c>
      <c r="BE2340">
        <v>0</v>
      </c>
      <c r="BF2340">
        <v>73829.741339665459</v>
      </c>
      <c r="BG2340">
        <v>0</v>
      </c>
      <c r="BH2340">
        <v>0</v>
      </c>
      <c r="BI2340">
        <v>90484.955629425691</v>
      </c>
      <c r="BJ2340">
        <v>6281.044450738812</v>
      </c>
      <c r="BK2340">
        <v>96766.000080164507</v>
      </c>
      <c r="BL2340" t="s">
        <v>242</v>
      </c>
      <c r="BM2340">
        <v>22</v>
      </c>
      <c r="BN2340">
        <v>16100</v>
      </c>
      <c r="BO2340">
        <v>0</v>
      </c>
      <c r="BP2340">
        <v>0</v>
      </c>
      <c r="BQ2340">
        <v>1044.422844225222</v>
      </c>
      <c r="BR2340" t="s">
        <v>58</v>
      </c>
    </row>
    <row r="2341" spans="1:70" x14ac:dyDescent="0.3">
      <c r="A2341" t="s">
        <v>798</v>
      </c>
      <c r="B2341">
        <v>4302300030</v>
      </c>
      <c r="C2341">
        <v>901014009060</v>
      </c>
      <c r="D2341" t="s">
        <v>226</v>
      </c>
      <c r="E2341" t="s">
        <v>447</v>
      </c>
      <c r="F2341" t="s">
        <v>433</v>
      </c>
      <c r="G2341" t="s">
        <v>82</v>
      </c>
      <c r="H2341" t="s">
        <v>83</v>
      </c>
      <c r="J2341" t="s">
        <v>52</v>
      </c>
      <c r="K2341" s="15">
        <v>20000</v>
      </c>
      <c r="M2341">
        <v>45355</v>
      </c>
      <c r="N2341" t="s">
        <v>1013</v>
      </c>
      <c r="O2341">
        <v>0</v>
      </c>
      <c r="P2341">
        <v>0</v>
      </c>
      <c r="Q2341">
        <v>26819.807922860698</v>
      </c>
      <c r="R2341">
        <v>24628.69</v>
      </c>
      <c r="S2341">
        <v>0</v>
      </c>
      <c r="T2341">
        <v>0</v>
      </c>
      <c r="U2341">
        <v>0</v>
      </c>
      <c r="V2341">
        <v>559499.56007209281</v>
      </c>
      <c r="W2341">
        <v>0</v>
      </c>
      <c r="X2341">
        <v>0</v>
      </c>
      <c r="Y2341">
        <v>610948.05799495347</v>
      </c>
      <c r="Z2341">
        <v>39164.969205046502</v>
      </c>
      <c r="AA2341">
        <v>650113.02720000001</v>
      </c>
      <c r="AB2341" t="s">
        <v>242</v>
      </c>
      <c r="AC2341">
        <v>10</v>
      </c>
      <c r="AD2341">
        <v>187000</v>
      </c>
      <c r="AE2341">
        <v>0</v>
      </c>
      <c r="AF2341">
        <v>0</v>
      </c>
      <c r="AG2341">
        <v>11193.727994953504</v>
      </c>
      <c r="AH2341" t="s">
        <v>58</v>
      </c>
      <c r="AK2341" t="s">
        <v>798</v>
      </c>
      <c r="AL2341">
        <v>4132300001</v>
      </c>
      <c r="AM2341">
        <v>901013034103</v>
      </c>
      <c r="AN2341" t="s">
        <v>771</v>
      </c>
      <c r="AO2341" t="s">
        <v>447</v>
      </c>
      <c r="AP2341" t="s">
        <v>430</v>
      </c>
      <c r="AQ2341" t="s">
        <v>237</v>
      </c>
      <c r="AR2341" t="s">
        <v>231</v>
      </c>
      <c r="AT2341" t="s">
        <v>425</v>
      </c>
      <c r="AU2341">
        <v>120000</v>
      </c>
      <c r="AW2341">
        <v>45355</v>
      </c>
      <c r="AX2341" t="s">
        <v>1023</v>
      </c>
      <c r="AY2341">
        <v>0</v>
      </c>
      <c r="AZ2341">
        <v>11676</v>
      </c>
      <c r="BA2341">
        <v>3078.95</v>
      </c>
      <c r="BB2341">
        <v>0</v>
      </c>
      <c r="BC2341">
        <v>51461.45</v>
      </c>
      <c r="BD2341">
        <v>0</v>
      </c>
      <c r="BE2341">
        <v>78504.672897196258</v>
      </c>
      <c r="BF2341">
        <v>185445.06</v>
      </c>
      <c r="BG2341">
        <v>0</v>
      </c>
      <c r="BH2341">
        <v>0</v>
      </c>
      <c r="BI2341">
        <v>330166.13289719622</v>
      </c>
      <c r="BJ2341">
        <v>5495.3271028037389</v>
      </c>
      <c r="BK2341">
        <v>335661.45999999996</v>
      </c>
      <c r="BL2341" t="s">
        <v>594</v>
      </c>
      <c r="BM2341">
        <v>0</v>
      </c>
      <c r="BN2341">
        <v>0</v>
      </c>
      <c r="BO2341">
        <v>0</v>
      </c>
      <c r="BP2341">
        <v>128400</v>
      </c>
      <c r="BQ2341">
        <v>8400</v>
      </c>
      <c r="BR2341" t="s">
        <v>72</v>
      </c>
    </row>
    <row r="2342" spans="1:70" x14ac:dyDescent="0.3">
      <c r="A2342" t="s">
        <v>798</v>
      </c>
      <c r="B2342">
        <v>4302300036</v>
      </c>
      <c r="C2342">
        <v>901015004180</v>
      </c>
      <c r="D2342" t="s">
        <v>226</v>
      </c>
      <c r="E2342" t="s">
        <v>447</v>
      </c>
      <c r="F2342" t="s">
        <v>433</v>
      </c>
      <c r="G2342" t="s">
        <v>82</v>
      </c>
      <c r="H2342" t="s">
        <v>83</v>
      </c>
      <c r="J2342" t="s">
        <v>52</v>
      </c>
      <c r="K2342" s="15">
        <v>20000</v>
      </c>
      <c r="M2342">
        <v>45355</v>
      </c>
      <c r="N2342" t="s">
        <v>1013</v>
      </c>
      <c r="O2342">
        <v>0</v>
      </c>
      <c r="P2342">
        <v>0</v>
      </c>
      <c r="Q2342">
        <v>61259.410436706268</v>
      </c>
      <c r="R2342">
        <v>32364.02</v>
      </c>
      <c r="S2342">
        <v>47007.896788124955</v>
      </c>
      <c r="T2342">
        <v>0</v>
      </c>
      <c r="U2342">
        <v>0</v>
      </c>
      <c r="V2342">
        <v>1054424.3799999999</v>
      </c>
      <c r="W2342">
        <v>0</v>
      </c>
      <c r="X2342">
        <v>0</v>
      </c>
      <c r="Y2342">
        <v>1195055.707224831</v>
      </c>
      <c r="Z2342">
        <v>77100.259375168738</v>
      </c>
      <c r="AA2342">
        <v>1272155.9665999997</v>
      </c>
      <c r="AB2342" t="s">
        <v>242</v>
      </c>
      <c r="AC2342">
        <v>10</v>
      </c>
      <c r="AD2342">
        <v>193000</v>
      </c>
      <c r="AE2342">
        <v>0</v>
      </c>
      <c r="AF2342">
        <v>0</v>
      </c>
      <c r="AG2342">
        <v>11631.907224831251</v>
      </c>
      <c r="AH2342" t="s">
        <v>58</v>
      </c>
      <c r="AK2342" t="s">
        <v>798</v>
      </c>
      <c r="AL2342">
        <v>52201037</v>
      </c>
      <c r="AM2342">
        <v>28665648</v>
      </c>
      <c r="AN2342" t="s">
        <v>770</v>
      </c>
      <c r="AO2342" t="s">
        <v>438</v>
      </c>
      <c r="AP2342" t="s">
        <v>431</v>
      </c>
      <c r="AQ2342" t="s">
        <v>235</v>
      </c>
      <c r="AR2342" t="s">
        <v>236</v>
      </c>
      <c r="AT2342" t="s">
        <v>672</v>
      </c>
      <c r="AW2342">
        <v>45355</v>
      </c>
      <c r="AX2342" t="s">
        <v>1024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185929.90654205607</v>
      </c>
      <c r="BG2342">
        <v>0</v>
      </c>
      <c r="BH2342">
        <v>0</v>
      </c>
      <c r="BI2342">
        <v>185929.90654205607</v>
      </c>
      <c r="BJ2342">
        <v>13015.093457943925</v>
      </c>
      <c r="BK2342">
        <v>198945</v>
      </c>
      <c r="BL2342" t="s">
        <v>242</v>
      </c>
      <c r="BM2342">
        <v>1</v>
      </c>
      <c r="BN2342">
        <v>4000</v>
      </c>
      <c r="BO2342">
        <v>0</v>
      </c>
      <c r="BP2342">
        <v>0</v>
      </c>
      <c r="BQ2342">
        <v>260.18746796719688</v>
      </c>
      <c r="BR2342" t="s">
        <v>58</v>
      </c>
    </row>
    <row r="2343" spans="1:70" x14ac:dyDescent="0.3">
      <c r="A2343" t="s">
        <v>798</v>
      </c>
      <c r="B2343">
        <v>2200002</v>
      </c>
      <c r="C2343">
        <v>22961666</v>
      </c>
      <c r="D2343" t="s">
        <v>407</v>
      </c>
      <c r="E2343" t="s">
        <v>435</v>
      </c>
      <c r="F2343" t="s">
        <v>426</v>
      </c>
      <c r="G2343" t="s">
        <v>235</v>
      </c>
      <c r="H2343" t="s">
        <v>235</v>
      </c>
      <c r="J2343" t="s">
        <v>52</v>
      </c>
      <c r="K2343" s="15">
        <v>5000</v>
      </c>
      <c r="M2343">
        <v>45356</v>
      </c>
      <c r="N2343" t="s">
        <v>1013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73625</v>
      </c>
      <c r="W2343">
        <v>0</v>
      </c>
      <c r="X2343">
        <v>0</v>
      </c>
      <c r="Y2343">
        <v>73625</v>
      </c>
      <c r="Z2343">
        <v>0</v>
      </c>
      <c r="AA2343">
        <v>73625</v>
      </c>
      <c r="AB2343" t="s">
        <v>242</v>
      </c>
      <c r="AC2343">
        <v>11</v>
      </c>
      <c r="AD2343">
        <v>55000</v>
      </c>
      <c r="AE2343">
        <v>0</v>
      </c>
      <c r="AF2343">
        <v>0</v>
      </c>
      <c r="AG2343">
        <v>0</v>
      </c>
      <c r="AH2343" t="s">
        <v>58</v>
      </c>
      <c r="AK2343" t="s">
        <v>798</v>
      </c>
      <c r="AL2343">
        <v>4132302003</v>
      </c>
      <c r="AM2343" t="s">
        <v>767</v>
      </c>
      <c r="AN2343" t="s">
        <v>997</v>
      </c>
      <c r="AO2343" t="s">
        <v>442</v>
      </c>
      <c r="AP2343" t="s">
        <v>430</v>
      </c>
      <c r="AQ2343" t="s">
        <v>230</v>
      </c>
      <c r="AR2343" t="s">
        <v>231</v>
      </c>
      <c r="AT2343" t="s">
        <v>416</v>
      </c>
      <c r="AU2343">
        <v>0.28910000000000002</v>
      </c>
      <c r="AW2343">
        <v>45356</v>
      </c>
      <c r="AX2343" t="s">
        <v>1016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393067.24028037384</v>
      </c>
      <c r="BH2343">
        <v>0</v>
      </c>
      <c r="BI2343">
        <v>393067.24028037384</v>
      </c>
      <c r="BJ2343">
        <v>27514.706819626172</v>
      </c>
      <c r="BK2343">
        <v>420581.94709999999</v>
      </c>
      <c r="BL2343" t="s">
        <v>242</v>
      </c>
      <c r="BM2343">
        <v>0</v>
      </c>
      <c r="BN2343">
        <v>0</v>
      </c>
      <c r="BO2343">
        <v>0</v>
      </c>
      <c r="BP2343">
        <v>0</v>
      </c>
      <c r="BQ2343">
        <v>0</v>
      </c>
      <c r="BR2343" t="s">
        <v>72</v>
      </c>
    </row>
    <row r="2344" spans="1:70" x14ac:dyDescent="0.3">
      <c r="A2344" t="s">
        <v>798</v>
      </c>
      <c r="B2344">
        <v>2200003</v>
      </c>
      <c r="C2344">
        <v>22961796</v>
      </c>
      <c r="D2344" t="s">
        <v>407</v>
      </c>
      <c r="E2344" t="s">
        <v>435</v>
      </c>
      <c r="F2344" t="s">
        <v>426</v>
      </c>
      <c r="G2344" t="s">
        <v>235</v>
      </c>
      <c r="H2344" t="s">
        <v>235</v>
      </c>
      <c r="J2344" t="s">
        <v>52</v>
      </c>
      <c r="K2344" s="15">
        <v>5000</v>
      </c>
      <c r="M2344">
        <v>45356</v>
      </c>
      <c r="N2344" t="s">
        <v>1013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83250</v>
      </c>
      <c r="W2344">
        <v>0</v>
      </c>
      <c r="X2344">
        <v>0</v>
      </c>
      <c r="Y2344">
        <v>83250</v>
      </c>
      <c r="Z2344">
        <v>0</v>
      </c>
      <c r="AA2344">
        <v>83250</v>
      </c>
      <c r="AB2344" t="s">
        <v>242</v>
      </c>
      <c r="AC2344">
        <v>11</v>
      </c>
      <c r="AD2344">
        <v>55000</v>
      </c>
      <c r="AE2344">
        <v>0</v>
      </c>
      <c r="AF2344">
        <v>0</v>
      </c>
      <c r="AG2344">
        <v>0</v>
      </c>
      <c r="AH2344" t="s">
        <v>58</v>
      </c>
      <c r="AK2344" t="s">
        <v>798</v>
      </c>
      <c r="AL2344">
        <v>4142301174</v>
      </c>
      <c r="AM2344">
        <v>10037140</v>
      </c>
      <c r="AN2344" t="s">
        <v>772</v>
      </c>
      <c r="AO2344" t="s">
        <v>446</v>
      </c>
      <c r="AP2344" t="s">
        <v>430</v>
      </c>
      <c r="AQ2344" t="s">
        <v>230</v>
      </c>
      <c r="AR2344" t="s">
        <v>234</v>
      </c>
      <c r="AT2344" t="s">
        <v>52</v>
      </c>
      <c r="AU2344">
        <v>33000</v>
      </c>
      <c r="AW2344">
        <v>45356</v>
      </c>
      <c r="AX2344" t="s">
        <v>1013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260890.65420560748</v>
      </c>
      <c r="BI2344">
        <v>260890.65420560748</v>
      </c>
      <c r="BJ2344">
        <v>18262.345794392524</v>
      </c>
      <c r="BK2344">
        <v>279153</v>
      </c>
      <c r="BL2344" t="s">
        <v>242</v>
      </c>
      <c r="BM2344">
        <v>1</v>
      </c>
      <c r="BN2344">
        <v>33000</v>
      </c>
      <c r="BO2344">
        <v>0</v>
      </c>
      <c r="BP2344">
        <v>0</v>
      </c>
      <c r="BQ2344">
        <v>2158.878504672899</v>
      </c>
      <c r="BR2344" t="s">
        <v>72</v>
      </c>
    </row>
    <row r="2345" spans="1:70" x14ac:dyDescent="0.3">
      <c r="A2345" t="s">
        <v>798</v>
      </c>
      <c r="B2345">
        <v>52200012</v>
      </c>
      <c r="C2345">
        <v>26851674</v>
      </c>
      <c r="D2345" t="s">
        <v>637</v>
      </c>
      <c r="E2345" t="s">
        <v>435</v>
      </c>
      <c r="F2345" t="s">
        <v>431</v>
      </c>
      <c r="G2345" t="s">
        <v>230</v>
      </c>
      <c r="H2345" t="s">
        <v>231</v>
      </c>
      <c r="J2345" t="s">
        <v>52</v>
      </c>
      <c r="K2345" s="15">
        <v>2500</v>
      </c>
      <c r="M2345">
        <v>45356</v>
      </c>
      <c r="N2345" t="s">
        <v>1013</v>
      </c>
      <c r="O2345">
        <v>3714.2764507401525</v>
      </c>
      <c r="P2345">
        <v>0</v>
      </c>
      <c r="Q2345">
        <v>0</v>
      </c>
      <c r="R2345">
        <v>0</v>
      </c>
      <c r="S2345">
        <v>0</v>
      </c>
      <c r="T2345">
        <v>9930.5827563176063</v>
      </c>
      <c r="U2345">
        <v>0</v>
      </c>
      <c r="V2345">
        <v>0</v>
      </c>
      <c r="W2345">
        <v>42990.654205607476</v>
      </c>
      <c r="X2345">
        <v>0</v>
      </c>
      <c r="Y2345">
        <v>56635.513412665234</v>
      </c>
      <c r="Z2345">
        <v>3704.4865873347562</v>
      </c>
      <c r="AA2345">
        <v>60339.999999999993</v>
      </c>
      <c r="AB2345" t="s">
        <v>242</v>
      </c>
      <c r="AC2345">
        <v>13</v>
      </c>
      <c r="AD2345">
        <v>31300</v>
      </c>
      <c r="AE2345">
        <v>0</v>
      </c>
      <c r="AF2345">
        <v>0</v>
      </c>
      <c r="AG2345">
        <v>1911.2143472446828</v>
      </c>
      <c r="AH2345" t="s">
        <v>58</v>
      </c>
      <c r="AK2345" t="s">
        <v>798</v>
      </c>
      <c r="AL2345">
        <v>4142301211</v>
      </c>
      <c r="AM2345">
        <v>10143524</v>
      </c>
      <c r="AN2345" t="s">
        <v>216</v>
      </c>
      <c r="AO2345" t="s">
        <v>446</v>
      </c>
      <c r="AP2345" t="s">
        <v>430</v>
      </c>
      <c r="AQ2345" t="s">
        <v>230</v>
      </c>
      <c r="AR2345" t="s">
        <v>234</v>
      </c>
      <c r="AT2345" t="s">
        <v>52</v>
      </c>
      <c r="AU2345">
        <v>5000</v>
      </c>
      <c r="AW2345">
        <v>45356</v>
      </c>
      <c r="AX2345" t="s">
        <v>1013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134574</v>
      </c>
      <c r="BI2345">
        <v>134574</v>
      </c>
      <c r="BJ2345">
        <v>9420.18</v>
      </c>
      <c r="BK2345">
        <v>143994.18</v>
      </c>
      <c r="BL2345" t="s">
        <v>242</v>
      </c>
      <c r="BM2345">
        <v>5</v>
      </c>
      <c r="BN2345">
        <v>258000</v>
      </c>
      <c r="BO2345">
        <v>0</v>
      </c>
      <c r="BP2345">
        <v>0</v>
      </c>
      <c r="BQ2345">
        <v>16878.504672897197</v>
      </c>
      <c r="BR2345" t="s">
        <v>58</v>
      </c>
    </row>
    <row r="2346" spans="1:70" x14ac:dyDescent="0.3">
      <c r="A2346" t="s">
        <v>798</v>
      </c>
      <c r="B2346">
        <v>62200095</v>
      </c>
      <c r="C2346">
        <v>16244612</v>
      </c>
      <c r="D2346" t="s">
        <v>639</v>
      </c>
      <c r="E2346" t="s">
        <v>435</v>
      </c>
      <c r="F2346" t="s">
        <v>432</v>
      </c>
      <c r="G2346" t="s">
        <v>235</v>
      </c>
      <c r="H2346" t="s">
        <v>235</v>
      </c>
      <c r="J2346" t="s">
        <v>52</v>
      </c>
      <c r="K2346" s="15">
        <v>2000</v>
      </c>
      <c r="M2346">
        <v>45356</v>
      </c>
      <c r="N2346" t="s">
        <v>1013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32352.790000000008</v>
      </c>
      <c r="W2346">
        <v>0</v>
      </c>
      <c r="X2346">
        <v>0</v>
      </c>
      <c r="Y2346">
        <v>32352.790000000008</v>
      </c>
      <c r="Z2346">
        <v>0</v>
      </c>
      <c r="AA2346">
        <v>32352.790000000008</v>
      </c>
      <c r="AB2346" t="s">
        <v>242</v>
      </c>
      <c r="AC2346">
        <v>12</v>
      </c>
      <c r="AD2346">
        <v>24000</v>
      </c>
      <c r="AE2346">
        <v>0</v>
      </c>
      <c r="AF2346">
        <v>0</v>
      </c>
      <c r="AG2346">
        <v>0</v>
      </c>
      <c r="AH2346" t="s">
        <v>58</v>
      </c>
      <c r="AK2346" t="s">
        <v>798</v>
      </c>
      <c r="AL2346">
        <v>2200002</v>
      </c>
      <c r="AM2346">
        <v>22961666</v>
      </c>
      <c r="AN2346" t="s">
        <v>407</v>
      </c>
      <c r="AO2346" t="s">
        <v>435</v>
      </c>
      <c r="AP2346" t="s">
        <v>426</v>
      </c>
      <c r="AQ2346" t="s">
        <v>235</v>
      </c>
      <c r="AR2346" t="s">
        <v>235</v>
      </c>
      <c r="AT2346" t="s">
        <v>52</v>
      </c>
      <c r="AU2346">
        <v>5000</v>
      </c>
      <c r="AW2346">
        <v>45356</v>
      </c>
      <c r="AX2346" t="s">
        <v>1013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73625</v>
      </c>
      <c r="BG2346">
        <v>0</v>
      </c>
      <c r="BH2346">
        <v>0</v>
      </c>
      <c r="BI2346">
        <v>73625</v>
      </c>
      <c r="BJ2346">
        <v>0</v>
      </c>
      <c r="BK2346">
        <v>73625</v>
      </c>
      <c r="BL2346" t="s">
        <v>242</v>
      </c>
      <c r="BM2346">
        <v>11</v>
      </c>
      <c r="BN2346">
        <v>55000</v>
      </c>
      <c r="BO2346">
        <v>0</v>
      </c>
      <c r="BP2346">
        <v>0</v>
      </c>
      <c r="BQ2346">
        <v>0</v>
      </c>
      <c r="BR2346" t="s">
        <v>58</v>
      </c>
    </row>
    <row r="2347" spans="1:70" x14ac:dyDescent="0.3">
      <c r="A2347" t="s">
        <v>798</v>
      </c>
      <c r="B2347">
        <v>4132302003</v>
      </c>
      <c r="C2347" t="s">
        <v>767</v>
      </c>
      <c r="D2347" t="s">
        <v>997</v>
      </c>
      <c r="E2347" t="s">
        <v>442</v>
      </c>
      <c r="F2347" t="s">
        <v>430</v>
      </c>
      <c r="G2347" t="s">
        <v>230</v>
      </c>
      <c r="H2347" t="s">
        <v>231</v>
      </c>
      <c r="J2347" t="s">
        <v>416</v>
      </c>
      <c r="K2347" s="15">
        <v>0.28910000000000002</v>
      </c>
      <c r="M2347">
        <v>45356</v>
      </c>
      <c r="N2347" t="s">
        <v>1016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393067.24028037384</v>
      </c>
      <c r="X2347">
        <v>0</v>
      </c>
      <c r="Y2347">
        <v>393067.24028037384</v>
      </c>
      <c r="Z2347">
        <v>27514.706819626172</v>
      </c>
      <c r="AA2347">
        <v>420581.94709999999</v>
      </c>
      <c r="AB2347" t="s">
        <v>242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 t="s">
        <v>72</v>
      </c>
      <c r="AK2347" t="s">
        <v>798</v>
      </c>
      <c r="AL2347">
        <v>2200003</v>
      </c>
      <c r="AM2347">
        <v>22961796</v>
      </c>
      <c r="AN2347" t="s">
        <v>407</v>
      </c>
      <c r="AO2347" t="s">
        <v>435</v>
      </c>
      <c r="AP2347" t="s">
        <v>426</v>
      </c>
      <c r="AQ2347" t="s">
        <v>235</v>
      </c>
      <c r="AR2347" t="s">
        <v>235</v>
      </c>
      <c r="AT2347" t="s">
        <v>52</v>
      </c>
      <c r="AU2347">
        <v>5000</v>
      </c>
      <c r="AW2347">
        <v>45356</v>
      </c>
      <c r="AX2347" t="s">
        <v>1013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83250</v>
      </c>
      <c r="BG2347">
        <v>0</v>
      </c>
      <c r="BH2347">
        <v>0</v>
      </c>
      <c r="BI2347">
        <v>83250</v>
      </c>
      <c r="BJ2347">
        <v>0</v>
      </c>
      <c r="BK2347">
        <v>83250</v>
      </c>
      <c r="BL2347" t="s">
        <v>242</v>
      </c>
      <c r="BM2347">
        <v>11</v>
      </c>
      <c r="BN2347">
        <v>55000</v>
      </c>
      <c r="BO2347">
        <v>0</v>
      </c>
      <c r="BP2347">
        <v>0</v>
      </c>
      <c r="BQ2347">
        <v>0</v>
      </c>
      <c r="BR2347" t="s">
        <v>58</v>
      </c>
    </row>
    <row r="2348" spans="1:70" x14ac:dyDescent="0.3">
      <c r="A2348" t="s">
        <v>798</v>
      </c>
      <c r="B2348">
        <v>4142301174</v>
      </c>
      <c r="C2348">
        <v>10037140</v>
      </c>
      <c r="D2348" t="s">
        <v>772</v>
      </c>
      <c r="E2348" t="s">
        <v>446</v>
      </c>
      <c r="F2348" t="s">
        <v>430</v>
      </c>
      <c r="G2348" t="s">
        <v>230</v>
      </c>
      <c r="H2348" t="s">
        <v>234</v>
      </c>
      <c r="J2348" t="s">
        <v>52</v>
      </c>
      <c r="K2348" s="15">
        <v>33000</v>
      </c>
      <c r="M2348">
        <v>45356</v>
      </c>
      <c r="N2348" t="s">
        <v>1013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260890.65420560748</v>
      </c>
      <c r="Y2348">
        <v>260890.65420560748</v>
      </c>
      <c r="Z2348">
        <v>18262.345794392524</v>
      </c>
      <c r="AA2348">
        <v>279153</v>
      </c>
      <c r="AB2348" t="s">
        <v>242</v>
      </c>
      <c r="AC2348">
        <v>1</v>
      </c>
      <c r="AD2348">
        <v>33000</v>
      </c>
      <c r="AE2348">
        <v>0</v>
      </c>
      <c r="AF2348">
        <v>0</v>
      </c>
      <c r="AG2348">
        <v>2158.878504672899</v>
      </c>
      <c r="AH2348" t="s">
        <v>58</v>
      </c>
      <c r="AK2348" t="s">
        <v>798</v>
      </c>
      <c r="AL2348">
        <v>52200012</v>
      </c>
      <c r="AM2348">
        <v>26851674</v>
      </c>
      <c r="AN2348" t="s">
        <v>637</v>
      </c>
      <c r="AO2348" t="s">
        <v>435</v>
      </c>
      <c r="AP2348" t="s">
        <v>431</v>
      </c>
      <c r="AQ2348" t="s">
        <v>230</v>
      </c>
      <c r="AR2348" t="s">
        <v>231</v>
      </c>
      <c r="AT2348" t="s">
        <v>52</v>
      </c>
      <c r="AU2348">
        <v>2500</v>
      </c>
      <c r="AW2348">
        <v>45356</v>
      </c>
      <c r="AX2348" t="s">
        <v>1013</v>
      </c>
      <c r="AY2348">
        <v>3714.2764507401525</v>
      </c>
      <c r="AZ2348">
        <v>0</v>
      </c>
      <c r="BA2348">
        <v>0</v>
      </c>
      <c r="BB2348">
        <v>0</v>
      </c>
      <c r="BC2348">
        <v>0</v>
      </c>
      <c r="BD2348">
        <v>9930.5827563176063</v>
      </c>
      <c r="BE2348">
        <v>0</v>
      </c>
      <c r="BF2348">
        <v>0</v>
      </c>
      <c r="BG2348">
        <v>42990.654205607476</v>
      </c>
      <c r="BH2348">
        <v>0</v>
      </c>
      <c r="BI2348">
        <v>56635.513412665234</v>
      </c>
      <c r="BJ2348">
        <v>3704.4865873347562</v>
      </c>
      <c r="BK2348">
        <v>60339.999999999993</v>
      </c>
      <c r="BL2348" t="s">
        <v>242</v>
      </c>
      <c r="BM2348">
        <v>13</v>
      </c>
      <c r="BN2348">
        <v>31300</v>
      </c>
      <c r="BO2348">
        <v>0</v>
      </c>
      <c r="BP2348">
        <v>0</v>
      </c>
      <c r="BQ2348">
        <v>1911.2143472446828</v>
      </c>
      <c r="BR2348" t="s">
        <v>58</v>
      </c>
    </row>
    <row r="2349" spans="1:70" x14ac:dyDescent="0.3">
      <c r="A2349" t="s">
        <v>798</v>
      </c>
      <c r="B2349">
        <v>4142301211</v>
      </c>
      <c r="C2349">
        <v>10143524</v>
      </c>
      <c r="D2349" t="s">
        <v>216</v>
      </c>
      <c r="E2349" t="s">
        <v>446</v>
      </c>
      <c r="F2349" t="s">
        <v>430</v>
      </c>
      <c r="G2349" t="s">
        <v>230</v>
      </c>
      <c r="H2349" t="s">
        <v>234</v>
      </c>
      <c r="J2349" t="s">
        <v>52</v>
      </c>
      <c r="K2349" s="15">
        <v>5000</v>
      </c>
      <c r="M2349">
        <v>45356</v>
      </c>
      <c r="N2349" t="s">
        <v>1013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134574</v>
      </c>
      <c r="Y2349">
        <v>134574</v>
      </c>
      <c r="Z2349">
        <v>9420.18</v>
      </c>
      <c r="AA2349">
        <v>143994.18</v>
      </c>
      <c r="AB2349" t="s">
        <v>242</v>
      </c>
      <c r="AC2349">
        <v>5</v>
      </c>
      <c r="AD2349">
        <v>258000</v>
      </c>
      <c r="AE2349">
        <v>0</v>
      </c>
      <c r="AF2349">
        <v>0</v>
      </c>
      <c r="AG2349">
        <v>16878.504672897197</v>
      </c>
      <c r="AH2349" t="s">
        <v>58</v>
      </c>
      <c r="AK2349" t="s">
        <v>798</v>
      </c>
      <c r="AL2349">
        <v>62200095</v>
      </c>
      <c r="AM2349">
        <v>16244612</v>
      </c>
      <c r="AN2349" t="s">
        <v>639</v>
      </c>
      <c r="AO2349" t="s">
        <v>435</v>
      </c>
      <c r="AP2349" t="s">
        <v>432</v>
      </c>
      <c r="AQ2349" t="s">
        <v>235</v>
      </c>
      <c r="AR2349" t="s">
        <v>235</v>
      </c>
      <c r="AT2349" t="s">
        <v>52</v>
      </c>
      <c r="AU2349">
        <v>2000</v>
      </c>
      <c r="AW2349">
        <v>45356</v>
      </c>
      <c r="AX2349" t="s">
        <v>1013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32352.790000000008</v>
      </c>
      <c r="BG2349">
        <v>0</v>
      </c>
      <c r="BH2349">
        <v>0</v>
      </c>
      <c r="BI2349">
        <v>32352.790000000008</v>
      </c>
      <c r="BJ2349">
        <v>0</v>
      </c>
      <c r="BK2349">
        <v>32352.790000000008</v>
      </c>
      <c r="BL2349" t="s">
        <v>242</v>
      </c>
      <c r="BM2349">
        <v>12</v>
      </c>
      <c r="BN2349">
        <v>24000</v>
      </c>
      <c r="BO2349">
        <v>0</v>
      </c>
      <c r="BP2349">
        <v>0</v>
      </c>
      <c r="BQ2349">
        <v>0</v>
      </c>
      <c r="BR2349" t="s">
        <v>58</v>
      </c>
    </row>
    <row r="2350" spans="1:70" x14ac:dyDescent="0.3">
      <c r="A2350" t="s">
        <v>798</v>
      </c>
      <c r="B2350">
        <v>42201436</v>
      </c>
      <c r="C2350">
        <v>2759052776</v>
      </c>
      <c r="D2350" t="s">
        <v>998</v>
      </c>
      <c r="E2350" t="s">
        <v>439</v>
      </c>
      <c r="F2350" t="s">
        <v>430</v>
      </c>
      <c r="G2350" t="s">
        <v>230</v>
      </c>
      <c r="H2350" t="s">
        <v>234</v>
      </c>
      <c r="J2350" t="s">
        <v>52</v>
      </c>
      <c r="K2350" s="15">
        <v>1000</v>
      </c>
      <c r="M2350">
        <v>45357</v>
      </c>
      <c r="N2350" t="s">
        <v>1013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516216.86915887852</v>
      </c>
      <c r="Y2350">
        <v>516216.86915887852</v>
      </c>
      <c r="Z2350">
        <v>36135.180841121502</v>
      </c>
      <c r="AA2350">
        <v>552352.05000000005</v>
      </c>
      <c r="AB2350" t="s">
        <v>242</v>
      </c>
      <c r="AC2350">
        <v>2</v>
      </c>
      <c r="AD2350">
        <v>2300</v>
      </c>
      <c r="AE2350">
        <v>0</v>
      </c>
      <c r="AF2350">
        <v>0</v>
      </c>
      <c r="AG2350">
        <v>150.46728971962625</v>
      </c>
      <c r="AH2350" t="s">
        <v>58</v>
      </c>
      <c r="AK2350" t="s">
        <v>798</v>
      </c>
      <c r="AL2350">
        <v>42201436</v>
      </c>
      <c r="AM2350">
        <v>2759052776</v>
      </c>
      <c r="AN2350" t="s">
        <v>998</v>
      </c>
      <c r="AO2350" t="s">
        <v>439</v>
      </c>
      <c r="AP2350" t="s">
        <v>430</v>
      </c>
      <c r="AQ2350" t="s">
        <v>230</v>
      </c>
      <c r="AR2350" t="s">
        <v>234</v>
      </c>
      <c r="AT2350" t="s">
        <v>52</v>
      </c>
      <c r="AU2350">
        <v>1000</v>
      </c>
      <c r="AW2350">
        <v>45357</v>
      </c>
      <c r="AX2350" t="s">
        <v>1013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516216.86915887852</v>
      </c>
      <c r="BI2350">
        <v>516216.86915887852</v>
      </c>
      <c r="BJ2350">
        <v>36135.180841121502</v>
      </c>
      <c r="BK2350">
        <v>552352.05000000005</v>
      </c>
      <c r="BL2350" t="s">
        <v>242</v>
      </c>
      <c r="BM2350">
        <v>2</v>
      </c>
      <c r="BN2350">
        <v>2300</v>
      </c>
      <c r="BO2350">
        <v>0</v>
      </c>
      <c r="BP2350">
        <v>0</v>
      </c>
      <c r="BQ2350">
        <v>150.46728971962625</v>
      </c>
      <c r="BR2350" t="s">
        <v>58</v>
      </c>
    </row>
    <row r="2351" spans="1:70" x14ac:dyDescent="0.3">
      <c r="A2351" t="s">
        <v>798</v>
      </c>
      <c r="B2351">
        <v>62200092</v>
      </c>
      <c r="C2351">
        <v>18575408</v>
      </c>
      <c r="D2351" t="s">
        <v>658</v>
      </c>
      <c r="E2351" t="s">
        <v>435</v>
      </c>
      <c r="F2351" t="s">
        <v>432</v>
      </c>
      <c r="G2351" t="s">
        <v>235</v>
      </c>
      <c r="H2351" t="s">
        <v>235</v>
      </c>
      <c r="J2351" t="s">
        <v>52</v>
      </c>
      <c r="K2351" s="15">
        <v>10000</v>
      </c>
      <c r="M2351">
        <v>45357</v>
      </c>
      <c r="N2351" t="s">
        <v>1013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23618.739999999991</v>
      </c>
      <c r="W2351">
        <v>0</v>
      </c>
      <c r="X2351">
        <v>0</v>
      </c>
      <c r="Y2351">
        <v>23618.739999999991</v>
      </c>
      <c r="Z2351">
        <v>0</v>
      </c>
      <c r="AA2351">
        <v>23618.739999999991</v>
      </c>
      <c r="AB2351" t="s">
        <v>242</v>
      </c>
      <c r="AC2351">
        <v>11</v>
      </c>
      <c r="AD2351">
        <v>40000</v>
      </c>
      <c r="AE2351">
        <v>0</v>
      </c>
      <c r="AF2351">
        <v>0</v>
      </c>
      <c r="AG2351">
        <v>0</v>
      </c>
      <c r="AH2351" t="s">
        <v>58</v>
      </c>
      <c r="AK2351" t="s">
        <v>798</v>
      </c>
      <c r="AL2351">
        <v>4132301018</v>
      </c>
      <c r="AM2351">
        <v>1080106951</v>
      </c>
      <c r="AN2351" t="s">
        <v>178</v>
      </c>
      <c r="AO2351" t="s">
        <v>441</v>
      </c>
      <c r="AP2351" t="s">
        <v>430</v>
      </c>
      <c r="AQ2351" t="s">
        <v>238</v>
      </c>
      <c r="AR2351" t="s">
        <v>236</v>
      </c>
      <c r="AT2351" t="s">
        <v>52</v>
      </c>
      <c r="AU2351">
        <v>500</v>
      </c>
      <c r="AW2351">
        <v>45357</v>
      </c>
      <c r="AX2351" t="s">
        <v>1013</v>
      </c>
      <c r="AY2351">
        <v>0</v>
      </c>
      <c r="AZ2351">
        <v>0</v>
      </c>
      <c r="BA2351">
        <v>0</v>
      </c>
      <c r="BB2351">
        <v>0</v>
      </c>
      <c r="BC2351">
        <v>3975.2000784793895</v>
      </c>
      <c r="BD2351">
        <v>0</v>
      </c>
      <c r="BE2351">
        <v>0</v>
      </c>
      <c r="BF2351">
        <v>119355.1452345539</v>
      </c>
      <c r="BG2351">
        <v>0</v>
      </c>
      <c r="BH2351">
        <v>0</v>
      </c>
      <c r="BI2351">
        <v>123330.34531303329</v>
      </c>
      <c r="BJ2351">
        <v>8354.8601664187736</v>
      </c>
      <c r="BK2351">
        <v>131685.20547945207</v>
      </c>
      <c r="BL2351" t="s">
        <v>242</v>
      </c>
      <c r="BM2351">
        <v>3</v>
      </c>
      <c r="BN2351">
        <v>6500</v>
      </c>
      <c r="BO2351">
        <v>0</v>
      </c>
      <c r="BP2351">
        <v>0</v>
      </c>
      <c r="BQ2351">
        <v>411.49497376814344</v>
      </c>
      <c r="BR2351" t="s">
        <v>58</v>
      </c>
    </row>
    <row r="2352" spans="1:70" x14ac:dyDescent="0.3">
      <c r="A2352" t="s">
        <v>798</v>
      </c>
      <c r="B2352">
        <v>4132301018</v>
      </c>
      <c r="C2352">
        <v>1080106951</v>
      </c>
      <c r="D2352" t="s">
        <v>178</v>
      </c>
      <c r="E2352" t="s">
        <v>441</v>
      </c>
      <c r="F2352" t="s">
        <v>430</v>
      </c>
      <c r="G2352" t="s">
        <v>238</v>
      </c>
      <c r="H2352" t="s">
        <v>236</v>
      </c>
      <c r="J2352" t="s">
        <v>52</v>
      </c>
      <c r="K2352" s="15">
        <v>500</v>
      </c>
      <c r="M2352">
        <v>45357</v>
      </c>
      <c r="N2352" t="s">
        <v>1013</v>
      </c>
      <c r="O2352">
        <v>0</v>
      </c>
      <c r="P2352">
        <v>0</v>
      </c>
      <c r="Q2352">
        <v>0</v>
      </c>
      <c r="R2352">
        <v>0</v>
      </c>
      <c r="S2352">
        <v>3975.2000784793895</v>
      </c>
      <c r="T2352">
        <v>0</v>
      </c>
      <c r="U2352">
        <v>0</v>
      </c>
      <c r="V2352">
        <v>119355.1452345539</v>
      </c>
      <c r="W2352">
        <v>0</v>
      </c>
      <c r="X2352">
        <v>0</v>
      </c>
      <c r="Y2352">
        <v>123330.34531303329</v>
      </c>
      <c r="Z2352">
        <v>8354.8601664187736</v>
      </c>
      <c r="AA2352">
        <v>131685.20547945207</v>
      </c>
      <c r="AB2352" t="s">
        <v>242</v>
      </c>
      <c r="AC2352">
        <v>3</v>
      </c>
      <c r="AD2352">
        <v>6500</v>
      </c>
      <c r="AE2352">
        <v>0</v>
      </c>
      <c r="AF2352">
        <v>0</v>
      </c>
      <c r="AG2352">
        <v>411.49497376814344</v>
      </c>
      <c r="AH2352" t="s">
        <v>58</v>
      </c>
      <c r="AK2352" t="s">
        <v>798</v>
      </c>
      <c r="AL2352">
        <v>4132301762</v>
      </c>
      <c r="AM2352" t="s">
        <v>688</v>
      </c>
      <c r="AN2352" t="s">
        <v>981</v>
      </c>
      <c r="AO2352" t="s">
        <v>442</v>
      </c>
      <c r="AP2352" t="s">
        <v>430</v>
      </c>
      <c r="AQ2352" t="s">
        <v>230</v>
      </c>
      <c r="AR2352" t="s">
        <v>231</v>
      </c>
      <c r="AT2352" t="s">
        <v>52</v>
      </c>
      <c r="AU2352">
        <v>500</v>
      </c>
      <c r="AW2352">
        <v>45357</v>
      </c>
      <c r="AX2352" t="s">
        <v>1013</v>
      </c>
      <c r="AY2352">
        <v>0</v>
      </c>
      <c r="AZ2352">
        <v>18986.433877567717</v>
      </c>
      <c r="BA2352">
        <v>0</v>
      </c>
      <c r="BB2352">
        <v>0</v>
      </c>
      <c r="BC2352">
        <v>18809.34</v>
      </c>
      <c r="BD2352">
        <v>35156.603852740453</v>
      </c>
      <c r="BE2352">
        <v>16822.429906542056</v>
      </c>
      <c r="BF2352">
        <v>0</v>
      </c>
      <c r="BG2352">
        <v>392523.36448598129</v>
      </c>
      <c r="BH2352">
        <v>0</v>
      </c>
      <c r="BI2352">
        <v>482298.17212283151</v>
      </c>
      <c r="BJ2352">
        <v>31115.167877168467</v>
      </c>
      <c r="BK2352">
        <v>513413.33999999997</v>
      </c>
      <c r="BL2352" t="s">
        <v>242</v>
      </c>
      <c r="BM2352">
        <v>2</v>
      </c>
      <c r="BN2352">
        <v>1500</v>
      </c>
      <c r="BO2352">
        <v>0</v>
      </c>
      <c r="BP2352">
        <v>0</v>
      </c>
      <c r="BQ2352">
        <v>90.439599467046889</v>
      </c>
      <c r="BR2352" t="s">
        <v>58</v>
      </c>
    </row>
    <row r="2353" spans="1:70" x14ac:dyDescent="0.3">
      <c r="A2353" t="s">
        <v>798</v>
      </c>
      <c r="B2353">
        <v>4132301762</v>
      </c>
      <c r="C2353" t="s">
        <v>688</v>
      </c>
      <c r="D2353" t="s">
        <v>981</v>
      </c>
      <c r="E2353" t="s">
        <v>442</v>
      </c>
      <c r="F2353" t="s">
        <v>430</v>
      </c>
      <c r="G2353" t="s">
        <v>230</v>
      </c>
      <c r="H2353" t="s">
        <v>231</v>
      </c>
      <c r="J2353" t="s">
        <v>52</v>
      </c>
      <c r="K2353" s="15">
        <v>500</v>
      </c>
      <c r="M2353">
        <v>45357</v>
      </c>
      <c r="N2353" t="s">
        <v>1013</v>
      </c>
      <c r="O2353">
        <v>0</v>
      </c>
      <c r="P2353">
        <v>18986.433877567717</v>
      </c>
      <c r="Q2353">
        <v>0</v>
      </c>
      <c r="R2353">
        <v>0</v>
      </c>
      <c r="S2353">
        <v>18809.34</v>
      </c>
      <c r="T2353">
        <v>35156.603852740453</v>
      </c>
      <c r="U2353">
        <v>16822.429906542056</v>
      </c>
      <c r="V2353">
        <v>0</v>
      </c>
      <c r="W2353">
        <v>392523.36448598129</v>
      </c>
      <c r="X2353">
        <v>0</v>
      </c>
      <c r="Y2353">
        <v>482298.17212283151</v>
      </c>
      <c r="Z2353">
        <v>31115.167877168467</v>
      </c>
      <c r="AA2353">
        <v>513413.33999999997</v>
      </c>
      <c r="AB2353" t="s">
        <v>242</v>
      </c>
      <c r="AC2353">
        <v>2</v>
      </c>
      <c r="AD2353">
        <v>1500</v>
      </c>
      <c r="AE2353">
        <v>0</v>
      </c>
      <c r="AF2353">
        <v>0</v>
      </c>
      <c r="AG2353">
        <v>90.439599467046889</v>
      </c>
      <c r="AH2353" t="s">
        <v>58</v>
      </c>
      <c r="AK2353" t="s">
        <v>798</v>
      </c>
      <c r="AL2353">
        <v>62200092</v>
      </c>
      <c r="AM2353">
        <v>18575408</v>
      </c>
      <c r="AN2353" t="s">
        <v>658</v>
      </c>
      <c r="AO2353" t="s">
        <v>435</v>
      </c>
      <c r="AP2353" t="s">
        <v>432</v>
      </c>
      <c r="AQ2353" t="s">
        <v>235</v>
      </c>
      <c r="AR2353" t="s">
        <v>235</v>
      </c>
      <c r="AT2353" t="s">
        <v>52</v>
      </c>
      <c r="AU2353">
        <v>10000</v>
      </c>
      <c r="AW2353">
        <v>45357</v>
      </c>
      <c r="AX2353" t="s">
        <v>1013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26618.739999999991</v>
      </c>
      <c r="BG2353">
        <v>0</v>
      </c>
      <c r="BH2353">
        <v>0</v>
      </c>
      <c r="BI2353">
        <v>26618.739999999991</v>
      </c>
      <c r="BJ2353">
        <v>0</v>
      </c>
      <c r="BK2353">
        <v>26618.739999999991</v>
      </c>
      <c r="BL2353" t="s">
        <v>242</v>
      </c>
      <c r="BM2353">
        <v>10</v>
      </c>
      <c r="BN2353">
        <v>37000</v>
      </c>
      <c r="BO2353">
        <v>0</v>
      </c>
      <c r="BP2353">
        <v>0</v>
      </c>
      <c r="BQ2353">
        <v>0</v>
      </c>
      <c r="BR2353" t="s">
        <v>58</v>
      </c>
    </row>
    <row r="2354" spans="1:70" x14ac:dyDescent="0.3">
      <c r="A2354" t="s">
        <v>798</v>
      </c>
      <c r="B2354">
        <v>12200074</v>
      </c>
      <c r="C2354">
        <v>24614224</v>
      </c>
      <c r="D2354" t="s">
        <v>112</v>
      </c>
      <c r="E2354" t="s">
        <v>436</v>
      </c>
      <c r="F2354" t="s">
        <v>427</v>
      </c>
      <c r="G2354" t="s">
        <v>82</v>
      </c>
      <c r="H2354" t="s">
        <v>82</v>
      </c>
      <c r="J2354" t="s">
        <v>52</v>
      </c>
      <c r="K2354" s="15">
        <v>1000</v>
      </c>
      <c r="M2354">
        <v>45358</v>
      </c>
      <c r="N2354" t="s">
        <v>1013</v>
      </c>
      <c r="O2354">
        <v>0</v>
      </c>
      <c r="P2354">
        <v>0</v>
      </c>
      <c r="Q2354">
        <v>0</v>
      </c>
      <c r="R2354">
        <v>0</v>
      </c>
      <c r="S2354">
        <v>13080.236883253237</v>
      </c>
      <c r="T2354">
        <v>0</v>
      </c>
      <c r="U2354">
        <v>0</v>
      </c>
      <c r="V2354">
        <v>97971.528938102099</v>
      </c>
      <c r="W2354">
        <v>0</v>
      </c>
      <c r="X2354">
        <v>0</v>
      </c>
      <c r="Y2354">
        <v>111051.76582135534</v>
      </c>
      <c r="Z2354">
        <v>0</v>
      </c>
      <c r="AA2354">
        <v>111051.76582135534</v>
      </c>
      <c r="AB2354" t="s">
        <v>242</v>
      </c>
      <c r="AC2354">
        <v>5</v>
      </c>
      <c r="AD2354">
        <v>7500</v>
      </c>
      <c r="AE2354">
        <v>0</v>
      </c>
      <c r="AF2354">
        <v>0</v>
      </c>
      <c r="AG2354">
        <v>0</v>
      </c>
      <c r="AH2354" t="s">
        <v>58</v>
      </c>
      <c r="AK2354" t="s">
        <v>798</v>
      </c>
      <c r="AL2354">
        <v>52201944</v>
      </c>
      <c r="AM2354">
        <v>28645879</v>
      </c>
      <c r="AN2354" t="s">
        <v>773</v>
      </c>
      <c r="AO2354" t="s">
        <v>438</v>
      </c>
      <c r="AP2354" t="s">
        <v>431</v>
      </c>
      <c r="AQ2354" t="s">
        <v>82</v>
      </c>
      <c r="AR2354" t="s">
        <v>83</v>
      </c>
      <c r="AT2354" t="s">
        <v>416</v>
      </c>
      <c r="AU2354">
        <v>7.0900000000000005E-2</v>
      </c>
      <c r="AW2354">
        <v>45358</v>
      </c>
      <c r="AX2354" t="s">
        <v>1016</v>
      </c>
      <c r="AY2354">
        <v>0</v>
      </c>
      <c r="AZ2354">
        <v>0</v>
      </c>
      <c r="BA2354">
        <v>0</v>
      </c>
      <c r="BB2354">
        <v>827.82809999999995</v>
      </c>
      <c r="BC2354">
        <v>36619.617179141693</v>
      </c>
      <c r="BD2354">
        <v>0</v>
      </c>
      <c r="BE2354">
        <v>0</v>
      </c>
      <c r="BF2354">
        <v>80522.526539565704</v>
      </c>
      <c r="BG2354">
        <v>0</v>
      </c>
      <c r="BH2354">
        <v>0</v>
      </c>
      <c r="BI2354">
        <v>117969.97181870739</v>
      </c>
      <c r="BJ2354">
        <v>8199.9500603095184</v>
      </c>
      <c r="BK2354">
        <v>126169.92187901691</v>
      </c>
      <c r="BL2354" t="s">
        <v>242</v>
      </c>
      <c r="BM2354">
        <v>0</v>
      </c>
      <c r="BN2354">
        <v>0</v>
      </c>
      <c r="BO2354">
        <v>0</v>
      </c>
      <c r="BP2354">
        <v>0</v>
      </c>
      <c r="BQ2354">
        <v>0</v>
      </c>
      <c r="BR2354" t="s">
        <v>72</v>
      </c>
    </row>
    <row r="2355" spans="1:70" x14ac:dyDescent="0.3">
      <c r="A2355" t="s">
        <v>798</v>
      </c>
      <c r="B2355">
        <v>52201571</v>
      </c>
      <c r="C2355">
        <v>25111736</v>
      </c>
      <c r="D2355" t="s">
        <v>161</v>
      </c>
      <c r="E2355" t="s">
        <v>438</v>
      </c>
      <c r="F2355" t="s">
        <v>431</v>
      </c>
      <c r="G2355" t="s">
        <v>82</v>
      </c>
      <c r="H2355" t="s">
        <v>83</v>
      </c>
      <c r="J2355" t="s">
        <v>52</v>
      </c>
      <c r="K2355" s="15">
        <v>1000</v>
      </c>
      <c r="M2355">
        <v>45358</v>
      </c>
      <c r="N2355" t="s">
        <v>1013</v>
      </c>
      <c r="O2355">
        <v>0</v>
      </c>
      <c r="P2355">
        <v>0</v>
      </c>
      <c r="Q2355">
        <v>0</v>
      </c>
      <c r="R2355">
        <v>819.73797412667921</v>
      </c>
      <c r="S2355">
        <v>27944.668286692351</v>
      </c>
      <c r="T2355">
        <v>0</v>
      </c>
      <c r="U2355">
        <v>0</v>
      </c>
      <c r="V2355">
        <v>52010.71595270362</v>
      </c>
      <c r="W2355">
        <v>0</v>
      </c>
      <c r="X2355">
        <v>0</v>
      </c>
      <c r="Y2355">
        <v>80775.122213522642</v>
      </c>
      <c r="Z2355">
        <v>5596.876896757718</v>
      </c>
      <c r="AA2355">
        <v>86371.999110280361</v>
      </c>
      <c r="AB2355" t="s">
        <v>242</v>
      </c>
      <c r="AC2355">
        <v>7</v>
      </c>
      <c r="AD2355">
        <v>7000</v>
      </c>
      <c r="AE2355">
        <v>0</v>
      </c>
      <c r="AF2355">
        <v>0</v>
      </c>
      <c r="AG2355">
        <v>453.28192354099781</v>
      </c>
      <c r="AH2355" t="s">
        <v>58</v>
      </c>
      <c r="AK2355" t="s">
        <v>798</v>
      </c>
      <c r="AL2355">
        <v>12200074</v>
      </c>
      <c r="AM2355">
        <v>24614224</v>
      </c>
      <c r="AN2355" t="s">
        <v>112</v>
      </c>
      <c r="AO2355" t="s">
        <v>436</v>
      </c>
      <c r="AP2355" t="s">
        <v>427</v>
      </c>
      <c r="AQ2355" t="s">
        <v>82</v>
      </c>
      <c r="AR2355" t="s">
        <v>82</v>
      </c>
      <c r="AT2355" t="s">
        <v>52</v>
      </c>
      <c r="AU2355">
        <v>1000</v>
      </c>
      <c r="AW2355">
        <v>45358</v>
      </c>
      <c r="AX2355" t="s">
        <v>1013</v>
      </c>
      <c r="AY2355">
        <v>0</v>
      </c>
      <c r="AZ2355">
        <v>0</v>
      </c>
      <c r="BA2355">
        <v>0</v>
      </c>
      <c r="BB2355">
        <v>0</v>
      </c>
      <c r="BC2355">
        <v>13080.236883253237</v>
      </c>
      <c r="BD2355">
        <v>0</v>
      </c>
      <c r="BE2355">
        <v>0</v>
      </c>
      <c r="BF2355">
        <v>97971.528938102099</v>
      </c>
      <c r="BG2355">
        <v>0</v>
      </c>
      <c r="BH2355">
        <v>0</v>
      </c>
      <c r="BI2355">
        <v>111051.76582135534</v>
      </c>
      <c r="BJ2355">
        <v>0</v>
      </c>
      <c r="BK2355">
        <v>111051.76582135534</v>
      </c>
      <c r="BL2355" t="s">
        <v>242</v>
      </c>
      <c r="BM2355">
        <v>5</v>
      </c>
      <c r="BN2355">
        <v>7500</v>
      </c>
      <c r="BO2355">
        <v>0</v>
      </c>
      <c r="BP2355">
        <v>0</v>
      </c>
      <c r="BQ2355">
        <v>0</v>
      </c>
      <c r="BR2355" t="s">
        <v>58</v>
      </c>
    </row>
    <row r="2356" spans="1:70" x14ac:dyDescent="0.3">
      <c r="A2356" t="s">
        <v>798</v>
      </c>
      <c r="B2356">
        <v>52201944</v>
      </c>
      <c r="C2356">
        <v>28645879</v>
      </c>
      <c r="D2356" t="s">
        <v>773</v>
      </c>
      <c r="E2356" t="s">
        <v>438</v>
      </c>
      <c r="F2356" t="s">
        <v>431</v>
      </c>
      <c r="G2356" t="s">
        <v>82</v>
      </c>
      <c r="H2356" t="s">
        <v>83</v>
      </c>
      <c r="J2356" t="s">
        <v>416</v>
      </c>
      <c r="K2356" s="15">
        <v>7.0900000000000005E-2</v>
      </c>
      <c r="M2356">
        <v>45358</v>
      </c>
      <c r="N2356" t="s">
        <v>1016</v>
      </c>
      <c r="O2356">
        <v>0</v>
      </c>
      <c r="P2356">
        <v>0</v>
      </c>
      <c r="Q2356">
        <v>0</v>
      </c>
      <c r="R2356">
        <v>827.82809999999995</v>
      </c>
      <c r="S2356">
        <v>36619.617179141693</v>
      </c>
      <c r="T2356">
        <v>0</v>
      </c>
      <c r="U2356">
        <v>0</v>
      </c>
      <c r="V2356">
        <v>80522.526539565704</v>
      </c>
      <c r="W2356">
        <v>0</v>
      </c>
      <c r="X2356">
        <v>0</v>
      </c>
      <c r="Y2356">
        <v>117969.97181870739</v>
      </c>
      <c r="Z2356">
        <v>8199.9500603095184</v>
      </c>
      <c r="AA2356">
        <v>126169.92187901691</v>
      </c>
      <c r="AB2356" t="s">
        <v>242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 t="s">
        <v>72</v>
      </c>
      <c r="AK2356" t="s">
        <v>798</v>
      </c>
      <c r="AL2356">
        <v>4342300003</v>
      </c>
      <c r="AM2356" t="s">
        <v>695</v>
      </c>
      <c r="AN2356" t="s">
        <v>985</v>
      </c>
      <c r="AO2356" t="s">
        <v>448</v>
      </c>
      <c r="AP2356" t="s">
        <v>433</v>
      </c>
      <c r="AQ2356" t="s">
        <v>230</v>
      </c>
      <c r="AR2356" t="s">
        <v>231</v>
      </c>
      <c r="AT2356" t="s">
        <v>52</v>
      </c>
      <c r="AU2356">
        <v>10000</v>
      </c>
      <c r="AW2356">
        <v>45358</v>
      </c>
      <c r="AX2356" t="s">
        <v>1029</v>
      </c>
      <c r="AY2356">
        <v>0</v>
      </c>
      <c r="AZ2356">
        <v>2749.1069155350242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217351.94680791118</v>
      </c>
      <c r="BH2356">
        <v>0</v>
      </c>
      <c r="BI2356">
        <v>220101.05372344621</v>
      </c>
      <c r="BJ2356">
        <v>15214.636276553785</v>
      </c>
      <c r="BK2356">
        <v>235315.69</v>
      </c>
      <c r="BL2356" t="s">
        <v>242</v>
      </c>
      <c r="BM2356">
        <v>2</v>
      </c>
      <c r="BN2356">
        <v>20000</v>
      </c>
      <c r="BO2356">
        <v>0</v>
      </c>
      <c r="BP2356">
        <v>0</v>
      </c>
      <c r="BQ2356">
        <v>1291.9976486798623</v>
      </c>
      <c r="BR2356" t="s">
        <v>58</v>
      </c>
    </row>
    <row r="2357" spans="1:70" x14ac:dyDescent="0.3">
      <c r="A2357" t="s">
        <v>798</v>
      </c>
      <c r="B2357">
        <v>4142300178</v>
      </c>
      <c r="C2357">
        <v>10059928</v>
      </c>
      <c r="D2357" t="s">
        <v>191</v>
      </c>
      <c r="E2357" t="s">
        <v>445</v>
      </c>
      <c r="F2357" t="s">
        <v>430</v>
      </c>
      <c r="G2357" t="s">
        <v>421</v>
      </c>
      <c r="H2357" t="s">
        <v>234</v>
      </c>
      <c r="J2357" t="s">
        <v>450</v>
      </c>
      <c r="K2357" s="15">
        <v>300000</v>
      </c>
      <c r="M2357">
        <v>45358</v>
      </c>
      <c r="N2357" t="s">
        <v>1031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 t="s">
        <v>242</v>
      </c>
      <c r="AC2357">
        <v>2</v>
      </c>
      <c r="AD2357">
        <v>20000</v>
      </c>
      <c r="AE2357">
        <v>0</v>
      </c>
      <c r="AF2357">
        <v>335000</v>
      </c>
      <c r="AG2357">
        <v>23224.29906542059</v>
      </c>
      <c r="AH2357" t="s">
        <v>58</v>
      </c>
      <c r="AK2357" t="s">
        <v>798</v>
      </c>
      <c r="AL2357">
        <v>52201571</v>
      </c>
      <c r="AM2357">
        <v>25111736</v>
      </c>
      <c r="AN2357" t="s">
        <v>161</v>
      </c>
      <c r="AO2357" t="s">
        <v>438</v>
      </c>
      <c r="AP2357" t="s">
        <v>431</v>
      </c>
      <c r="AQ2357" t="s">
        <v>82</v>
      </c>
      <c r="AR2357" t="s">
        <v>83</v>
      </c>
      <c r="AT2357" t="s">
        <v>52</v>
      </c>
      <c r="AU2357">
        <v>1000</v>
      </c>
      <c r="AW2357">
        <v>45358</v>
      </c>
      <c r="AX2357" t="s">
        <v>1013</v>
      </c>
      <c r="AY2357">
        <v>0</v>
      </c>
      <c r="AZ2357">
        <v>0</v>
      </c>
      <c r="BA2357">
        <v>0</v>
      </c>
      <c r="BB2357">
        <v>819.73797412667921</v>
      </c>
      <c r="BC2357">
        <v>27944.668286692351</v>
      </c>
      <c r="BD2357">
        <v>0</v>
      </c>
      <c r="BE2357">
        <v>0</v>
      </c>
      <c r="BF2357">
        <v>52010.71595270362</v>
      </c>
      <c r="BG2357">
        <v>0</v>
      </c>
      <c r="BH2357">
        <v>0</v>
      </c>
      <c r="BI2357">
        <v>80775.122213522642</v>
      </c>
      <c r="BJ2357">
        <v>5596.876896757718</v>
      </c>
      <c r="BK2357">
        <v>86371.999110280361</v>
      </c>
      <c r="BL2357" t="s">
        <v>242</v>
      </c>
      <c r="BM2357">
        <v>7</v>
      </c>
      <c r="BN2357">
        <v>7000</v>
      </c>
      <c r="BO2357">
        <v>0</v>
      </c>
      <c r="BP2357">
        <v>0</v>
      </c>
      <c r="BQ2357">
        <v>453.28192354099781</v>
      </c>
      <c r="BR2357" t="s">
        <v>58</v>
      </c>
    </row>
    <row r="2358" spans="1:70" x14ac:dyDescent="0.3">
      <c r="A2358" t="s">
        <v>798</v>
      </c>
      <c r="B2358">
        <v>4342300003</v>
      </c>
      <c r="C2358" t="s">
        <v>695</v>
      </c>
      <c r="D2358" t="s">
        <v>985</v>
      </c>
      <c r="E2358" t="s">
        <v>448</v>
      </c>
      <c r="F2358" t="s">
        <v>433</v>
      </c>
      <c r="G2358" t="s">
        <v>230</v>
      </c>
      <c r="H2358" t="s">
        <v>231</v>
      </c>
      <c r="J2358" t="s">
        <v>52</v>
      </c>
      <c r="K2358" s="15">
        <v>10000</v>
      </c>
      <c r="M2358">
        <v>45358</v>
      </c>
      <c r="N2358" t="s">
        <v>1029</v>
      </c>
      <c r="O2358">
        <v>0</v>
      </c>
      <c r="P2358">
        <v>2749.1069155350242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217351.94680791118</v>
      </c>
      <c r="X2358">
        <v>0</v>
      </c>
      <c r="Y2358">
        <v>220101.05372344621</v>
      </c>
      <c r="Z2358">
        <v>15214.636276553785</v>
      </c>
      <c r="AA2358">
        <v>235315.69</v>
      </c>
      <c r="AB2358" t="s">
        <v>242</v>
      </c>
      <c r="AC2358">
        <v>2</v>
      </c>
      <c r="AD2358">
        <v>20000</v>
      </c>
      <c r="AE2358">
        <v>0</v>
      </c>
      <c r="AF2358">
        <v>0</v>
      </c>
      <c r="AG2358">
        <v>1291.9976486798623</v>
      </c>
      <c r="AH2358" t="s">
        <v>58</v>
      </c>
      <c r="AK2358" t="s">
        <v>798</v>
      </c>
      <c r="AL2358">
        <v>4142300178</v>
      </c>
      <c r="AM2358">
        <v>10059928</v>
      </c>
      <c r="AN2358" t="s">
        <v>191</v>
      </c>
      <c r="AO2358" t="s">
        <v>445</v>
      </c>
      <c r="AP2358" t="s">
        <v>430</v>
      </c>
      <c r="AQ2358" t="s">
        <v>421</v>
      </c>
      <c r="AR2358" t="s">
        <v>234</v>
      </c>
      <c r="AT2358" t="s">
        <v>450</v>
      </c>
      <c r="AU2358">
        <v>300000</v>
      </c>
      <c r="AW2358">
        <v>45358</v>
      </c>
      <c r="AX2358" t="s">
        <v>1031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0</v>
      </c>
      <c r="BJ2358">
        <v>0</v>
      </c>
      <c r="BK2358">
        <v>0</v>
      </c>
      <c r="BL2358" t="s">
        <v>242</v>
      </c>
      <c r="BM2358">
        <v>2</v>
      </c>
      <c r="BN2358">
        <v>20000</v>
      </c>
      <c r="BO2358">
        <v>0</v>
      </c>
      <c r="BP2358">
        <v>335000</v>
      </c>
      <c r="BQ2358">
        <v>23224.29906542059</v>
      </c>
      <c r="BR2358" t="s">
        <v>58</v>
      </c>
    </row>
    <row r="2359" spans="1:70" x14ac:dyDescent="0.3">
      <c r="A2359" t="s">
        <v>798</v>
      </c>
      <c r="B2359">
        <v>52200185</v>
      </c>
      <c r="C2359">
        <v>24837727</v>
      </c>
      <c r="D2359" t="s">
        <v>133</v>
      </c>
      <c r="E2359" t="s">
        <v>436</v>
      </c>
      <c r="F2359" t="s">
        <v>431</v>
      </c>
      <c r="G2359" t="s">
        <v>82</v>
      </c>
      <c r="H2359" t="s">
        <v>83</v>
      </c>
      <c r="J2359" t="s">
        <v>52</v>
      </c>
      <c r="K2359" s="15">
        <v>2000</v>
      </c>
      <c r="M2359">
        <v>45359</v>
      </c>
      <c r="N2359" t="s">
        <v>1013</v>
      </c>
      <c r="O2359">
        <v>0</v>
      </c>
      <c r="P2359">
        <v>0</v>
      </c>
      <c r="Q2359">
        <v>0</v>
      </c>
      <c r="R2359">
        <v>778.06840291843469</v>
      </c>
      <c r="S2359">
        <v>6539.7609405863159</v>
      </c>
      <c r="T2359">
        <v>0</v>
      </c>
      <c r="U2359">
        <v>0</v>
      </c>
      <c r="V2359">
        <v>51964.847111538125</v>
      </c>
      <c r="W2359">
        <v>0</v>
      </c>
      <c r="X2359">
        <v>0</v>
      </c>
      <c r="Y2359">
        <v>59282.676455042878</v>
      </c>
      <c r="Z2359">
        <v>4095.3225636487114</v>
      </c>
      <c r="AA2359">
        <v>63377.999018691589</v>
      </c>
      <c r="AB2359" t="s">
        <v>242</v>
      </c>
      <c r="AC2359">
        <v>8</v>
      </c>
      <c r="AD2359">
        <v>16000</v>
      </c>
      <c r="AE2359">
        <v>0</v>
      </c>
      <c r="AF2359">
        <v>0</v>
      </c>
      <c r="AG2359">
        <v>1032.8642880413929</v>
      </c>
      <c r="AH2359" t="s">
        <v>58</v>
      </c>
      <c r="AK2359" t="s">
        <v>798</v>
      </c>
      <c r="AL2359">
        <v>52200185</v>
      </c>
      <c r="AM2359">
        <v>24837727</v>
      </c>
      <c r="AN2359" t="s">
        <v>133</v>
      </c>
      <c r="AO2359" t="s">
        <v>436</v>
      </c>
      <c r="AP2359" t="s">
        <v>431</v>
      </c>
      <c r="AQ2359" t="s">
        <v>82</v>
      </c>
      <c r="AR2359" t="s">
        <v>83</v>
      </c>
      <c r="AT2359" t="s">
        <v>52</v>
      </c>
      <c r="AU2359">
        <v>2000</v>
      </c>
      <c r="AW2359">
        <v>45359</v>
      </c>
      <c r="AX2359" t="s">
        <v>1013</v>
      </c>
      <c r="AY2359">
        <v>0</v>
      </c>
      <c r="AZ2359">
        <v>0</v>
      </c>
      <c r="BA2359">
        <v>0</v>
      </c>
      <c r="BB2359">
        <v>778.06840291843469</v>
      </c>
      <c r="BC2359">
        <v>6539.7609405863159</v>
      </c>
      <c r="BD2359">
        <v>0</v>
      </c>
      <c r="BE2359">
        <v>0</v>
      </c>
      <c r="BF2359">
        <v>51964.847111538125</v>
      </c>
      <c r="BG2359">
        <v>0</v>
      </c>
      <c r="BH2359">
        <v>0</v>
      </c>
      <c r="BI2359">
        <v>59282.676455042878</v>
      </c>
      <c r="BJ2359">
        <v>4095.3225636487114</v>
      </c>
      <c r="BK2359">
        <v>63377.999018691589</v>
      </c>
      <c r="BL2359" t="s">
        <v>242</v>
      </c>
      <c r="BM2359">
        <v>8</v>
      </c>
      <c r="BN2359">
        <v>16000</v>
      </c>
      <c r="BO2359">
        <v>0</v>
      </c>
      <c r="BP2359">
        <v>0</v>
      </c>
      <c r="BQ2359">
        <v>1032.8642880413929</v>
      </c>
      <c r="BR2359" t="s">
        <v>58</v>
      </c>
    </row>
    <row r="2360" spans="1:70" x14ac:dyDescent="0.3">
      <c r="A2360" t="s">
        <v>798</v>
      </c>
      <c r="B2360">
        <v>52200247</v>
      </c>
      <c r="C2360">
        <v>23477201</v>
      </c>
      <c r="D2360" t="s">
        <v>135</v>
      </c>
      <c r="E2360" t="s">
        <v>436</v>
      </c>
      <c r="F2360" t="s">
        <v>431</v>
      </c>
      <c r="G2360" t="s">
        <v>82</v>
      </c>
      <c r="H2360" t="s">
        <v>83</v>
      </c>
      <c r="J2360" t="s">
        <v>52</v>
      </c>
      <c r="K2360" s="15">
        <v>1000</v>
      </c>
      <c r="M2360">
        <v>45359</v>
      </c>
      <c r="N2360" t="s">
        <v>1013</v>
      </c>
      <c r="O2360">
        <v>0</v>
      </c>
      <c r="P2360">
        <v>0</v>
      </c>
      <c r="Q2360">
        <v>0</v>
      </c>
      <c r="R2360">
        <v>552.02214230271181</v>
      </c>
      <c r="S2360">
        <v>1967.5805867203262</v>
      </c>
      <c r="T2360">
        <v>0</v>
      </c>
      <c r="U2360">
        <v>0</v>
      </c>
      <c r="V2360">
        <v>46605.297542143431</v>
      </c>
      <c r="W2360">
        <v>0</v>
      </c>
      <c r="X2360">
        <v>0</v>
      </c>
      <c r="Y2360">
        <v>49124.900271166473</v>
      </c>
      <c r="Z2360">
        <v>3400.1014690204634</v>
      </c>
      <c r="AA2360">
        <v>52525.001740186934</v>
      </c>
      <c r="AB2360" t="s">
        <v>242</v>
      </c>
      <c r="AC2360">
        <v>10</v>
      </c>
      <c r="AD2360">
        <v>21000</v>
      </c>
      <c r="AE2360">
        <v>0</v>
      </c>
      <c r="AF2360">
        <v>0</v>
      </c>
      <c r="AG2360">
        <v>1358.1322896833558</v>
      </c>
      <c r="AH2360" t="s">
        <v>58</v>
      </c>
      <c r="AK2360" t="s">
        <v>798</v>
      </c>
      <c r="AL2360">
        <v>52200247</v>
      </c>
      <c r="AM2360">
        <v>23477201</v>
      </c>
      <c r="AN2360" t="s">
        <v>135</v>
      </c>
      <c r="AO2360" t="s">
        <v>436</v>
      </c>
      <c r="AP2360" t="s">
        <v>431</v>
      </c>
      <c r="AQ2360" t="s">
        <v>82</v>
      </c>
      <c r="AR2360" t="s">
        <v>83</v>
      </c>
      <c r="AT2360" t="s">
        <v>52</v>
      </c>
      <c r="AU2360">
        <v>1000</v>
      </c>
      <c r="AW2360">
        <v>45359</v>
      </c>
      <c r="AX2360" t="s">
        <v>1013</v>
      </c>
      <c r="AY2360">
        <v>0</v>
      </c>
      <c r="AZ2360">
        <v>0</v>
      </c>
      <c r="BA2360">
        <v>0</v>
      </c>
      <c r="BB2360">
        <v>552.02214230271181</v>
      </c>
      <c r="BC2360">
        <v>1967.5805867203262</v>
      </c>
      <c r="BD2360">
        <v>0</v>
      </c>
      <c r="BE2360">
        <v>0</v>
      </c>
      <c r="BF2360">
        <v>46605.297542143431</v>
      </c>
      <c r="BG2360">
        <v>0</v>
      </c>
      <c r="BH2360">
        <v>0</v>
      </c>
      <c r="BI2360">
        <v>49124.900271166473</v>
      </c>
      <c r="BJ2360">
        <v>3400.1014690204634</v>
      </c>
      <c r="BK2360">
        <v>52525.001740186934</v>
      </c>
      <c r="BL2360" t="s">
        <v>242</v>
      </c>
      <c r="BM2360">
        <v>10</v>
      </c>
      <c r="BN2360">
        <v>21000</v>
      </c>
      <c r="BO2360">
        <v>0</v>
      </c>
      <c r="BP2360">
        <v>0</v>
      </c>
      <c r="BQ2360">
        <v>1358.1322896833558</v>
      </c>
      <c r="BR2360" t="s">
        <v>58</v>
      </c>
    </row>
    <row r="2361" spans="1:70" x14ac:dyDescent="0.3">
      <c r="A2361" t="s">
        <v>798</v>
      </c>
      <c r="B2361">
        <v>52201944</v>
      </c>
      <c r="C2361">
        <v>28645879</v>
      </c>
      <c r="D2361" t="s">
        <v>773</v>
      </c>
      <c r="E2361" t="s">
        <v>438</v>
      </c>
      <c r="F2361" t="s">
        <v>431</v>
      </c>
      <c r="G2361" t="s">
        <v>82</v>
      </c>
      <c r="H2361" t="s">
        <v>83</v>
      </c>
      <c r="J2361" t="s">
        <v>52</v>
      </c>
      <c r="K2361" s="15">
        <v>135000</v>
      </c>
      <c r="M2361">
        <v>45360</v>
      </c>
      <c r="N2361" t="s">
        <v>1018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 t="s">
        <v>242</v>
      </c>
      <c r="AC2361">
        <v>1</v>
      </c>
      <c r="AD2361">
        <v>135000</v>
      </c>
      <c r="AE2361">
        <v>0</v>
      </c>
      <c r="AF2361">
        <v>0</v>
      </c>
      <c r="AG2361">
        <v>8777.6187224299065</v>
      </c>
      <c r="AH2361" t="s">
        <v>58</v>
      </c>
      <c r="AK2361" t="s">
        <v>798</v>
      </c>
      <c r="AL2361">
        <v>52201944</v>
      </c>
      <c r="AM2361">
        <v>28645879</v>
      </c>
      <c r="AN2361" t="s">
        <v>773</v>
      </c>
      <c r="AO2361" t="s">
        <v>438</v>
      </c>
      <c r="AP2361" t="s">
        <v>431</v>
      </c>
      <c r="AQ2361" t="s">
        <v>417</v>
      </c>
      <c r="AR2361" t="s">
        <v>83</v>
      </c>
      <c r="AT2361" t="s">
        <v>52</v>
      </c>
      <c r="AU2361">
        <v>135000</v>
      </c>
      <c r="AW2361">
        <v>45360</v>
      </c>
      <c r="AX2361" t="s">
        <v>1018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 t="s">
        <v>242</v>
      </c>
      <c r="BM2361">
        <v>1</v>
      </c>
      <c r="BN2361">
        <v>135000</v>
      </c>
      <c r="BO2361">
        <v>0</v>
      </c>
      <c r="BP2361">
        <v>0</v>
      </c>
      <c r="BQ2361">
        <v>8777.6187224299065</v>
      </c>
      <c r="BR2361" t="s">
        <v>58</v>
      </c>
    </row>
    <row r="2362" spans="1:70" x14ac:dyDescent="0.3">
      <c r="A2362" t="s">
        <v>798</v>
      </c>
      <c r="B2362">
        <v>4132301575</v>
      </c>
      <c r="C2362" t="s">
        <v>681</v>
      </c>
      <c r="D2362" t="s">
        <v>943</v>
      </c>
      <c r="E2362" t="s">
        <v>442</v>
      </c>
      <c r="F2362" t="s">
        <v>430</v>
      </c>
      <c r="G2362" t="s">
        <v>230</v>
      </c>
      <c r="H2362" t="s">
        <v>231</v>
      </c>
      <c r="J2362" t="s">
        <v>52</v>
      </c>
      <c r="K2362" s="15">
        <v>1000</v>
      </c>
      <c r="M2362">
        <v>45360</v>
      </c>
      <c r="N2362" t="s">
        <v>1013</v>
      </c>
      <c r="O2362">
        <v>0</v>
      </c>
      <c r="P2362">
        <v>14946.617481415864</v>
      </c>
      <c r="Q2362">
        <v>0</v>
      </c>
      <c r="R2362">
        <v>0</v>
      </c>
      <c r="S2362">
        <v>0</v>
      </c>
      <c r="T2362">
        <v>5701.2920734431164</v>
      </c>
      <c r="U2362">
        <v>33644.859813084113</v>
      </c>
      <c r="V2362">
        <v>0</v>
      </c>
      <c r="W2362">
        <v>392523.36448598129</v>
      </c>
      <c r="X2362">
        <v>0</v>
      </c>
      <c r="Y2362">
        <v>446816.1338539244</v>
      </c>
      <c r="Z2362">
        <v>30230.866146075601</v>
      </c>
      <c r="AA2362">
        <v>477047</v>
      </c>
      <c r="AB2362" t="s">
        <v>242</v>
      </c>
      <c r="AC2362">
        <v>3</v>
      </c>
      <c r="AD2362">
        <v>3000</v>
      </c>
      <c r="AE2362">
        <v>0</v>
      </c>
      <c r="AF2362">
        <v>0</v>
      </c>
      <c r="AG2362">
        <v>189.69460158795391</v>
      </c>
      <c r="AH2362" t="s">
        <v>58</v>
      </c>
      <c r="AK2362" t="s">
        <v>798</v>
      </c>
      <c r="AL2362">
        <v>4132301575</v>
      </c>
      <c r="AM2362" t="s">
        <v>681</v>
      </c>
      <c r="AN2362" t="s">
        <v>943</v>
      </c>
      <c r="AO2362" t="s">
        <v>442</v>
      </c>
      <c r="AP2362" t="s">
        <v>430</v>
      </c>
      <c r="AQ2362" t="s">
        <v>230</v>
      </c>
      <c r="AR2362" t="s">
        <v>231</v>
      </c>
      <c r="AT2362" t="s">
        <v>52</v>
      </c>
      <c r="AU2362">
        <v>1000</v>
      </c>
      <c r="AW2362">
        <v>45360</v>
      </c>
      <c r="AX2362" t="s">
        <v>1013</v>
      </c>
      <c r="AY2362">
        <v>0</v>
      </c>
      <c r="AZ2362">
        <v>14946.617481415864</v>
      </c>
      <c r="BA2362">
        <v>0</v>
      </c>
      <c r="BB2362">
        <v>0</v>
      </c>
      <c r="BC2362">
        <v>0</v>
      </c>
      <c r="BD2362">
        <v>5701.2920734431164</v>
      </c>
      <c r="BE2362">
        <v>33644.859813084113</v>
      </c>
      <c r="BF2362">
        <v>0</v>
      </c>
      <c r="BG2362">
        <v>392523.36448598129</v>
      </c>
      <c r="BH2362">
        <v>0</v>
      </c>
      <c r="BI2362">
        <v>446816.1338539244</v>
      </c>
      <c r="BJ2362">
        <v>30230.866146075601</v>
      </c>
      <c r="BK2362">
        <v>477047</v>
      </c>
      <c r="BL2362" t="s">
        <v>242</v>
      </c>
      <c r="BM2362">
        <v>3</v>
      </c>
      <c r="BN2362">
        <v>3000</v>
      </c>
      <c r="BO2362">
        <v>0</v>
      </c>
      <c r="BP2362">
        <v>0</v>
      </c>
      <c r="BQ2362">
        <v>189.69460158795391</v>
      </c>
      <c r="BR2362" t="s">
        <v>58</v>
      </c>
    </row>
    <row r="2363" spans="1:70" x14ac:dyDescent="0.3">
      <c r="A2363" t="s">
        <v>798</v>
      </c>
      <c r="B2363">
        <v>4142300315</v>
      </c>
      <c r="C2363">
        <v>10137121</v>
      </c>
      <c r="D2363" t="s">
        <v>197</v>
      </c>
      <c r="E2363" t="s">
        <v>445</v>
      </c>
      <c r="F2363" t="s">
        <v>430</v>
      </c>
      <c r="G2363" t="s">
        <v>230</v>
      </c>
      <c r="H2363" t="s">
        <v>234</v>
      </c>
      <c r="J2363" t="s">
        <v>52</v>
      </c>
      <c r="K2363" s="15">
        <v>200000</v>
      </c>
      <c r="M2363">
        <v>45361</v>
      </c>
      <c r="N2363" t="s">
        <v>1046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767705.8889719625</v>
      </c>
      <c r="Y2363">
        <v>767705.8889719625</v>
      </c>
      <c r="Z2363">
        <v>53739.412228037378</v>
      </c>
      <c r="AA2363">
        <v>821445.30119999987</v>
      </c>
      <c r="AB2363" t="s">
        <v>242</v>
      </c>
      <c r="AC2363">
        <v>4</v>
      </c>
      <c r="AD2363">
        <v>340000</v>
      </c>
      <c r="AE2363">
        <v>0</v>
      </c>
      <c r="AF2363">
        <v>0</v>
      </c>
      <c r="AG2363">
        <v>22242.990654205605</v>
      </c>
      <c r="AH2363" t="s">
        <v>58</v>
      </c>
      <c r="AK2363" t="s">
        <v>798</v>
      </c>
      <c r="AL2363">
        <v>4142300315</v>
      </c>
      <c r="AM2363">
        <v>10137121</v>
      </c>
      <c r="AN2363" t="s">
        <v>197</v>
      </c>
      <c r="AO2363" t="s">
        <v>445</v>
      </c>
      <c r="AP2363" t="s">
        <v>430</v>
      </c>
      <c r="AQ2363" t="s">
        <v>230</v>
      </c>
      <c r="AR2363" t="s">
        <v>234</v>
      </c>
      <c r="AT2363" t="s">
        <v>52</v>
      </c>
      <c r="AU2363">
        <v>200000</v>
      </c>
      <c r="AW2363">
        <v>45361</v>
      </c>
      <c r="AX2363" t="s">
        <v>1046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767705.8889719625</v>
      </c>
      <c r="BI2363">
        <v>767705.8889719625</v>
      </c>
      <c r="BJ2363">
        <v>53739.412228037378</v>
      </c>
      <c r="BK2363">
        <v>821445.30119999987</v>
      </c>
      <c r="BL2363" t="s">
        <v>242</v>
      </c>
      <c r="BM2363">
        <v>4</v>
      </c>
      <c r="BN2363">
        <v>340000</v>
      </c>
      <c r="BO2363">
        <v>0</v>
      </c>
      <c r="BP2363">
        <v>0</v>
      </c>
      <c r="BQ2363">
        <v>22242.990654205605</v>
      </c>
      <c r="BR2363" t="s">
        <v>58</v>
      </c>
    </row>
    <row r="2364" spans="1:70" x14ac:dyDescent="0.3">
      <c r="A2364" t="s">
        <v>798</v>
      </c>
      <c r="B2364">
        <v>4142301025</v>
      </c>
      <c r="C2364">
        <v>10501272</v>
      </c>
      <c r="D2364" t="s">
        <v>215</v>
      </c>
      <c r="E2364" t="s">
        <v>445</v>
      </c>
      <c r="F2364" t="s">
        <v>430</v>
      </c>
      <c r="G2364" t="s">
        <v>230</v>
      </c>
      <c r="H2364" t="s">
        <v>234</v>
      </c>
      <c r="J2364" t="s">
        <v>52</v>
      </c>
      <c r="K2364" s="15">
        <v>5000</v>
      </c>
      <c r="M2364">
        <v>45361</v>
      </c>
      <c r="N2364" t="s">
        <v>1013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541508.25233644852</v>
      </c>
      <c r="Y2364">
        <v>541508.25233644852</v>
      </c>
      <c r="Z2364">
        <v>37905.577663551398</v>
      </c>
      <c r="AA2364">
        <v>579413.82999999996</v>
      </c>
      <c r="AB2364" t="s">
        <v>242</v>
      </c>
      <c r="AC2364">
        <v>7</v>
      </c>
      <c r="AD2364">
        <v>68500</v>
      </c>
      <c r="AE2364">
        <v>0</v>
      </c>
      <c r="AF2364">
        <v>0</v>
      </c>
      <c r="AG2364">
        <v>4481.3084112149518</v>
      </c>
      <c r="AH2364" t="s">
        <v>58</v>
      </c>
      <c r="AK2364" t="s">
        <v>798</v>
      </c>
      <c r="AL2364">
        <v>4142301025</v>
      </c>
      <c r="AM2364">
        <v>10501272</v>
      </c>
      <c r="AN2364" t="s">
        <v>215</v>
      </c>
      <c r="AO2364" t="s">
        <v>445</v>
      </c>
      <c r="AP2364" t="s">
        <v>430</v>
      </c>
      <c r="AQ2364" t="s">
        <v>230</v>
      </c>
      <c r="AR2364" t="s">
        <v>234</v>
      </c>
      <c r="AT2364" t="s">
        <v>52</v>
      </c>
      <c r="AU2364">
        <v>5000</v>
      </c>
      <c r="AW2364">
        <v>45361</v>
      </c>
      <c r="AX2364" t="s">
        <v>1013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541508.25233644852</v>
      </c>
      <c r="BI2364">
        <v>541508.25233644852</v>
      </c>
      <c r="BJ2364">
        <v>37905.577663551398</v>
      </c>
      <c r="BK2364">
        <v>579413.82999999996</v>
      </c>
      <c r="BL2364" t="s">
        <v>242</v>
      </c>
      <c r="BM2364">
        <v>7</v>
      </c>
      <c r="BN2364">
        <v>68500</v>
      </c>
      <c r="BO2364">
        <v>0</v>
      </c>
      <c r="BP2364">
        <v>0</v>
      </c>
      <c r="BQ2364">
        <v>4481.3084112149518</v>
      </c>
      <c r="BR2364" t="s">
        <v>58</v>
      </c>
    </row>
    <row r="2365" spans="1:70" x14ac:dyDescent="0.3">
      <c r="A2365" t="s">
        <v>798</v>
      </c>
      <c r="B2365">
        <v>4312300013</v>
      </c>
      <c r="C2365" t="s">
        <v>67</v>
      </c>
      <c r="D2365" t="s">
        <v>936</v>
      </c>
      <c r="E2365" t="s">
        <v>448</v>
      </c>
      <c r="F2365" t="s">
        <v>433</v>
      </c>
      <c r="G2365" t="s">
        <v>82</v>
      </c>
      <c r="H2365" t="s">
        <v>71</v>
      </c>
      <c r="J2365" t="s">
        <v>52</v>
      </c>
      <c r="K2365" s="15">
        <v>25000</v>
      </c>
      <c r="M2365">
        <v>45361</v>
      </c>
      <c r="N2365" t="s">
        <v>1013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1805478.7943925236</v>
      </c>
      <c r="Y2365">
        <v>1805478.7943925236</v>
      </c>
      <c r="Z2365">
        <v>126383.51560747666</v>
      </c>
      <c r="AA2365">
        <v>1931862.3100000003</v>
      </c>
      <c r="AB2365" t="s">
        <v>242</v>
      </c>
      <c r="AC2365">
        <v>3</v>
      </c>
      <c r="AD2365">
        <v>67500</v>
      </c>
      <c r="AE2365">
        <v>0</v>
      </c>
      <c r="AF2365">
        <v>0</v>
      </c>
      <c r="AG2365">
        <v>4415.8878504672903</v>
      </c>
      <c r="AH2365" t="s">
        <v>58</v>
      </c>
      <c r="AK2365" t="s">
        <v>798</v>
      </c>
      <c r="AL2365">
        <v>4312300013</v>
      </c>
      <c r="AM2365" t="s">
        <v>67</v>
      </c>
      <c r="AN2365" t="s">
        <v>936</v>
      </c>
      <c r="AO2365" t="s">
        <v>448</v>
      </c>
      <c r="AP2365" t="s">
        <v>433</v>
      </c>
      <c r="AQ2365" t="s">
        <v>82</v>
      </c>
      <c r="AR2365" t="s">
        <v>71</v>
      </c>
      <c r="AT2365" t="s">
        <v>52</v>
      </c>
      <c r="AU2365">
        <v>25000</v>
      </c>
      <c r="AW2365">
        <v>45361</v>
      </c>
      <c r="AX2365" t="s">
        <v>1013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1805478.7943925236</v>
      </c>
      <c r="BI2365">
        <v>1805478.7943925236</v>
      </c>
      <c r="BJ2365">
        <v>126383.51560747666</v>
      </c>
      <c r="BK2365">
        <v>1931862.3100000003</v>
      </c>
      <c r="BL2365" t="s">
        <v>242</v>
      </c>
      <c r="BM2365">
        <v>3</v>
      </c>
      <c r="BN2365">
        <v>67500</v>
      </c>
      <c r="BO2365">
        <v>0</v>
      </c>
      <c r="BP2365">
        <v>0</v>
      </c>
      <c r="BQ2365">
        <v>4415.8878504672903</v>
      </c>
      <c r="BR2365" t="s">
        <v>58</v>
      </c>
    </row>
    <row r="2366" spans="1:70" x14ac:dyDescent="0.3">
      <c r="A2366" t="s">
        <v>798</v>
      </c>
      <c r="B2366">
        <v>52200619</v>
      </c>
      <c r="C2366">
        <v>6102060118</v>
      </c>
      <c r="D2366" t="s">
        <v>138</v>
      </c>
      <c r="E2366" t="s">
        <v>437</v>
      </c>
      <c r="F2366" t="s">
        <v>431</v>
      </c>
      <c r="G2366" t="s">
        <v>82</v>
      </c>
      <c r="H2366" t="s">
        <v>83</v>
      </c>
      <c r="J2366" t="s">
        <v>52</v>
      </c>
      <c r="K2366" s="15">
        <v>800</v>
      </c>
      <c r="M2366">
        <v>45363</v>
      </c>
      <c r="N2366" t="s">
        <v>1013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3398.2990654205641</v>
      </c>
      <c r="W2366">
        <v>0</v>
      </c>
      <c r="X2366">
        <v>0</v>
      </c>
      <c r="Y2366">
        <v>3398.2990654205641</v>
      </c>
      <c r="Z2366">
        <v>237.88093457943953</v>
      </c>
      <c r="AA2366">
        <v>3636.1800000000035</v>
      </c>
      <c r="AB2366" t="s">
        <v>242</v>
      </c>
      <c r="AC2366">
        <v>21</v>
      </c>
      <c r="AD2366">
        <v>14300</v>
      </c>
      <c r="AE2366">
        <v>0</v>
      </c>
      <c r="AF2366">
        <v>0</v>
      </c>
      <c r="AG2366">
        <v>935.51401869158883</v>
      </c>
      <c r="AH2366" t="s">
        <v>58</v>
      </c>
      <c r="AK2366" t="s">
        <v>798</v>
      </c>
      <c r="AL2366">
        <v>4142301334</v>
      </c>
      <c r="AM2366">
        <v>10340473</v>
      </c>
      <c r="AN2366" t="s">
        <v>753</v>
      </c>
      <c r="AO2366" t="s">
        <v>446</v>
      </c>
      <c r="AP2366" t="s">
        <v>430</v>
      </c>
      <c r="AQ2366" t="s">
        <v>230</v>
      </c>
      <c r="AR2366" t="s">
        <v>234</v>
      </c>
      <c r="AT2366" t="s">
        <v>52</v>
      </c>
      <c r="AU2366">
        <v>10000</v>
      </c>
      <c r="AW2366">
        <v>45363</v>
      </c>
      <c r="AX2366" t="s">
        <v>1013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187378.30841121497</v>
      </c>
      <c r="BI2366">
        <v>187378.30841121497</v>
      </c>
      <c r="BJ2366">
        <v>13116.481588785049</v>
      </c>
      <c r="BK2366">
        <v>200494.79</v>
      </c>
      <c r="BL2366" t="s">
        <v>242</v>
      </c>
      <c r="BM2366">
        <v>2</v>
      </c>
      <c r="BN2366">
        <v>20000</v>
      </c>
      <c r="BO2366">
        <v>0</v>
      </c>
      <c r="BP2366">
        <v>0</v>
      </c>
      <c r="BQ2366">
        <v>1308.4112149532702</v>
      </c>
      <c r="BR2366" t="s">
        <v>58</v>
      </c>
    </row>
    <row r="2367" spans="1:70" x14ac:dyDescent="0.3">
      <c r="A2367" t="s">
        <v>798</v>
      </c>
      <c r="B2367">
        <v>52201351</v>
      </c>
      <c r="C2367">
        <v>22940816</v>
      </c>
      <c r="D2367" t="s">
        <v>155</v>
      </c>
      <c r="E2367" t="s">
        <v>438</v>
      </c>
      <c r="F2367" t="s">
        <v>431</v>
      </c>
      <c r="G2367" t="s">
        <v>82</v>
      </c>
      <c r="H2367" t="s">
        <v>83</v>
      </c>
      <c r="J2367" t="s">
        <v>52</v>
      </c>
      <c r="K2367" s="15">
        <v>500</v>
      </c>
      <c r="M2367">
        <v>45363</v>
      </c>
      <c r="N2367" t="s">
        <v>1013</v>
      </c>
      <c r="O2367">
        <v>0</v>
      </c>
      <c r="P2367">
        <v>0</v>
      </c>
      <c r="Q2367">
        <v>0</v>
      </c>
      <c r="R2367">
        <v>751.5730861892381</v>
      </c>
      <c r="S2367">
        <v>15436.078280872176</v>
      </c>
      <c r="T2367">
        <v>0</v>
      </c>
      <c r="U2367">
        <v>0</v>
      </c>
      <c r="V2367">
        <v>73829.741339665459</v>
      </c>
      <c r="W2367">
        <v>0</v>
      </c>
      <c r="X2367">
        <v>0</v>
      </c>
      <c r="Y2367">
        <v>90017.392706726881</v>
      </c>
      <c r="Z2367">
        <v>6248.607373437635</v>
      </c>
      <c r="AA2367">
        <v>96266.000080164522</v>
      </c>
      <c r="AB2367" t="s">
        <v>242</v>
      </c>
      <c r="AC2367">
        <v>23</v>
      </c>
      <c r="AD2367">
        <v>16600</v>
      </c>
      <c r="AE2367">
        <v>0</v>
      </c>
      <c r="AF2367">
        <v>0</v>
      </c>
      <c r="AG2367">
        <v>1076.8599215263989</v>
      </c>
      <c r="AH2367" t="s">
        <v>58</v>
      </c>
      <c r="AK2367" t="s">
        <v>798</v>
      </c>
      <c r="AL2367">
        <v>52200619</v>
      </c>
      <c r="AM2367">
        <v>6102060118</v>
      </c>
      <c r="AN2367" t="s">
        <v>138</v>
      </c>
      <c r="AO2367" t="s">
        <v>437</v>
      </c>
      <c r="AP2367" t="s">
        <v>431</v>
      </c>
      <c r="AQ2367" t="s">
        <v>82</v>
      </c>
      <c r="AR2367" t="s">
        <v>83</v>
      </c>
      <c r="AT2367" t="s">
        <v>52</v>
      </c>
      <c r="AU2367">
        <v>800</v>
      </c>
      <c r="AW2367">
        <v>45363</v>
      </c>
      <c r="AX2367" t="s">
        <v>1013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3398.2990654205641</v>
      </c>
      <c r="BG2367">
        <v>0</v>
      </c>
      <c r="BH2367">
        <v>0</v>
      </c>
      <c r="BI2367">
        <v>3398.2990654205641</v>
      </c>
      <c r="BJ2367">
        <v>237.88093457943953</v>
      </c>
      <c r="BK2367">
        <v>3636.1800000000035</v>
      </c>
      <c r="BL2367" t="s">
        <v>242</v>
      </c>
      <c r="BM2367">
        <v>21</v>
      </c>
      <c r="BN2367">
        <v>14300</v>
      </c>
      <c r="BO2367">
        <v>0</v>
      </c>
      <c r="BP2367">
        <v>0</v>
      </c>
      <c r="BQ2367">
        <v>935.51401869158883</v>
      </c>
      <c r="BR2367" t="s">
        <v>58</v>
      </c>
    </row>
    <row r="2368" spans="1:70" x14ac:dyDescent="0.3">
      <c r="A2368" t="s">
        <v>798</v>
      </c>
      <c r="B2368">
        <v>4142301334</v>
      </c>
      <c r="C2368">
        <v>10340473</v>
      </c>
      <c r="D2368" t="s">
        <v>753</v>
      </c>
      <c r="E2368" t="s">
        <v>446</v>
      </c>
      <c r="F2368" t="s">
        <v>430</v>
      </c>
      <c r="G2368" t="s">
        <v>230</v>
      </c>
      <c r="H2368" t="s">
        <v>234</v>
      </c>
      <c r="J2368" t="s">
        <v>52</v>
      </c>
      <c r="K2368" s="15">
        <v>10000</v>
      </c>
      <c r="M2368">
        <v>45363</v>
      </c>
      <c r="N2368" t="s">
        <v>1013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187378.30841121497</v>
      </c>
      <c r="Y2368">
        <v>187378.30841121497</v>
      </c>
      <c r="Z2368">
        <v>13116.481588785049</v>
      </c>
      <c r="AA2368">
        <v>200494.79</v>
      </c>
      <c r="AB2368" t="s">
        <v>242</v>
      </c>
      <c r="AC2368">
        <v>2</v>
      </c>
      <c r="AD2368">
        <v>20000</v>
      </c>
      <c r="AE2368">
        <v>0</v>
      </c>
      <c r="AF2368">
        <v>0</v>
      </c>
      <c r="AG2368">
        <v>1308.4112149532702</v>
      </c>
      <c r="AH2368" t="s">
        <v>58</v>
      </c>
      <c r="AK2368" t="s">
        <v>798</v>
      </c>
      <c r="AL2368">
        <v>52201351</v>
      </c>
      <c r="AM2368">
        <v>22940816</v>
      </c>
      <c r="AN2368" t="s">
        <v>155</v>
      </c>
      <c r="AO2368" t="s">
        <v>438</v>
      </c>
      <c r="AP2368" t="s">
        <v>431</v>
      </c>
      <c r="AQ2368" t="s">
        <v>82</v>
      </c>
      <c r="AR2368" t="s">
        <v>83</v>
      </c>
      <c r="AT2368" t="s">
        <v>52</v>
      </c>
      <c r="AU2368">
        <v>500</v>
      </c>
      <c r="AW2368">
        <v>45363</v>
      </c>
      <c r="AX2368" t="s">
        <v>1013</v>
      </c>
      <c r="AY2368">
        <v>0</v>
      </c>
      <c r="AZ2368">
        <v>0</v>
      </c>
      <c r="BA2368">
        <v>0</v>
      </c>
      <c r="BB2368">
        <v>751.5730861892381</v>
      </c>
      <c r="BC2368">
        <v>15436.078280872176</v>
      </c>
      <c r="BD2368">
        <v>0</v>
      </c>
      <c r="BE2368">
        <v>0</v>
      </c>
      <c r="BF2368">
        <v>73829.741339665459</v>
      </c>
      <c r="BG2368">
        <v>0</v>
      </c>
      <c r="BH2368">
        <v>0</v>
      </c>
      <c r="BI2368">
        <v>90017.392706726881</v>
      </c>
      <c r="BJ2368">
        <v>6248.607373437635</v>
      </c>
      <c r="BK2368">
        <v>96266.000080164522</v>
      </c>
      <c r="BL2368" t="s">
        <v>242</v>
      </c>
      <c r="BM2368">
        <v>23</v>
      </c>
      <c r="BN2368">
        <v>16600</v>
      </c>
      <c r="BO2368">
        <v>0</v>
      </c>
      <c r="BP2368">
        <v>0</v>
      </c>
      <c r="BQ2368">
        <v>1076.8599215263989</v>
      </c>
      <c r="BR2368" t="s">
        <v>58</v>
      </c>
    </row>
    <row r="2369" spans="1:70" x14ac:dyDescent="0.3">
      <c r="A2369" t="s">
        <v>798</v>
      </c>
      <c r="B2369">
        <v>4332300195</v>
      </c>
      <c r="C2369">
        <v>105751</v>
      </c>
      <c r="D2369" t="s">
        <v>774</v>
      </c>
      <c r="E2369" t="s">
        <v>443</v>
      </c>
      <c r="F2369" t="s">
        <v>433</v>
      </c>
      <c r="G2369" t="s">
        <v>237</v>
      </c>
      <c r="H2369" t="s">
        <v>231</v>
      </c>
      <c r="J2369" t="s">
        <v>450</v>
      </c>
      <c r="K2369" s="15">
        <v>72000</v>
      </c>
      <c r="M2369">
        <v>45363</v>
      </c>
      <c r="N2369" t="s">
        <v>1031</v>
      </c>
      <c r="O2369">
        <v>0</v>
      </c>
      <c r="P2369">
        <v>23006</v>
      </c>
      <c r="Q2369">
        <v>0</v>
      </c>
      <c r="R2369">
        <v>0</v>
      </c>
      <c r="S2369">
        <v>0</v>
      </c>
      <c r="T2369">
        <v>5607.4766355140191</v>
      </c>
      <c r="U2369">
        <v>3738.3177570093458</v>
      </c>
      <c r="V2369">
        <v>0</v>
      </c>
      <c r="W2369">
        <v>689719.62616822426</v>
      </c>
      <c r="X2369">
        <v>0</v>
      </c>
      <c r="Y2369">
        <v>722071.42056074762</v>
      </c>
      <c r="Z2369">
        <v>48934.579439252338</v>
      </c>
      <c r="AA2369">
        <v>771006</v>
      </c>
      <c r="AB2369" t="s">
        <v>331</v>
      </c>
      <c r="AC2369">
        <v>0</v>
      </c>
      <c r="AD2369">
        <v>0</v>
      </c>
      <c r="AE2369">
        <v>0</v>
      </c>
      <c r="AF2369">
        <v>72000</v>
      </c>
      <c r="AG2369">
        <v>4710.2803738317743</v>
      </c>
      <c r="AH2369" t="s">
        <v>72</v>
      </c>
      <c r="AK2369" t="s">
        <v>798</v>
      </c>
      <c r="AL2369">
        <v>4332300195</v>
      </c>
      <c r="AM2369">
        <v>105751</v>
      </c>
      <c r="AN2369" t="s">
        <v>774</v>
      </c>
      <c r="AO2369" t="s">
        <v>443</v>
      </c>
      <c r="AP2369" t="s">
        <v>433</v>
      </c>
      <c r="AQ2369" t="s">
        <v>237</v>
      </c>
      <c r="AR2369" t="s">
        <v>231</v>
      </c>
      <c r="AT2369" t="s">
        <v>450</v>
      </c>
      <c r="AU2369">
        <v>72000</v>
      </c>
      <c r="AW2369">
        <v>45363</v>
      </c>
      <c r="AX2369" t="s">
        <v>1031</v>
      </c>
      <c r="AY2369">
        <v>0</v>
      </c>
      <c r="AZ2369">
        <v>23006</v>
      </c>
      <c r="BA2369">
        <v>0</v>
      </c>
      <c r="BB2369">
        <v>0</v>
      </c>
      <c r="BC2369">
        <v>0</v>
      </c>
      <c r="BD2369">
        <v>5607.4766355140191</v>
      </c>
      <c r="BE2369">
        <v>3738.3177570093458</v>
      </c>
      <c r="BF2369">
        <v>0</v>
      </c>
      <c r="BG2369">
        <v>689719.62616822426</v>
      </c>
      <c r="BH2369">
        <v>0</v>
      </c>
      <c r="BI2369">
        <v>722071.42056074762</v>
      </c>
      <c r="BJ2369">
        <v>48934.579439252338</v>
      </c>
      <c r="BK2369">
        <v>771006</v>
      </c>
      <c r="BL2369" t="s">
        <v>331</v>
      </c>
      <c r="BM2369">
        <v>0</v>
      </c>
      <c r="BN2369">
        <v>0</v>
      </c>
      <c r="BO2369">
        <v>0</v>
      </c>
      <c r="BP2369">
        <v>72000</v>
      </c>
      <c r="BQ2369">
        <v>4710.2803738317743</v>
      </c>
      <c r="BR2369" t="s">
        <v>72</v>
      </c>
    </row>
    <row r="2370" spans="1:70" x14ac:dyDescent="0.3">
      <c r="A2370" t="s">
        <v>798</v>
      </c>
      <c r="B2370">
        <v>42201112</v>
      </c>
      <c r="C2370">
        <v>2756020075</v>
      </c>
      <c r="D2370" t="s">
        <v>929</v>
      </c>
      <c r="E2370" t="s">
        <v>439</v>
      </c>
      <c r="F2370" t="s">
        <v>430</v>
      </c>
      <c r="G2370" t="s">
        <v>233</v>
      </c>
      <c r="H2370" t="s">
        <v>234</v>
      </c>
      <c r="J2370" t="s">
        <v>52</v>
      </c>
      <c r="K2370" s="15">
        <v>2000</v>
      </c>
      <c r="M2370">
        <v>45364</v>
      </c>
      <c r="N2370" t="s">
        <v>1047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32748.046728971949</v>
      </c>
      <c r="Y2370">
        <v>32748.046728971949</v>
      </c>
      <c r="Z2370">
        <v>2292.3632710280367</v>
      </c>
      <c r="AA2370">
        <v>35040.409999999989</v>
      </c>
      <c r="AB2370" t="s">
        <v>242</v>
      </c>
      <c r="AC2370">
        <v>10</v>
      </c>
      <c r="AD2370">
        <v>92000</v>
      </c>
      <c r="AE2370">
        <v>0</v>
      </c>
      <c r="AF2370">
        <v>0</v>
      </c>
      <c r="AG2370">
        <v>6018.6915887850446</v>
      </c>
      <c r="AH2370" t="s">
        <v>58</v>
      </c>
      <c r="AK2370" t="s">
        <v>798</v>
      </c>
      <c r="AL2370">
        <v>4232300076</v>
      </c>
      <c r="AM2370">
        <v>1090323608</v>
      </c>
      <c r="AN2370" t="s">
        <v>776</v>
      </c>
      <c r="AO2370" t="s">
        <v>441</v>
      </c>
      <c r="AP2370" t="s">
        <v>431</v>
      </c>
      <c r="AQ2370" t="s">
        <v>230</v>
      </c>
      <c r="AR2370" t="s">
        <v>231</v>
      </c>
      <c r="AT2370" t="s">
        <v>416</v>
      </c>
      <c r="AU2370">
        <v>0.1946</v>
      </c>
      <c r="AW2370">
        <v>45364</v>
      </c>
      <c r="AX2370" t="s">
        <v>1016</v>
      </c>
      <c r="AY2370">
        <v>0</v>
      </c>
      <c r="AZ2370">
        <v>3302.14</v>
      </c>
      <c r="BA2370">
        <v>0</v>
      </c>
      <c r="BB2370">
        <v>0</v>
      </c>
      <c r="BC2370">
        <v>1650.9795304109589</v>
      </c>
      <c r="BD2370">
        <v>32351.487850467289</v>
      </c>
      <c r="BE2370">
        <v>0</v>
      </c>
      <c r="BF2370">
        <v>0</v>
      </c>
      <c r="BG2370">
        <v>44248.073831775699</v>
      </c>
      <c r="BH2370">
        <v>0</v>
      </c>
      <c r="BI2370">
        <v>81552.681212653944</v>
      </c>
      <c r="BJ2370">
        <v>5361.9693177570098</v>
      </c>
      <c r="BK2370">
        <v>86914.65053041096</v>
      </c>
      <c r="BL2370" t="s">
        <v>242</v>
      </c>
      <c r="BM2370">
        <v>0</v>
      </c>
      <c r="BN2370">
        <v>0</v>
      </c>
      <c r="BO2370">
        <v>0</v>
      </c>
      <c r="BP2370">
        <v>0</v>
      </c>
      <c r="BQ2370">
        <v>0</v>
      </c>
      <c r="BR2370" t="s">
        <v>72</v>
      </c>
    </row>
    <row r="2371" spans="1:70" x14ac:dyDescent="0.3">
      <c r="A2371" t="s">
        <v>798</v>
      </c>
      <c r="B2371">
        <v>4142301135</v>
      </c>
      <c r="C2371">
        <v>10066787</v>
      </c>
      <c r="D2371" t="s">
        <v>775</v>
      </c>
      <c r="E2371" t="s">
        <v>445</v>
      </c>
      <c r="F2371" t="s">
        <v>430</v>
      </c>
      <c r="G2371" t="s">
        <v>230</v>
      </c>
      <c r="H2371" t="s">
        <v>234</v>
      </c>
      <c r="J2371" t="s">
        <v>416</v>
      </c>
      <c r="K2371" s="15">
        <v>0.1135</v>
      </c>
      <c r="M2371">
        <v>45364</v>
      </c>
      <c r="N2371" t="s">
        <v>1016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393514.86448598129</v>
      </c>
      <c r="Y2371">
        <v>393514.86448598129</v>
      </c>
      <c r="Z2371">
        <v>27546.040514018692</v>
      </c>
      <c r="AA2371">
        <v>421060.90499999997</v>
      </c>
      <c r="AB2371" t="s">
        <v>242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 t="s">
        <v>72</v>
      </c>
      <c r="AK2371" t="s">
        <v>798</v>
      </c>
      <c r="AL2371">
        <v>4142301135</v>
      </c>
      <c r="AM2371">
        <v>10066787</v>
      </c>
      <c r="AN2371" t="s">
        <v>775</v>
      </c>
      <c r="AO2371" t="s">
        <v>445</v>
      </c>
      <c r="AP2371" t="s">
        <v>430</v>
      </c>
      <c r="AQ2371" t="s">
        <v>230</v>
      </c>
      <c r="AR2371" t="s">
        <v>234</v>
      </c>
      <c r="AT2371" t="s">
        <v>416</v>
      </c>
      <c r="AU2371">
        <v>0.1135</v>
      </c>
      <c r="AW2371">
        <v>45364</v>
      </c>
      <c r="AX2371" t="s">
        <v>1016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393514.86448598129</v>
      </c>
      <c r="BI2371">
        <v>393514.86448598129</v>
      </c>
      <c r="BJ2371">
        <v>27546.040514018692</v>
      </c>
      <c r="BK2371">
        <v>421060.90499999997</v>
      </c>
      <c r="BL2371" t="s">
        <v>242</v>
      </c>
      <c r="BM2371">
        <v>0</v>
      </c>
      <c r="BN2371">
        <v>0</v>
      </c>
      <c r="BO2371">
        <v>0</v>
      </c>
      <c r="BP2371">
        <v>0</v>
      </c>
      <c r="BQ2371">
        <v>0</v>
      </c>
      <c r="BR2371" t="s">
        <v>72</v>
      </c>
    </row>
    <row r="2372" spans="1:70" x14ac:dyDescent="0.3">
      <c r="A2372" t="s">
        <v>798</v>
      </c>
      <c r="B2372">
        <v>4232300076</v>
      </c>
      <c r="C2372">
        <v>1090323608</v>
      </c>
      <c r="D2372" t="s">
        <v>776</v>
      </c>
      <c r="E2372" t="s">
        <v>441</v>
      </c>
      <c r="F2372" t="s">
        <v>431</v>
      </c>
      <c r="G2372" t="s">
        <v>230</v>
      </c>
      <c r="H2372" t="s">
        <v>231</v>
      </c>
      <c r="J2372" t="s">
        <v>416</v>
      </c>
      <c r="K2372" s="15">
        <v>0.1946</v>
      </c>
      <c r="M2372">
        <v>45364</v>
      </c>
      <c r="N2372" t="s">
        <v>1016</v>
      </c>
      <c r="O2372">
        <v>0</v>
      </c>
      <c r="P2372">
        <v>3302.14</v>
      </c>
      <c r="Q2372">
        <v>0</v>
      </c>
      <c r="R2372">
        <v>0</v>
      </c>
      <c r="S2372">
        <v>1650.9795304109589</v>
      </c>
      <c r="T2372">
        <v>32351.487850467289</v>
      </c>
      <c r="U2372">
        <v>0</v>
      </c>
      <c r="V2372">
        <v>0</v>
      </c>
      <c r="W2372">
        <v>44248.073831775699</v>
      </c>
      <c r="X2372">
        <v>0</v>
      </c>
      <c r="Y2372">
        <v>81552.681212653944</v>
      </c>
      <c r="Z2372">
        <v>5361.9693177570098</v>
      </c>
      <c r="AA2372">
        <v>86914.65053041096</v>
      </c>
      <c r="AB2372" t="s">
        <v>242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 t="s">
        <v>72</v>
      </c>
      <c r="AK2372" t="s">
        <v>798</v>
      </c>
      <c r="AL2372">
        <v>42201112</v>
      </c>
      <c r="AM2372">
        <v>2756020075</v>
      </c>
      <c r="AN2372" t="s">
        <v>929</v>
      </c>
      <c r="AO2372" t="s">
        <v>439</v>
      </c>
      <c r="AP2372" t="s">
        <v>430</v>
      </c>
      <c r="AQ2372" t="s">
        <v>233</v>
      </c>
      <c r="AR2372" t="s">
        <v>234</v>
      </c>
      <c r="AT2372" t="s">
        <v>52</v>
      </c>
      <c r="AU2372">
        <v>2000</v>
      </c>
      <c r="AW2372">
        <v>45364</v>
      </c>
      <c r="AX2372" t="s">
        <v>1047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32748.046728971949</v>
      </c>
      <c r="BI2372">
        <v>32748.046728971949</v>
      </c>
      <c r="BJ2372">
        <v>2292.3632710280367</v>
      </c>
      <c r="BK2372">
        <v>35040.409999999989</v>
      </c>
      <c r="BL2372" t="s">
        <v>242</v>
      </c>
      <c r="BM2372">
        <v>10</v>
      </c>
      <c r="BN2372">
        <v>92000</v>
      </c>
      <c r="BO2372">
        <v>0</v>
      </c>
      <c r="BP2372">
        <v>0</v>
      </c>
      <c r="BQ2372">
        <v>6018.6915887850446</v>
      </c>
      <c r="BR2372" t="s">
        <v>58</v>
      </c>
    </row>
    <row r="2373" spans="1:70" x14ac:dyDescent="0.3">
      <c r="A2373" t="s">
        <v>798</v>
      </c>
      <c r="B2373">
        <v>42200127</v>
      </c>
      <c r="C2373">
        <v>2759020408</v>
      </c>
      <c r="D2373" t="s">
        <v>991</v>
      </c>
      <c r="E2373" t="s">
        <v>439</v>
      </c>
      <c r="F2373" t="s">
        <v>430</v>
      </c>
      <c r="G2373" t="s">
        <v>232</v>
      </c>
      <c r="H2373" t="s">
        <v>71</v>
      </c>
      <c r="J2373" t="s">
        <v>52</v>
      </c>
      <c r="K2373" s="15">
        <v>150000</v>
      </c>
      <c r="M2373">
        <v>45365</v>
      </c>
      <c r="N2373" t="s">
        <v>1018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1.5287242990743835</v>
      </c>
      <c r="Y2373">
        <v>1.5287242990743835</v>
      </c>
      <c r="Z2373">
        <v>0.10701070093520686</v>
      </c>
      <c r="AA2373">
        <v>1.6357350000095903</v>
      </c>
      <c r="AB2373" t="s">
        <v>242</v>
      </c>
      <c r="AC2373">
        <v>1</v>
      </c>
      <c r="AD2373">
        <v>150000</v>
      </c>
      <c r="AE2373">
        <v>0</v>
      </c>
      <c r="AF2373">
        <v>0</v>
      </c>
      <c r="AG2373">
        <v>9813.0841121495469</v>
      </c>
      <c r="AH2373" t="s">
        <v>58</v>
      </c>
      <c r="AK2373" t="s">
        <v>798</v>
      </c>
      <c r="AL2373">
        <v>4132301194</v>
      </c>
      <c r="AM2373">
        <v>9040042676</v>
      </c>
      <c r="AN2373" t="s">
        <v>777</v>
      </c>
      <c r="AO2373" t="s">
        <v>441</v>
      </c>
      <c r="AP2373" t="s">
        <v>430</v>
      </c>
      <c r="AQ2373" t="s">
        <v>238</v>
      </c>
      <c r="AR2373" t="s">
        <v>236</v>
      </c>
      <c r="AT2373" t="s">
        <v>416</v>
      </c>
      <c r="AU2373">
        <v>0.28110000000000002</v>
      </c>
      <c r="AW2373">
        <v>45365</v>
      </c>
      <c r="AX2373" t="s">
        <v>1016</v>
      </c>
      <c r="AY2373">
        <v>0</v>
      </c>
      <c r="AZ2373">
        <v>0</v>
      </c>
      <c r="BA2373">
        <v>0</v>
      </c>
      <c r="BB2373">
        <v>0</v>
      </c>
      <c r="BC2373">
        <v>6733.6310136986303</v>
      </c>
      <c r="BD2373">
        <v>0</v>
      </c>
      <c r="BE2373">
        <v>0</v>
      </c>
      <c r="BF2373">
        <v>59124.485981308419</v>
      </c>
      <c r="BG2373">
        <v>0</v>
      </c>
      <c r="BH2373">
        <v>0</v>
      </c>
      <c r="BI2373">
        <v>65858.116995007047</v>
      </c>
      <c r="BJ2373">
        <v>4138.7140186915894</v>
      </c>
      <c r="BK2373">
        <v>69996.83101369864</v>
      </c>
      <c r="BL2373" t="s">
        <v>242</v>
      </c>
      <c r="BM2373">
        <v>0</v>
      </c>
      <c r="BN2373">
        <v>0</v>
      </c>
      <c r="BO2373">
        <v>0</v>
      </c>
      <c r="BP2373">
        <v>0</v>
      </c>
      <c r="BQ2373">
        <v>0</v>
      </c>
      <c r="BR2373" t="s">
        <v>72</v>
      </c>
    </row>
    <row r="2374" spans="1:70" x14ac:dyDescent="0.3">
      <c r="A2374" t="s">
        <v>798</v>
      </c>
      <c r="B2374">
        <v>52200750</v>
      </c>
      <c r="C2374">
        <v>26151957</v>
      </c>
      <c r="D2374" t="s">
        <v>141</v>
      </c>
      <c r="E2374" t="s">
        <v>438</v>
      </c>
      <c r="F2374" t="s">
        <v>431</v>
      </c>
      <c r="G2374" t="s">
        <v>82</v>
      </c>
      <c r="H2374" t="s">
        <v>83</v>
      </c>
      <c r="J2374" t="s">
        <v>52</v>
      </c>
      <c r="K2374" s="15">
        <v>1000</v>
      </c>
      <c r="M2374">
        <v>45365</v>
      </c>
      <c r="N2374" t="s">
        <v>1013</v>
      </c>
      <c r="O2374">
        <v>0</v>
      </c>
      <c r="P2374">
        <v>0</v>
      </c>
      <c r="Q2374">
        <v>0</v>
      </c>
      <c r="R2374">
        <v>797.65903257916023</v>
      </c>
      <c r="S2374">
        <v>18316.141983994545</v>
      </c>
      <c r="T2374">
        <v>0</v>
      </c>
      <c r="U2374">
        <v>0</v>
      </c>
      <c r="V2374">
        <v>47756.1392450563</v>
      </c>
      <c r="W2374">
        <v>0</v>
      </c>
      <c r="X2374">
        <v>0</v>
      </c>
      <c r="Y2374">
        <v>66869.940261630007</v>
      </c>
      <c r="Z2374">
        <v>4625.05968603356</v>
      </c>
      <c r="AA2374">
        <v>71494.999947663571</v>
      </c>
      <c r="AB2374" t="s">
        <v>242</v>
      </c>
      <c r="AC2374">
        <v>15</v>
      </c>
      <c r="AD2374">
        <v>16000</v>
      </c>
      <c r="AE2374">
        <v>0</v>
      </c>
      <c r="AF2374">
        <v>0</v>
      </c>
      <c r="AG2374">
        <v>1034.1459180191978</v>
      </c>
      <c r="AH2374" t="s">
        <v>58</v>
      </c>
      <c r="AK2374" t="s">
        <v>798</v>
      </c>
      <c r="AL2374">
        <v>4242300013</v>
      </c>
      <c r="AM2374">
        <v>125263</v>
      </c>
      <c r="AN2374" t="s">
        <v>999</v>
      </c>
      <c r="AO2374" t="s">
        <v>444</v>
      </c>
      <c r="AP2374" t="s">
        <v>431</v>
      </c>
      <c r="AQ2374" t="s">
        <v>233</v>
      </c>
      <c r="AR2374" t="s">
        <v>231</v>
      </c>
      <c r="AT2374" t="s">
        <v>416</v>
      </c>
      <c r="AU2374">
        <v>0.14879999999999999</v>
      </c>
      <c r="AW2374">
        <v>45365</v>
      </c>
      <c r="AX2374" t="s">
        <v>1016</v>
      </c>
      <c r="AY2374">
        <v>0</v>
      </c>
      <c r="AZ2374">
        <v>4341.12</v>
      </c>
      <c r="BA2374">
        <v>168947.571968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173288.691968</v>
      </c>
      <c r="BJ2374">
        <v>0</v>
      </c>
      <c r="BK2374">
        <v>173288.691968</v>
      </c>
      <c r="BL2374" t="s">
        <v>242</v>
      </c>
      <c r="BM2374">
        <v>0</v>
      </c>
      <c r="BN2374">
        <v>0</v>
      </c>
      <c r="BO2374">
        <v>0</v>
      </c>
      <c r="BP2374">
        <v>0</v>
      </c>
      <c r="BQ2374">
        <v>0</v>
      </c>
      <c r="BR2374" t="s">
        <v>72</v>
      </c>
    </row>
    <row r="2375" spans="1:70" x14ac:dyDescent="0.3">
      <c r="A2375" t="s">
        <v>798</v>
      </c>
      <c r="B2375">
        <v>4132301194</v>
      </c>
      <c r="C2375">
        <v>9040042676</v>
      </c>
      <c r="D2375" t="s">
        <v>777</v>
      </c>
      <c r="E2375" t="s">
        <v>441</v>
      </c>
      <c r="F2375" t="s">
        <v>430</v>
      </c>
      <c r="G2375" t="s">
        <v>238</v>
      </c>
      <c r="H2375" t="s">
        <v>236</v>
      </c>
      <c r="J2375" t="s">
        <v>416</v>
      </c>
      <c r="K2375" s="15">
        <v>0.28110000000000002</v>
      </c>
      <c r="M2375">
        <v>45365</v>
      </c>
      <c r="N2375" t="s">
        <v>1016</v>
      </c>
      <c r="O2375">
        <v>0</v>
      </c>
      <c r="P2375">
        <v>0</v>
      </c>
      <c r="Q2375">
        <v>0</v>
      </c>
      <c r="R2375">
        <v>0</v>
      </c>
      <c r="S2375">
        <v>6733.6310136986303</v>
      </c>
      <c r="T2375">
        <v>0</v>
      </c>
      <c r="U2375">
        <v>0</v>
      </c>
      <c r="V2375">
        <v>59124.485981308419</v>
      </c>
      <c r="W2375">
        <v>0</v>
      </c>
      <c r="X2375">
        <v>0</v>
      </c>
      <c r="Y2375">
        <v>65858.116995007047</v>
      </c>
      <c r="Z2375">
        <v>4138.7140186915894</v>
      </c>
      <c r="AA2375">
        <v>69996.83101369864</v>
      </c>
      <c r="AB2375" t="s">
        <v>242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 t="s">
        <v>72</v>
      </c>
      <c r="AK2375" t="s">
        <v>798</v>
      </c>
      <c r="AL2375">
        <v>42200127</v>
      </c>
      <c r="AM2375">
        <v>2759020408</v>
      </c>
      <c r="AN2375" t="s">
        <v>991</v>
      </c>
      <c r="AO2375" t="s">
        <v>439</v>
      </c>
      <c r="AP2375" t="s">
        <v>430</v>
      </c>
      <c r="AQ2375" t="s">
        <v>1078</v>
      </c>
      <c r="AR2375" t="s">
        <v>71</v>
      </c>
      <c r="AT2375" t="s">
        <v>52</v>
      </c>
      <c r="AU2375">
        <v>150000</v>
      </c>
      <c r="AW2375">
        <v>45365</v>
      </c>
      <c r="AX2375" t="s">
        <v>1018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1.5287242990743835</v>
      </c>
      <c r="BI2375">
        <v>1.5287242990743835</v>
      </c>
      <c r="BJ2375">
        <v>0.10701070093520686</v>
      </c>
      <c r="BK2375">
        <v>1.6357350000095903</v>
      </c>
      <c r="BL2375" t="s">
        <v>242</v>
      </c>
      <c r="BM2375">
        <v>1</v>
      </c>
      <c r="BN2375">
        <v>150000</v>
      </c>
      <c r="BO2375">
        <v>0</v>
      </c>
      <c r="BP2375">
        <v>0</v>
      </c>
      <c r="BQ2375">
        <v>9813.0841121495469</v>
      </c>
      <c r="BR2375" t="s">
        <v>58</v>
      </c>
    </row>
    <row r="2376" spans="1:70" x14ac:dyDescent="0.3">
      <c r="A2376" t="s">
        <v>798</v>
      </c>
      <c r="B2376">
        <v>4232300076</v>
      </c>
      <c r="C2376">
        <v>1090323608</v>
      </c>
      <c r="D2376" t="s">
        <v>776</v>
      </c>
      <c r="E2376" t="s">
        <v>441</v>
      </c>
      <c r="F2376" t="s">
        <v>431</v>
      </c>
      <c r="G2376" t="s">
        <v>230</v>
      </c>
      <c r="H2376" t="s">
        <v>231</v>
      </c>
      <c r="J2376" t="s">
        <v>52</v>
      </c>
      <c r="K2376" s="15">
        <v>93000</v>
      </c>
      <c r="M2376">
        <v>45365</v>
      </c>
      <c r="N2376" t="s">
        <v>1018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 t="s">
        <v>242</v>
      </c>
      <c r="AC2376">
        <v>1</v>
      </c>
      <c r="AD2376">
        <v>93000</v>
      </c>
      <c r="AE2376">
        <v>0</v>
      </c>
      <c r="AF2376">
        <v>0</v>
      </c>
      <c r="AG2376">
        <v>5760.0762924030278</v>
      </c>
      <c r="AH2376" t="s">
        <v>58</v>
      </c>
      <c r="AK2376" t="s">
        <v>798</v>
      </c>
      <c r="AL2376">
        <v>4232300076</v>
      </c>
      <c r="AM2376">
        <v>1090323608</v>
      </c>
      <c r="AN2376" t="s">
        <v>776</v>
      </c>
      <c r="AO2376" t="s">
        <v>441</v>
      </c>
      <c r="AP2376" t="s">
        <v>431</v>
      </c>
      <c r="AQ2376" t="s">
        <v>421</v>
      </c>
      <c r="AR2376" t="s">
        <v>231</v>
      </c>
      <c r="AT2376" t="s">
        <v>52</v>
      </c>
      <c r="AU2376">
        <v>93000</v>
      </c>
      <c r="AW2376">
        <v>45365</v>
      </c>
      <c r="AX2376" t="s">
        <v>1018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 t="s">
        <v>242</v>
      </c>
      <c r="BM2376">
        <v>1</v>
      </c>
      <c r="BN2376">
        <v>93000</v>
      </c>
      <c r="BO2376">
        <v>0</v>
      </c>
      <c r="BP2376">
        <v>0</v>
      </c>
      <c r="BQ2376">
        <v>5760.0762924030278</v>
      </c>
      <c r="BR2376" t="s">
        <v>58</v>
      </c>
    </row>
    <row r="2377" spans="1:70" x14ac:dyDescent="0.3">
      <c r="A2377" t="s">
        <v>798</v>
      </c>
      <c r="B2377">
        <v>4242300013</v>
      </c>
      <c r="C2377">
        <v>125263</v>
      </c>
      <c r="D2377" t="s">
        <v>999</v>
      </c>
      <c r="E2377" t="s">
        <v>444</v>
      </c>
      <c r="F2377" t="s">
        <v>431</v>
      </c>
      <c r="G2377" t="s">
        <v>233</v>
      </c>
      <c r="H2377" t="s">
        <v>231</v>
      </c>
      <c r="J2377" t="s">
        <v>416</v>
      </c>
      <c r="K2377" s="15">
        <v>0.14879999999999999</v>
      </c>
      <c r="M2377">
        <v>45365</v>
      </c>
      <c r="N2377" t="s">
        <v>1016</v>
      </c>
      <c r="O2377">
        <v>0</v>
      </c>
      <c r="P2377">
        <v>4341.12</v>
      </c>
      <c r="Q2377">
        <v>168947.571968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173288.691968</v>
      </c>
      <c r="Z2377">
        <v>0</v>
      </c>
      <c r="AA2377">
        <v>173288.691968</v>
      </c>
      <c r="AB2377" t="s">
        <v>242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 t="s">
        <v>72</v>
      </c>
      <c r="AK2377" t="s">
        <v>798</v>
      </c>
      <c r="AL2377">
        <v>52200750</v>
      </c>
      <c r="AM2377">
        <v>26151957</v>
      </c>
      <c r="AN2377" t="s">
        <v>141</v>
      </c>
      <c r="AO2377" t="s">
        <v>438</v>
      </c>
      <c r="AP2377" t="s">
        <v>431</v>
      </c>
      <c r="AQ2377" t="s">
        <v>82</v>
      </c>
      <c r="AR2377" t="s">
        <v>83</v>
      </c>
      <c r="AT2377" t="s">
        <v>52</v>
      </c>
      <c r="AU2377">
        <v>1000</v>
      </c>
      <c r="AW2377">
        <v>45365</v>
      </c>
      <c r="AX2377" t="s">
        <v>1013</v>
      </c>
      <c r="AY2377">
        <v>0</v>
      </c>
      <c r="AZ2377">
        <v>0</v>
      </c>
      <c r="BA2377">
        <v>0</v>
      </c>
      <c r="BB2377">
        <v>797.65903257916023</v>
      </c>
      <c r="BC2377">
        <v>18316.141983994545</v>
      </c>
      <c r="BD2377">
        <v>0</v>
      </c>
      <c r="BE2377">
        <v>0</v>
      </c>
      <c r="BF2377">
        <v>47756.1392450563</v>
      </c>
      <c r="BG2377">
        <v>0</v>
      </c>
      <c r="BH2377">
        <v>0</v>
      </c>
      <c r="BI2377">
        <v>66869.940261630007</v>
      </c>
      <c r="BJ2377">
        <v>4625.05968603356</v>
      </c>
      <c r="BK2377">
        <v>71494.999947663571</v>
      </c>
      <c r="BL2377" t="s">
        <v>242</v>
      </c>
      <c r="BM2377">
        <v>15</v>
      </c>
      <c r="BN2377">
        <v>16000</v>
      </c>
      <c r="BO2377">
        <v>0</v>
      </c>
      <c r="BP2377">
        <v>0</v>
      </c>
      <c r="BQ2377">
        <v>1034.1459180191978</v>
      </c>
      <c r="BR2377" t="s">
        <v>58</v>
      </c>
    </row>
    <row r="2378" spans="1:70" x14ac:dyDescent="0.3">
      <c r="A2378" t="s">
        <v>798</v>
      </c>
      <c r="B2378">
        <v>82200023</v>
      </c>
      <c r="C2378">
        <v>901016007000</v>
      </c>
      <c r="D2378" t="s">
        <v>966</v>
      </c>
      <c r="E2378" t="s">
        <v>440</v>
      </c>
      <c r="F2378" t="s">
        <v>433</v>
      </c>
      <c r="G2378" t="s">
        <v>235</v>
      </c>
      <c r="H2378" t="s">
        <v>236</v>
      </c>
      <c r="J2378" t="s">
        <v>52</v>
      </c>
      <c r="K2378" s="15">
        <v>85000</v>
      </c>
      <c r="M2378">
        <v>45366</v>
      </c>
      <c r="N2378" t="s">
        <v>1013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2157136.0560747664</v>
      </c>
      <c r="W2378">
        <v>0</v>
      </c>
      <c r="X2378">
        <v>0</v>
      </c>
      <c r="Y2378">
        <v>2157136.0560747664</v>
      </c>
      <c r="Z2378">
        <v>150999.52392523366</v>
      </c>
      <c r="AA2378">
        <v>2308135.58</v>
      </c>
      <c r="AB2378" t="s">
        <v>242</v>
      </c>
      <c r="AC2378">
        <v>5</v>
      </c>
      <c r="AD2378">
        <v>330000</v>
      </c>
      <c r="AE2378">
        <v>0</v>
      </c>
      <c r="AF2378">
        <v>0</v>
      </c>
      <c r="AG2378">
        <v>20351.354045611904</v>
      </c>
      <c r="AH2378" t="s">
        <v>58</v>
      </c>
      <c r="AK2378" t="s">
        <v>798</v>
      </c>
      <c r="AL2378">
        <v>4132301194</v>
      </c>
      <c r="AM2378">
        <v>9040042676</v>
      </c>
      <c r="AN2378" t="s">
        <v>777</v>
      </c>
      <c r="AO2378" t="s">
        <v>441</v>
      </c>
      <c r="AP2378" t="s">
        <v>430</v>
      </c>
      <c r="AQ2378" t="s">
        <v>420</v>
      </c>
      <c r="AR2378" t="s">
        <v>236</v>
      </c>
      <c r="AT2378" t="s">
        <v>52</v>
      </c>
      <c r="AU2378">
        <v>70000</v>
      </c>
      <c r="AW2378">
        <v>45366</v>
      </c>
      <c r="AX2378" t="s">
        <v>1018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 t="s">
        <v>242</v>
      </c>
      <c r="BM2378">
        <v>1</v>
      </c>
      <c r="BN2378">
        <v>70000</v>
      </c>
      <c r="BO2378">
        <v>0</v>
      </c>
      <c r="BP2378">
        <v>0</v>
      </c>
      <c r="BQ2378">
        <v>4138.9213355524262</v>
      </c>
      <c r="BR2378" t="s">
        <v>58</v>
      </c>
    </row>
    <row r="2379" spans="1:70" x14ac:dyDescent="0.3">
      <c r="A2379" t="s">
        <v>798</v>
      </c>
      <c r="B2379">
        <v>4132301163</v>
      </c>
      <c r="C2379">
        <v>9010144563</v>
      </c>
      <c r="D2379" t="s">
        <v>737</v>
      </c>
      <c r="E2379" t="s">
        <v>441</v>
      </c>
      <c r="F2379" t="s">
        <v>430</v>
      </c>
      <c r="G2379" t="s">
        <v>326</v>
      </c>
      <c r="H2379" t="s">
        <v>236</v>
      </c>
      <c r="J2379" t="s">
        <v>52</v>
      </c>
      <c r="K2379" s="15">
        <v>1000</v>
      </c>
      <c r="M2379">
        <v>45366</v>
      </c>
      <c r="N2379" t="s">
        <v>1013</v>
      </c>
      <c r="O2379">
        <v>0</v>
      </c>
      <c r="P2379">
        <v>0</v>
      </c>
      <c r="Q2379">
        <v>0</v>
      </c>
      <c r="R2379">
        <v>0</v>
      </c>
      <c r="S2379">
        <v>34547.408995753904</v>
      </c>
      <c r="T2379">
        <v>0</v>
      </c>
      <c r="U2379">
        <v>0</v>
      </c>
      <c r="V2379">
        <v>70085.509452182363</v>
      </c>
      <c r="W2379">
        <v>0</v>
      </c>
      <c r="X2379">
        <v>0</v>
      </c>
      <c r="Y2379">
        <v>104632.91844793627</v>
      </c>
      <c r="Z2379">
        <v>4905.9856616527659</v>
      </c>
      <c r="AA2379">
        <v>109538.90410958904</v>
      </c>
      <c r="AB2379" t="s">
        <v>242</v>
      </c>
      <c r="AC2379">
        <v>2</v>
      </c>
      <c r="AD2379">
        <v>3000</v>
      </c>
      <c r="AE2379">
        <v>0</v>
      </c>
      <c r="AF2379">
        <v>0</v>
      </c>
      <c r="AG2379">
        <v>131.3975159173275</v>
      </c>
      <c r="AH2379" t="s">
        <v>58</v>
      </c>
      <c r="AK2379" t="s">
        <v>798</v>
      </c>
      <c r="AL2379">
        <v>82200023</v>
      </c>
      <c r="AM2379">
        <v>901016007000</v>
      </c>
      <c r="AN2379" t="s">
        <v>966</v>
      </c>
      <c r="AO2379" t="s">
        <v>440</v>
      </c>
      <c r="AP2379" t="s">
        <v>433</v>
      </c>
      <c r="AQ2379" t="s">
        <v>235</v>
      </c>
      <c r="AR2379" t="s">
        <v>236</v>
      </c>
      <c r="AT2379" t="s">
        <v>52</v>
      </c>
      <c r="AU2379">
        <v>85000</v>
      </c>
      <c r="AW2379">
        <v>45366</v>
      </c>
      <c r="AX2379" t="s">
        <v>1013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2157136.0560747664</v>
      </c>
      <c r="BG2379">
        <v>0</v>
      </c>
      <c r="BH2379">
        <v>0</v>
      </c>
      <c r="BI2379">
        <v>2157136.0560747664</v>
      </c>
      <c r="BJ2379">
        <v>150999.52392523366</v>
      </c>
      <c r="BK2379">
        <v>2308135.58</v>
      </c>
      <c r="BL2379" t="s">
        <v>242</v>
      </c>
      <c r="BM2379">
        <v>5</v>
      </c>
      <c r="BN2379">
        <v>330000</v>
      </c>
      <c r="BO2379">
        <v>0</v>
      </c>
      <c r="BP2379">
        <v>0</v>
      </c>
      <c r="BQ2379">
        <v>20351.354045611904</v>
      </c>
      <c r="BR2379" t="s">
        <v>58</v>
      </c>
    </row>
    <row r="2380" spans="1:70" x14ac:dyDescent="0.3">
      <c r="A2380" t="s">
        <v>798</v>
      </c>
      <c r="B2380">
        <v>4132301194</v>
      </c>
      <c r="C2380">
        <v>9040042676</v>
      </c>
      <c r="D2380" t="s">
        <v>777</v>
      </c>
      <c r="E2380" t="s">
        <v>441</v>
      </c>
      <c r="F2380" t="s">
        <v>430</v>
      </c>
      <c r="G2380" t="s">
        <v>238</v>
      </c>
      <c r="H2380" t="s">
        <v>236</v>
      </c>
      <c r="J2380" t="s">
        <v>52</v>
      </c>
      <c r="K2380" s="15">
        <v>70000</v>
      </c>
      <c r="M2380">
        <v>45366</v>
      </c>
      <c r="N2380" t="s">
        <v>1018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 t="s">
        <v>242</v>
      </c>
      <c r="AC2380">
        <v>1</v>
      </c>
      <c r="AD2380">
        <v>70000</v>
      </c>
      <c r="AE2380">
        <v>0</v>
      </c>
      <c r="AF2380">
        <v>0</v>
      </c>
      <c r="AG2380">
        <v>4138.9213355524262</v>
      </c>
      <c r="AH2380" t="s">
        <v>58</v>
      </c>
      <c r="AK2380" t="s">
        <v>798</v>
      </c>
      <c r="AL2380">
        <v>4132301163</v>
      </c>
      <c r="AM2380">
        <v>9010144563</v>
      </c>
      <c r="AN2380" t="s">
        <v>737</v>
      </c>
      <c r="AO2380" t="s">
        <v>441</v>
      </c>
      <c r="AP2380" t="s">
        <v>430</v>
      </c>
      <c r="AQ2380" t="s">
        <v>326</v>
      </c>
      <c r="AR2380" t="s">
        <v>236</v>
      </c>
      <c r="AT2380" t="s">
        <v>52</v>
      </c>
      <c r="AU2380">
        <v>1000</v>
      </c>
      <c r="AW2380">
        <v>45366</v>
      </c>
      <c r="AX2380" t="s">
        <v>1013</v>
      </c>
      <c r="AY2380">
        <v>0</v>
      </c>
      <c r="AZ2380">
        <v>0</v>
      </c>
      <c r="BA2380">
        <v>0</v>
      </c>
      <c r="BB2380">
        <v>0</v>
      </c>
      <c r="BC2380">
        <v>34547.408995753904</v>
      </c>
      <c r="BD2380">
        <v>0</v>
      </c>
      <c r="BE2380">
        <v>0</v>
      </c>
      <c r="BF2380">
        <v>70085.509452182363</v>
      </c>
      <c r="BG2380">
        <v>0</v>
      </c>
      <c r="BH2380">
        <v>0</v>
      </c>
      <c r="BI2380">
        <v>104632.91844793627</v>
      </c>
      <c r="BJ2380">
        <v>4905.9856616527659</v>
      </c>
      <c r="BK2380">
        <v>109538.90410958904</v>
      </c>
      <c r="BL2380" t="s">
        <v>242</v>
      </c>
      <c r="BM2380">
        <v>2</v>
      </c>
      <c r="BN2380">
        <v>3000</v>
      </c>
      <c r="BO2380">
        <v>0</v>
      </c>
      <c r="BP2380">
        <v>0</v>
      </c>
      <c r="BQ2380">
        <v>131.3975159173275</v>
      </c>
      <c r="BR2380" t="s">
        <v>58</v>
      </c>
    </row>
    <row r="2381" spans="1:70" x14ac:dyDescent="0.3">
      <c r="A2381" t="s">
        <v>798</v>
      </c>
      <c r="B2381">
        <v>4142300353</v>
      </c>
      <c r="C2381">
        <v>10161647</v>
      </c>
      <c r="D2381" t="s">
        <v>778</v>
      </c>
      <c r="E2381" t="s">
        <v>445</v>
      </c>
      <c r="F2381" t="s">
        <v>430</v>
      </c>
      <c r="G2381" t="s">
        <v>237</v>
      </c>
      <c r="H2381" t="s">
        <v>234</v>
      </c>
      <c r="J2381" t="s">
        <v>425</v>
      </c>
      <c r="K2381" s="15">
        <v>150000</v>
      </c>
      <c r="M2381">
        <v>45366</v>
      </c>
      <c r="N2381" t="s">
        <v>1023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355177.57009345794</v>
      </c>
      <c r="Y2381">
        <v>355177.57009345794</v>
      </c>
      <c r="Z2381">
        <v>24862.429906542056</v>
      </c>
      <c r="AA2381">
        <v>380040</v>
      </c>
      <c r="AB2381" t="s">
        <v>242</v>
      </c>
      <c r="AC2381">
        <v>0</v>
      </c>
      <c r="AD2381">
        <v>0</v>
      </c>
      <c r="AE2381">
        <v>0</v>
      </c>
      <c r="AF2381">
        <v>160500</v>
      </c>
      <c r="AG2381">
        <v>10500</v>
      </c>
      <c r="AH2381" t="s">
        <v>72</v>
      </c>
      <c r="AK2381" t="s">
        <v>798</v>
      </c>
      <c r="AL2381">
        <v>4312300014</v>
      </c>
      <c r="AM2381" t="s">
        <v>69</v>
      </c>
      <c r="AN2381" t="s">
        <v>936</v>
      </c>
      <c r="AO2381" t="s">
        <v>448</v>
      </c>
      <c r="AP2381" t="s">
        <v>433</v>
      </c>
      <c r="AQ2381" t="s">
        <v>82</v>
      </c>
      <c r="AR2381" t="s">
        <v>71</v>
      </c>
      <c r="AT2381" t="s">
        <v>52</v>
      </c>
      <c r="AU2381">
        <v>25000</v>
      </c>
      <c r="AW2381">
        <v>45366</v>
      </c>
      <c r="AX2381" t="s">
        <v>1013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1830461.8878504676</v>
      </c>
      <c r="BI2381">
        <v>1830461.8878504676</v>
      </c>
      <c r="BJ2381">
        <v>128132.33214953274</v>
      </c>
      <c r="BK2381">
        <v>1958594.2200000002</v>
      </c>
      <c r="BL2381" t="s">
        <v>242</v>
      </c>
      <c r="BM2381">
        <v>3</v>
      </c>
      <c r="BN2381">
        <v>67500</v>
      </c>
      <c r="BO2381">
        <v>0</v>
      </c>
      <c r="BP2381">
        <v>0</v>
      </c>
      <c r="BQ2381">
        <v>4415.8878504672903</v>
      </c>
      <c r="BR2381" t="s">
        <v>58</v>
      </c>
    </row>
    <row r="2382" spans="1:70" x14ac:dyDescent="0.3">
      <c r="A2382" t="s">
        <v>798</v>
      </c>
      <c r="B2382">
        <v>4142300725</v>
      </c>
      <c r="C2382">
        <v>10329548</v>
      </c>
      <c r="D2382" t="s">
        <v>779</v>
      </c>
      <c r="E2382" t="s">
        <v>445</v>
      </c>
      <c r="F2382" t="s">
        <v>430</v>
      </c>
      <c r="G2382" t="s">
        <v>237</v>
      </c>
      <c r="H2382" t="s">
        <v>234</v>
      </c>
      <c r="J2382" t="s">
        <v>425</v>
      </c>
      <c r="K2382" s="15">
        <v>184000</v>
      </c>
      <c r="M2382">
        <v>45366</v>
      </c>
      <c r="N2382" t="s">
        <v>1023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193092.42579439259</v>
      </c>
      <c r="Y2382">
        <v>193092.42579439259</v>
      </c>
      <c r="Z2382">
        <v>13516.469805607483</v>
      </c>
      <c r="AA2382">
        <v>206608.89560000008</v>
      </c>
      <c r="AB2382" t="s">
        <v>242</v>
      </c>
      <c r="AC2382">
        <v>0</v>
      </c>
      <c r="AD2382">
        <v>0</v>
      </c>
      <c r="AE2382">
        <v>0</v>
      </c>
      <c r="AF2382">
        <v>196880</v>
      </c>
      <c r="AG2382">
        <v>12880</v>
      </c>
      <c r="AH2382" t="s">
        <v>72</v>
      </c>
      <c r="AK2382" t="s">
        <v>798</v>
      </c>
      <c r="AL2382">
        <v>4142300353</v>
      </c>
      <c r="AM2382">
        <v>10161647</v>
      </c>
      <c r="AN2382" t="s">
        <v>778</v>
      </c>
      <c r="AO2382" t="s">
        <v>445</v>
      </c>
      <c r="AP2382" t="s">
        <v>430</v>
      </c>
      <c r="AQ2382" t="s">
        <v>237</v>
      </c>
      <c r="AR2382" t="s">
        <v>234</v>
      </c>
      <c r="AT2382" t="s">
        <v>425</v>
      </c>
      <c r="AU2382">
        <v>150000</v>
      </c>
      <c r="AW2382">
        <v>45366</v>
      </c>
      <c r="AX2382" t="s">
        <v>1023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355177.57009345794</v>
      </c>
      <c r="BI2382">
        <v>355177.57009345794</v>
      </c>
      <c r="BJ2382">
        <v>24862.429906542056</v>
      </c>
      <c r="BK2382">
        <v>380040</v>
      </c>
      <c r="BL2382" t="s">
        <v>242</v>
      </c>
      <c r="BM2382">
        <v>0</v>
      </c>
      <c r="BN2382">
        <v>0</v>
      </c>
      <c r="BO2382">
        <v>0</v>
      </c>
      <c r="BP2382">
        <v>160500</v>
      </c>
      <c r="BQ2382">
        <v>10500</v>
      </c>
      <c r="BR2382" t="s">
        <v>72</v>
      </c>
    </row>
    <row r="2383" spans="1:70" x14ac:dyDescent="0.3">
      <c r="A2383" t="s">
        <v>798</v>
      </c>
      <c r="B2383">
        <v>4142300963</v>
      </c>
      <c r="C2383">
        <v>10466989</v>
      </c>
      <c r="D2383" t="s">
        <v>780</v>
      </c>
      <c r="E2383" t="s">
        <v>445</v>
      </c>
      <c r="F2383" t="s">
        <v>430</v>
      </c>
      <c r="G2383" t="s">
        <v>237</v>
      </c>
      <c r="H2383" t="s">
        <v>234</v>
      </c>
      <c r="J2383" t="s">
        <v>425</v>
      </c>
      <c r="K2383" s="15">
        <v>82000</v>
      </c>
      <c r="M2383">
        <v>45366</v>
      </c>
      <c r="N2383" t="s">
        <v>1023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324000</v>
      </c>
      <c r="Y2383">
        <v>324000</v>
      </c>
      <c r="Z2383">
        <v>22680.000000000004</v>
      </c>
      <c r="AA2383">
        <v>346680</v>
      </c>
      <c r="AB2383" t="s">
        <v>242</v>
      </c>
      <c r="AC2383">
        <v>0</v>
      </c>
      <c r="AD2383">
        <v>0</v>
      </c>
      <c r="AE2383">
        <v>0</v>
      </c>
      <c r="AF2383">
        <v>87740</v>
      </c>
      <c r="AG2383">
        <v>5740</v>
      </c>
      <c r="AH2383" t="s">
        <v>72</v>
      </c>
      <c r="AK2383" t="s">
        <v>798</v>
      </c>
      <c r="AL2383">
        <v>4142300725</v>
      </c>
      <c r="AM2383">
        <v>10329548</v>
      </c>
      <c r="AN2383" t="s">
        <v>779</v>
      </c>
      <c r="AO2383" t="s">
        <v>445</v>
      </c>
      <c r="AP2383" t="s">
        <v>430</v>
      </c>
      <c r="AQ2383" t="s">
        <v>237</v>
      </c>
      <c r="AR2383" t="s">
        <v>234</v>
      </c>
      <c r="AT2383" t="s">
        <v>425</v>
      </c>
      <c r="AU2383">
        <v>184000</v>
      </c>
      <c r="AW2383">
        <v>45366</v>
      </c>
      <c r="AX2383" t="s">
        <v>1023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193092.42579439259</v>
      </c>
      <c r="BI2383">
        <v>193092.42579439259</v>
      </c>
      <c r="BJ2383">
        <v>13516.469805607483</v>
      </c>
      <c r="BK2383">
        <v>206608.89560000008</v>
      </c>
      <c r="BL2383" t="s">
        <v>242</v>
      </c>
      <c r="BM2383">
        <v>0</v>
      </c>
      <c r="BN2383">
        <v>0</v>
      </c>
      <c r="BO2383">
        <v>0</v>
      </c>
      <c r="BP2383">
        <v>196880</v>
      </c>
      <c r="BQ2383">
        <v>12880</v>
      </c>
      <c r="BR2383" t="s">
        <v>72</v>
      </c>
    </row>
    <row r="2384" spans="1:70" x14ac:dyDescent="0.3">
      <c r="A2384" t="s">
        <v>798</v>
      </c>
      <c r="B2384">
        <v>4142301486</v>
      </c>
      <c r="C2384">
        <v>10539214</v>
      </c>
      <c r="D2384" t="s">
        <v>781</v>
      </c>
      <c r="E2384" t="s">
        <v>446</v>
      </c>
      <c r="F2384" t="s">
        <v>430</v>
      </c>
      <c r="G2384" t="s">
        <v>237</v>
      </c>
      <c r="H2384" t="s">
        <v>234</v>
      </c>
      <c r="J2384" t="s">
        <v>425</v>
      </c>
      <c r="K2384" s="15">
        <v>215000</v>
      </c>
      <c r="M2384">
        <v>45366</v>
      </c>
      <c r="N2384" t="s">
        <v>1023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186253.39252336451</v>
      </c>
      <c r="Y2384">
        <v>186253.39252336451</v>
      </c>
      <c r="Z2384">
        <v>13037.737476635517</v>
      </c>
      <c r="AA2384">
        <v>199291.13000000003</v>
      </c>
      <c r="AB2384" t="s">
        <v>242</v>
      </c>
      <c r="AC2384">
        <v>0</v>
      </c>
      <c r="AD2384">
        <v>0</v>
      </c>
      <c r="AE2384">
        <v>0</v>
      </c>
      <c r="AF2384">
        <v>230050</v>
      </c>
      <c r="AG2384">
        <v>15050</v>
      </c>
      <c r="AH2384" t="s">
        <v>72</v>
      </c>
      <c r="AK2384" t="s">
        <v>798</v>
      </c>
      <c r="AL2384">
        <v>4142300963</v>
      </c>
      <c r="AM2384">
        <v>10466989</v>
      </c>
      <c r="AN2384" t="s">
        <v>780</v>
      </c>
      <c r="AO2384" t="s">
        <v>445</v>
      </c>
      <c r="AP2384" t="s">
        <v>430</v>
      </c>
      <c r="AQ2384" t="s">
        <v>237</v>
      </c>
      <c r="AR2384" t="s">
        <v>234</v>
      </c>
      <c r="AT2384" t="s">
        <v>425</v>
      </c>
      <c r="AU2384">
        <v>82000</v>
      </c>
      <c r="AW2384">
        <v>45366</v>
      </c>
      <c r="AX2384" t="s">
        <v>1023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324000</v>
      </c>
      <c r="BI2384">
        <v>324000</v>
      </c>
      <c r="BJ2384">
        <v>22680.000000000004</v>
      </c>
      <c r="BK2384">
        <v>346680</v>
      </c>
      <c r="BL2384" t="s">
        <v>242</v>
      </c>
      <c r="BM2384">
        <v>0</v>
      </c>
      <c r="BN2384">
        <v>0</v>
      </c>
      <c r="BO2384">
        <v>0</v>
      </c>
      <c r="BP2384">
        <v>87740</v>
      </c>
      <c r="BQ2384">
        <v>5740</v>
      </c>
      <c r="BR2384" t="s">
        <v>72</v>
      </c>
    </row>
    <row r="2385" spans="1:70" x14ac:dyDescent="0.3">
      <c r="A2385" t="s">
        <v>798</v>
      </c>
      <c r="B2385">
        <v>4312300014</v>
      </c>
      <c r="C2385" t="s">
        <v>69</v>
      </c>
      <c r="D2385" t="s">
        <v>936</v>
      </c>
      <c r="E2385" t="s">
        <v>448</v>
      </c>
      <c r="F2385" t="s">
        <v>433</v>
      </c>
      <c r="G2385" t="s">
        <v>82</v>
      </c>
      <c r="H2385" t="s">
        <v>71</v>
      </c>
      <c r="J2385" t="s">
        <v>52</v>
      </c>
      <c r="K2385" s="15">
        <v>25000</v>
      </c>
      <c r="M2385">
        <v>45366</v>
      </c>
      <c r="N2385" t="s">
        <v>1013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1830461.8878504676</v>
      </c>
      <c r="Y2385">
        <v>1830461.8878504676</v>
      </c>
      <c r="Z2385">
        <v>128132.33214953274</v>
      </c>
      <c r="AA2385">
        <v>1958594.2200000002</v>
      </c>
      <c r="AB2385" t="s">
        <v>242</v>
      </c>
      <c r="AC2385">
        <v>3</v>
      </c>
      <c r="AD2385">
        <v>67500</v>
      </c>
      <c r="AE2385">
        <v>0</v>
      </c>
      <c r="AF2385">
        <v>0</v>
      </c>
      <c r="AG2385">
        <v>4415.8878504672903</v>
      </c>
      <c r="AH2385" t="s">
        <v>58</v>
      </c>
      <c r="AK2385" t="s">
        <v>798</v>
      </c>
      <c r="AL2385">
        <v>4142301486</v>
      </c>
      <c r="AM2385">
        <v>10539214</v>
      </c>
      <c r="AN2385" t="s">
        <v>781</v>
      </c>
      <c r="AO2385" t="s">
        <v>446</v>
      </c>
      <c r="AP2385" t="s">
        <v>430</v>
      </c>
      <c r="AQ2385" t="s">
        <v>237</v>
      </c>
      <c r="AR2385" t="s">
        <v>234</v>
      </c>
      <c r="AT2385" t="s">
        <v>425</v>
      </c>
      <c r="AU2385">
        <v>215000</v>
      </c>
      <c r="AW2385">
        <v>45366</v>
      </c>
      <c r="AX2385" t="s">
        <v>1023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186253.39252336451</v>
      </c>
      <c r="BI2385">
        <v>186253.39252336451</v>
      </c>
      <c r="BJ2385">
        <v>13037.737476635517</v>
      </c>
      <c r="BK2385">
        <v>199291.13000000003</v>
      </c>
      <c r="BL2385" t="s">
        <v>242</v>
      </c>
      <c r="BM2385">
        <v>0</v>
      </c>
      <c r="BN2385">
        <v>0</v>
      </c>
      <c r="BO2385">
        <v>0</v>
      </c>
      <c r="BP2385">
        <v>230050</v>
      </c>
      <c r="BQ2385">
        <v>15050</v>
      </c>
      <c r="BR2385" t="s">
        <v>72</v>
      </c>
    </row>
    <row r="2386" spans="1:70" x14ac:dyDescent="0.3">
      <c r="A2386" t="s">
        <v>798</v>
      </c>
      <c r="B2386">
        <v>22200050</v>
      </c>
      <c r="C2386">
        <v>20757954</v>
      </c>
      <c r="D2386" t="s">
        <v>120</v>
      </c>
      <c r="E2386" t="s">
        <v>435</v>
      </c>
      <c r="F2386" t="s">
        <v>428</v>
      </c>
      <c r="G2386" t="s">
        <v>82</v>
      </c>
      <c r="H2386" t="s">
        <v>82</v>
      </c>
      <c r="J2386" t="s">
        <v>52</v>
      </c>
      <c r="K2386" s="15">
        <v>500</v>
      </c>
      <c r="M2386">
        <v>45367</v>
      </c>
      <c r="N2386" t="s">
        <v>1013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12016.287969863013</v>
      </c>
      <c r="W2386">
        <v>0</v>
      </c>
      <c r="X2386">
        <v>0</v>
      </c>
      <c r="Y2386">
        <v>12016.287969863013</v>
      </c>
      <c r="Z2386">
        <v>0</v>
      </c>
      <c r="AA2386">
        <v>12016.287969863013</v>
      </c>
      <c r="AB2386" t="s">
        <v>242</v>
      </c>
      <c r="AC2386">
        <v>14</v>
      </c>
      <c r="AD2386">
        <v>8000</v>
      </c>
      <c r="AE2386">
        <v>0</v>
      </c>
      <c r="AF2386">
        <v>0</v>
      </c>
      <c r="AG2386">
        <v>0</v>
      </c>
      <c r="AH2386" t="s">
        <v>58</v>
      </c>
      <c r="AK2386" t="s">
        <v>798</v>
      </c>
      <c r="AL2386">
        <v>4132301773</v>
      </c>
      <c r="AM2386" t="s">
        <v>690</v>
      </c>
      <c r="AN2386" t="s">
        <v>968</v>
      </c>
      <c r="AO2386" t="s">
        <v>442</v>
      </c>
      <c r="AP2386" t="s">
        <v>430</v>
      </c>
      <c r="AQ2386" t="s">
        <v>230</v>
      </c>
      <c r="AR2386" t="s">
        <v>231</v>
      </c>
      <c r="AT2386" t="s">
        <v>52</v>
      </c>
      <c r="AU2386">
        <v>3000</v>
      </c>
      <c r="AW2386">
        <v>45367</v>
      </c>
      <c r="AX2386" t="s">
        <v>1013</v>
      </c>
      <c r="AY2386">
        <v>0</v>
      </c>
      <c r="AZ2386">
        <v>18285.12251876733</v>
      </c>
      <c r="BA2386">
        <v>0</v>
      </c>
      <c r="BB2386">
        <v>0</v>
      </c>
      <c r="BC2386">
        <v>13870.24</v>
      </c>
      <c r="BD2386">
        <v>0</v>
      </c>
      <c r="BE2386">
        <v>47102.689234796882</v>
      </c>
      <c r="BF2386">
        <v>0</v>
      </c>
      <c r="BG2386">
        <v>403494.39252336451</v>
      </c>
      <c r="BH2386">
        <v>0</v>
      </c>
      <c r="BI2386">
        <v>482752.44427692873</v>
      </c>
      <c r="BJ2386">
        <v>31541.795723071304</v>
      </c>
      <c r="BK2386">
        <v>514294.24000000005</v>
      </c>
      <c r="BL2386" t="s">
        <v>242</v>
      </c>
      <c r="BM2386">
        <v>2</v>
      </c>
      <c r="BN2386">
        <v>6000</v>
      </c>
      <c r="BO2386">
        <v>0</v>
      </c>
      <c r="BP2386">
        <v>0</v>
      </c>
      <c r="BQ2386">
        <v>366.36315543337651</v>
      </c>
      <c r="BR2386" t="s">
        <v>58</v>
      </c>
    </row>
    <row r="2387" spans="1:70" x14ac:dyDescent="0.3">
      <c r="A2387" t="s">
        <v>798</v>
      </c>
      <c r="B2387">
        <v>32200045</v>
      </c>
      <c r="C2387">
        <v>20758058</v>
      </c>
      <c r="D2387" t="s">
        <v>120</v>
      </c>
      <c r="E2387" t="s">
        <v>435</v>
      </c>
      <c r="F2387" t="s">
        <v>429</v>
      </c>
      <c r="G2387" t="s">
        <v>82</v>
      </c>
      <c r="H2387" t="s">
        <v>82</v>
      </c>
      <c r="J2387" t="s">
        <v>52</v>
      </c>
      <c r="K2387" s="15">
        <v>500</v>
      </c>
      <c r="M2387">
        <v>45367</v>
      </c>
      <c r="N2387" t="s">
        <v>1013</v>
      </c>
      <c r="O2387">
        <v>0</v>
      </c>
      <c r="P2387">
        <v>0</v>
      </c>
      <c r="Q2387">
        <v>0</v>
      </c>
      <c r="R2387">
        <v>0</v>
      </c>
      <c r="S2387">
        <v>1424.0488810958905</v>
      </c>
      <c r="T2387">
        <v>0</v>
      </c>
      <c r="U2387">
        <v>0</v>
      </c>
      <c r="V2387">
        <v>18314.54</v>
      </c>
      <c r="W2387">
        <v>0</v>
      </c>
      <c r="X2387">
        <v>0</v>
      </c>
      <c r="Y2387">
        <v>19738.588881095893</v>
      </c>
      <c r="Z2387">
        <v>0</v>
      </c>
      <c r="AA2387">
        <v>19738.588881095893</v>
      </c>
      <c r="AB2387" t="s">
        <v>242</v>
      </c>
      <c r="AC2387">
        <v>12</v>
      </c>
      <c r="AD2387">
        <v>6000</v>
      </c>
      <c r="AE2387">
        <v>0</v>
      </c>
      <c r="AF2387">
        <v>0</v>
      </c>
      <c r="AG2387">
        <v>0</v>
      </c>
      <c r="AH2387" t="s">
        <v>58</v>
      </c>
      <c r="AK2387" t="s">
        <v>798</v>
      </c>
      <c r="AL2387">
        <v>4142300766</v>
      </c>
      <c r="AM2387">
        <v>10354207</v>
      </c>
      <c r="AN2387" t="s">
        <v>207</v>
      </c>
      <c r="AO2387" t="s">
        <v>445</v>
      </c>
      <c r="AP2387" t="s">
        <v>430</v>
      </c>
      <c r="AQ2387" t="s">
        <v>230</v>
      </c>
      <c r="AR2387" t="s">
        <v>234</v>
      </c>
      <c r="AT2387" t="s">
        <v>52</v>
      </c>
      <c r="AU2387">
        <v>5000</v>
      </c>
      <c r="AW2387">
        <v>45367</v>
      </c>
      <c r="AX2387" t="s">
        <v>1029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291852.89719626174</v>
      </c>
      <c r="BI2387">
        <v>291852.89719626174</v>
      </c>
      <c r="BJ2387">
        <v>20429.702803738324</v>
      </c>
      <c r="BK2387">
        <v>312282.60000000003</v>
      </c>
      <c r="BL2387" t="s">
        <v>242</v>
      </c>
      <c r="BM2387">
        <v>9</v>
      </c>
      <c r="BN2387">
        <v>61000</v>
      </c>
      <c r="BO2387">
        <v>0</v>
      </c>
      <c r="BP2387">
        <v>0</v>
      </c>
      <c r="BQ2387">
        <v>3990.6542056074759</v>
      </c>
      <c r="BR2387" t="s">
        <v>58</v>
      </c>
    </row>
    <row r="2388" spans="1:70" x14ac:dyDescent="0.3">
      <c r="A2388" t="s">
        <v>798</v>
      </c>
      <c r="B2388">
        <v>52201220</v>
      </c>
      <c r="C2388">
        <v>25378599</v>
      </c>
      <c r="D2388" t="s">
        <v>150</v>
      </c>
      <c r="E2388" t="s">
        <v>438</v>
      </c>
      <c r="F2388" t="s">
        <v>431</v>
      </c>
      <c r="G2388" t="s">
        <v>82</v>
      </c>
      <c r="H2388" t="s">
        <v>83</v>
      </c>
      <c r="J2388" t="s">
        <v>52</v>
      </c>
      <c r="K2388" s="15">
        <v>1000</v>
      </c>
      <c r="M2388">
        <v>45367</v>
      </c>
      <c r="N2388" t="s">
        <v>1013</v>
      </c>
      <c r="O2388">
        <v>0</v>
      </c>
      <c r="P2388">
        <v>0</v>
      </c>
      <c r="Q2388">
        <v>0</v>
      </c>
      <c r="R2388">
        <v>652.39633932444406</v>
      </c>
      <c r="S2388">
        <v>9053.2110436119729</v>
      </c>
      <c r="T2388">
        <v>0</v>
      </c>
      <c r="U2388">
        <v>0</v>
      </c>
      <c r="V2388">
        <v>79718.38097920474</v>
      </c>
      <c r="W2388">
        <v>0</v>
      </c>
      <c r="X2388">
        <v>0</v>
      </c>
      <c r="Y2388">
        <v>89423.988362141157</v>
      </c>
      <c r="Z2388">
        <v>6214.0114415971702</v>
      </c>
      <c r="AA2388">
        <v>95637.999803738334</v>
      </c>
      <c r="AB2388" t="s">
        <v>242</v>
      </c>
      <c r="AC2388">
        <v>13</v>
      </c>
      <c r="AD2388">
        <v>19000</v>
      </c>
      <c r="AE2388">
        <v>0</v>
      </c>
      <c r="AF2388">
        <v>0</v>
      </c>
      <c r="AG2388">
        <v>1233.8577044417862</v>
      </c>
      <c r="AH2388" t="s">
        <v>58</v>
      </c>
      <c r="AK2388" t="s">
        <v>798</v>
      </c>
      <c r="AL2388">
        <v>4142301021</v>
      </c>
      <c r="AM2388">
        <v>10498847</v>
      </c>
      <c r="AN2388" t="s">
        <v>745</v>
      </c>
      <c r="AO2388" t="s">
        <v>445</v>
      </c>
      <c r="AP2388" t="s">
        <v>430</v>
      </c>
      <c r="AQ2388" t="s">
        <v>230</v>
      </c>
      <c r="AR2388" t="s">
        <v>234</v>
      </c>
      <c r="AT2388" t="s">
        <v>52</v>
      </c>
      <c r="AU2388">
        <v>3000</v>
      </c>
      <c r="AW2388">
        <v>45367</v>
      </c>
      <c r="AX2388" t="s">
        <v>1013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264312.88785046723</v>
      </c>
      <c r="BI2388">
        <v>264312.88785046723</v>
      </c>
      <c r="BJ2388">
        <v>18501.902149532707</v>
      </c>
      <c r="BK2388">
        <v>282814.78999999992</v>
      </c>
      <c r="BL2388" t="s">
        <v>242</v>
      </c>
      <c r="BM2388">
        <v>2</v>
      </c>
      <c r="BN2388">
        <v>8000</v>
      </c>
      <c r="BO2388">
        <v>0</v>
      </c>
      <c r="BP2388">
        <v>0</v>
      </c>
      <c r="BQ2388">
        <v>523.36448598130846</v>
      </c>
      <c r="BR2388" t="s">
        <v>58</v>
      </c>
    </row>
    <row r="2389" spans="1:70" x14ac:dyDescent="0.3">
      <c r="A2389" t="s">
        <v>798</v>
      </c>
      <c r="B2389">
        <v>52201830</v>
      </c>
      <c r="C2389">
        <v>25560817</v>
      </c>
      <c r="D2389" t="s">
        <v>167</v>
      </c>
      <c r="E2389" t="s">
        <v>438</v>
      </c>
      <c r="F2389" t="s">
        <v>431</v>
      </c>
      <c r="G2389" t="s">
        <v>82</v>
      </c>
      <c r="H2389" t="s">
        <v>83</v>
      </c>
      <c r="J2389" t="s">
        <v>52</v>
      </c>
      <c r="K2389" s="15">
        <v>1750</v>
      </c>
      <c r="M2389">
        <v>45367</v>
      </c>
      <c r="N2389" t="s">
        <v>1013</v>
      </c>
      <c r="O2389">
        <v>0</v>
      </c>
      <c r="P2389">
        <v>0</v>
      </c>
      <c r="Q2389">
        <v>0</v>
      </c>
      <c r="R2389">
        <v>751.63880794518172</v>
      </c>
      <c r="S2389">
        <v>15856.177283463971</v>
      </c>
      <c r="T2389">
        <v>0</v>
      </c>
      <c r="U2389">
        <v>0</v>
      </c>
      <c r="V2389">
        <v>53474.06748157987</v>
      </c>
      <c r="W2389">
        <v>0</v>
      </c>
      <c r="X2389">
        <v>0</v>
      </c>
      <c r="Y2389">
        <v>70081.883572989027</v>
      </c>
      <c r="Z2389">
        <v>4853.1171335530689</v>
      </c>
      <c r="AA2389">
        <v>74935.000706542094</v>
      </c>
      <c r="AB2389" t="s">
        <v>242</v>
      </c>
      <c r="AC2389">
        <v>13</v>
      </c>
      <c r="AD2389">
        <v>22000</v>
      </c>
      <c r="AE2389">
        <v>0</v>
      </c>
      <c r="AF2389">
        <v>0</v>
      </c>
      <c r="AG2389">
        <v>1423.6586136038902</v>
      </c>
      <c r="AH2389" t="s">
        <v>58</v>
      </c>
      <c r="AK2389" t="s">
        <v>798</v>
      </c>
      <c r="AL2389">
        <v>4302300031</v>
      </c>
      <c r="AM2389">
        <v>901014009726</v>
      </c>
      <c r="AN2389" t="s">
        <v>226</v>
      </c>
      <c r="AO2389" t="s">
        <v>447</v>
      </c>
      <c r="AP2389" t="s">
        <v>433</v>
      </c>
      <c r="AQ2389" t="s">
        <v>82</v>
      </c>
      <c r="AR2389" t="s">
        <v>83</v>
      </c>
      <c r="AT2389" t="s">
        <v>52</v>
      </c>
      <c r="AU2389">
        <v>21243.56</v>
      </c>
      <c r="AW2389">
        <v>45367</v>
      </c>
      <c r="AX2389" t="s">
        <v>1013</v>
      </c>
      <c r="AY2389">
        <v>0</v>
      </c>
      <c r="AZ2389">
        <v>0</v>
      </c>
      <c r="BA2389">
        <v>22445.096043321129</v>
      </c>
      <c r="BB2389">
        <v>17745.22</v>
      </c>
      <c r="BC2389">
        <v>44543.447155774629</v>
      </c>
      <c r="BD2389">
        <v>0</v>
      </c>
      <c r="BE2389">
        <v>0</v>
      </c>
      <c r="BF2389">
        <v>367732.35</v>
      </c>
      <c r="BG2389">
        <v>0</v>
      </c>
      <c r="BH2389">
        <v>0</v>
      </c>
      <c r="BI2389">
        <v>452466.11319909571</v>
      </c>
      <c r="BJ2389">
        <v>28859.305800904225</v>
      </c>
      <c r="BK2389">
        <v>481325.41899999994</v>
      </c>
      <c r="BL2389" t="s">
        <v>242</v>
      </c>
      <c r="BM2389">
        <v>7</v>
      </c>
      <c r="BN2389">
        <v>48243.56</v>
      </c>
      <c r="BO2389">
        <v>0</v>
      </c>
      <c r="BP2389">
        <v>0</v>
      </c>
      <c r="BQ2389">
        <v>2874.6831990957735</v>
      </c>
      <c r="BR2389" t="s">
        <v>58</v>
      </c>
    </row>
    <row r="2390" spans="1:70" x14ac:dyDescent="0.3">
      <c r="A2390" t="s">
        <v>798</v>
      </c>
      <c r="B2390">
        <v>4132301773</v>
      </c>
      <c r="C2390" t="s">
        <v>690</v>
      </c>
      <c r="D2390" t="s">
        <v>968</v>
      </c>
      <c r="E2390" t="s">
        <v>442</v>
      </c>
      <c r="F2390" t="s">
        <v>430</v>
      </c>
      <c r="G2390" t="s">
        <v>230</v>
      </c>
      <c r="H2390" t="s">
        <v>231</v>
      </c>
      <c r="J2390" t="s">
        <v>52</v>
      </c>
      <c r="K2390" s="15">
        <v>3000</v>
      </c>
      <c r="M2390">
        <v>45367</v>
      </c>
      <c r="N2390" t="s">
        <v>1013</v>
      </c>
      <c r="O2390">
        <v>0</v>
      </c>
      <c r="P2390">
        <v>18285.12251876733</v>
      </c>
      <c r="Q2390">
        <v>0</v>
      </c>
      <c r="R2390">
        <v>0</v>
      </c>
      <c r="S2390">
        <v>13870.24</v>
      </c>
      <c r="T2390">
        <v>0</v>
      </c>
      <c r="U2390">
        <v>47102.689234796882</v>
      </c>
      <c r="V2390">
        <v>0</v>
      </c>
      <c r="W2390">
        <v>403494.39252336451</v>
      </c>
      <c r="X2390">
        <v>0</v>
      </c>
      <c r="Y2390">
        <v>482752.44427692873</v>
      </c>
      <c r="Z2390">
        <v>31541.795723071304</v>
      </c>
      <c r="AA2390">
        <v>514294.24000000005</v>
      </c>
      <c r="AB2390" t="s">
        <v>242</v>
      </c>
      <c r="AC2390">
        <v>2</v>
      </c>
      <c r="AD2390">
        <v>6000</v>
      </c>
      <c r="AE2390">
        <v>0</v>
      </c>
      <c r="AF2390">
        <v>0</v>
      </c>
      <c r="AG2390">
        <v>366.36315543337651</v>
      </c>
      <c r="AH2390" t="s">
        <v>58</v>
      </c>
      <c r="AK2390" t="s">
        <v>798</v>
      </c>
      <c r="AL2390">
        <v>22200050</v>
      </c>
      <c r="AM2390">
        <v>20757954</v>
      </c>
      <c r="AN2390" t="s">
        <v>120</v>
      </c>
      <c r="AO2390" t="s">
        <v>435</v>
      </c>
      <c r="AP2390" t="s">
        <v>428</v>
      </c>
      <c r="AQ2390" t="s">
        <v>82</v>
      </c>
      <c r="AR2390" t="s">
        <v>82</v>
      </c>
      <c r="AT2390" t="s">
        <v>52</v>
      </c>
      <c r="AU2390">
        <v>500</v>
      </c>
      <c r="AW2390">
        <v>45367</v>
      </c>
      <c r="AX2390" t="s">
        <v>1013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12016.287969863013</v>
      </c>
      <c r="BG2390">
        <v>0</v>
      </c>
      <c r="BH2390">
        <v>0</v>
      </c>
      <c r="BI2390">
        <v>12016.287969863013</v>
      </c>
      <c r="BJ2390">
        <v>0</v>
      </c>
      <c r="BK2390">
        <v>12016.287969863013</v>
      </c>
      <c r="BL2390" t="s">
        <v>242</v>
      </c>
      <c r="BM2390">
        <v>14</v>
      </c>
      <c r="BN2390">
        <v>8000</v>
      </c>
      <c r="BO2390">
        <v>0</v>
      </c>
      <c r="BP2390">
        <v>0</v>
      </c>
      <c r="BQ2390">
        <v>0</v>
      </c>
      <c r="BR2390" t="s">
        <v>58</v>
      </c>
    </row>
    <row r="2391" spans="1:70" x14ac:dyDescent="0.3">
      <c r="A2391" t="s">
        <v>798</v>
      </c>
      <c r="B2391">
        <v>4142300766</v>
      </c>
      <c r="C2391">
        <v>10354207</v>
      </c>
      <c r="D2391" t="s">
        <v>207</v>
      </c>
      <c r="E2391" t="s">
        <v>445</v>
      </c>
      <c r="F2391" t="s">
        <v>430</v>
      </c>
      <c r="G2391" t="s">
        <v>230</v>
      </c>
      <c r="H2391" t="s">
        <v>234</v>
      </c>
      <c r="J2391" t="s">
        <v>52</v>
      </c>
      <c r="K2391" s="15">
        <v>5000</v>
      </c>
      <c r="M2391">
        <v>45367</v>
      </c>
      <c r="N2391" t="s">
        <v>1029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291852.89719626174</v>
      </c>
      <c r="Y2391">
        <v>291852.89719626174</v>
      </c>
      <c r="Z2391">
        <v>20429.702803738324</v>
      </c>
      <c r="AA2391">
        <v>312282.60000000003</v>
      </c>
      <c r="AB2391" t="s">
        <v>242</v>
      </c>
      <c r="AC2391">
        <v>9</v>
      </c>
      <c r="AD2391">
        <v>61000</v>
      </c>
      <c r="AE2391">
        <v>0</v>
      </c>
      <c r="AF2391">
        <v>0</v>
      </c>
      <c r="AG2391">
        <v>3990.6542056074759</v>
      </c>
      <c r="AH2391" t="s">
        <v>58</v>
      </c>
      <c r="AK2391" t="s">
        <v>798</v>
      </c>
      <c r="AL2391">
        <v>32200045</v>
      </c>
      <c r="AM2391">
        <v>20758058</v>
      </c>
      <c r="AN2391" t="s">
        <v>120</v>
      </c>
      <c r="AO2391" t="s">
        <v>435</v>
      </c>
      <c r="AP2391" t="s">
        <v>429</v>
      </c>
      <c r="AQ2391" t="s">
        <v>82</v>
      </c>
      <c r="AR2391" t="s">
        <v>82</v>
      </c>
      <c r="AT2391" t="s">
        <v>52</v>
      </c>
      <c r="AU2391">
        <v>500</v>
      </c>
      <c r="AW2391">
        <v>45367</v>
      </c>
      <c r="AX2391" t="s">
        <v>1013</v>
      </c>
      <c r="AY2391">
        <v>0</v>
      </c>
      <c r="AZ2391">
        <v>0</v>
      </c>
      <c r="BA2391">
        <v>0</v>
      </c>
      <c r="BB2391">
        <v>0</v>
      </c>
      <c r="BC2391">
        <v>1424.0488810958905</v>
      </c>
      <c r="BD2391">
        <v>0</v>
      </c>
      <c r="BE2391">
        <v>0</v>
      </c>
      <c r="BF2391">
        <v>18314.54</v>
      </c>
      <c r="BG2391">
        <v>0</v>
      </c>
      <c r="BH2391">
        <v>0</v>
      </c>
      <c r="BI2391">
        <v>19738.588881095893</v>
      </c>
      <c r="BJ2391">
        <v>0</v>
      </c>
      <c r="BK2391">
        <v>19738.588881095893</v>
      </c>
      <c r="BL2391" t="s">
        <v>242</v>
      </c>
      <c r="BM2391">
        <v>12</v>
      </c>
      <c r="BN2391">
        <v>6000</v>
      </c>
      <c r="BO2391">
        <v>0</v>
      </c>
      <c r="BP2391">
        <v>0</v>
      </c>
      <c r="BQ2391">
        <v>0</v>
      </c>
      <c r="BR2391" t="s">
        <v>58</v>
      </c>
    </row>
    <row r="2392" spans="1:70" x14ac:dyDescent="0.3">
      <c r="A2392" t="s">
        <v>798</v>
      </c>
      <c r="B2392">
        <v>4142301021</v>
      </c>
      <c r="C2392">
        <v>10498847</v>
      </c>
      <c r="D2392" t="s">
        <v>745</v>
      </c>
      <c r="E2392" t="s">
        <v>445</v>
      </c>
      <c r="F2392" t="s">
        <v>430</v>
      </c>
      <c r="G2392" t="s">
        <v>230</v>
      </c>
      <c r="H2392" t="s">
        <v>234</v>
      </c>
      <c r="J2392" t="s">
        <v>52</v>
      </c>
      <c r="K2392" s="15">
        <v>3000</v>
      </c>
      <c r="M2392">
        <v>45367</v>
      </c>
      <c r="N2392" t="s">
        <v>1013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264312.88785046723</v>
      </c>
      <c r="Y2392">
        <v>264312.88785046723</v>
      </c>
      <c r="Z2392">
        <v>18501.902149532707</v>
      </c>
      <c r="AA2392">
        <v>282814.78999999992</v>
      </c>
      <c r="AB2392" t="s">
        <v>242</v>
      </c>
      <c r="AC2392">
        <v>2</v>
      </c>
      <c r="AD2392">
        <v>8000</v>
      </c>
      <c r="AE2392">
        <v>0</v>
      </c>
      <c r="AF2392">
        <v>0</v>
      </c>
      <c r="AG2392">
        <v>523.36448598130846</v>
      </c>
      <c r="AH2392" t="s">
        <v>58</v>
      </c>
      <c r="AK2392" t="s">
        <v>798</v>
      </c>
      <c r="AL2392">
        <v>52201220</v>
      </c>
      <c r="AM2392">
        <v>25378599</v>
      </c>
      <c r="AN2392" t="s">
        <v>150</v>
      </c>
      <c r="AO2392" t="s">
        <v>438</v>
      </c>
      <c r="AP2392" t="s">
        <v>431</v>
      </c>
      <c r="AQ2392" t="s">
        <v>82</v>
      </c>
      <c r="AR2392" t="s">
        <v>83</v>
      </c>
      <c r="AT2392" t="s">
        <v>52</v>
      </c>
      <c r="AU2392">
        <v>1000</v>
      </c>
      <c r="AW2392">
        <v>45367</v>
      </c>
      <c r="AX2392" t="s">
        <v>1013</v>
      </c>
      <c r="AY2392">
        <v>0</v>
      </c>
      <c r="AZ2392">
        <v>0</v>
      </c>
      <c r="BA2392">
        <v>0</v>
      </c>
      <c r="BB2392">
        <v>652.39633932444406</v>
      </c>
      <c r="BC2392">
        <v>9053.2110436119729</v>
      </c>
      <c r="BD2392">
        <v>0</v>
      </c>
      <c r="BE2392">
        <v>0</v>
      </c>
      <c r="BF2392">
        <v>79718.38097920474</v>
      </c>
      <c r="BG2392">
        <v>0</v>
      </c>
      <c r="BH2392">
        <v>0</v>
      </c>
      <c r="BI2392">
        <v>89423.988362141157</v>
      </c>
      <c r="BJ2392">
        <v>6214.0114415971702</v>
      </c>
      <c r="BK2392">
        <v>95637.999803738334</v>
      </c>
      <c r="BL2392" t="s">
        <v>242</v>
      </c>
      <c r="BM2392">
        <v>13</v>
      </c>
      <c r="BN2392">
        <v>19000</v>
      </c>
      <c r="BO2392">
        <v>0</v>
      </c>
      <c r="BP2392">
        <v>0</v>
      </c>
      <c r="BQ2392">
        <v>1233.8577044417862</v>
      </c>
      <c r="BR2392" t="s">
        <v>58</v>
      </c>
    </row>
    <row r="2393" spans="1:70" x14ac:dyDescent="0.3">
      <c r="A2393" t="s">
        <v>798</v>
      </c>
      <c r="B2393">
        <v>4302300031</v>
      </c>
      <c r="C2393">
        <v>901014009726</v>
      </c>
      <c r="D2393" t="s">
        <v>226</v>
      </c>
      <c r="E2393" t="s">
        <v>447</v>
      </c>
      <c r="F2393" t="s">
        <v>433</v>
      </c>
      <c r="G2393" t="s">
        <v>82</v>
      </c>
      <c r="H2393" t="s">
        <v>83</v>
      </c>
      <c r="J2393" t="s">
        <v>52</v>
      </c>
      <c r="K2393" s="15">
        <v>21243.56</v>
      </c>
      <c r="M2393">
        <v>45367</v>
      </c>
      <c r="N2393" t="s">
        <v>1013</v>
      </c>
      <c r="O2393">
        <v>0</v>
      </c>
      <c r="P2393">
        <v>0</v>
      </c>
      <c r="Q2393">
        <v>22445.096043321129</v>
      </c>
      <c r="R2393">
        <v>17745.22</v>
      </c>
      <c r="S2393">
        <v>44543.447155774629</v>
      </c>
      <c r="T2393">
        <v>0</v>
      </c>
      <c r="U2393">
        <v>0</v>
      </c>
      <c r="V2393">
        <v>367732.35</v>
      </c>
      <c r="W2393">
        <v>0</v>
      </c>
      <c r="X2393">
        <v>0</v>
      </c>
      <c r="Y2393">
        <v>452466.11319909571</v>
      </c>
      <c r="Z2393">
        <v>28859.305800904225</v>
      </c>
      <c r="AA2393">
        <v>481325.41899999994</v>
      </c>
      <c r="AB2393" t="s">
        <v>242</v>
      </c>
      <c r="AC2393">
        <v>7</v>
      </c>
      <c r="AD2393">
        <v>48243.56</v>
      </c>
      <c r="AE2393">
        <v>0</v>
      </c>
      <c r="AF2393">
        <v>0</v>
      </c>
      <c r="AG2393">
        <v>2874.6831990957735</v>
      </c>
      <c r="AH2393" t="s">
        <v>58</v>
      </c>
      <c r="AK2393" t="s">
        <v>798</v>
      </c>
      <c r="AL2393">
        <v>52201830</v>
      </c>
      <c r="AM2393">
        <v>25560817</v>
      </c>
      <c r="AN2393" t="s">
        <v>167</v>
      </c>
      <c r="AO2393" t="s">
        <v>438</v>
      </c>
      <c r="AP2393" t="s">
        <v>431</v>
      </c>
      <c r="AQ2393" t="s">
        <v>82</v>
      </c>
      <c r="AR2393" t="s">
        <v>83</v>
      </c>
      <c r="AT2393" t="s">
        <v>52</v>
      </c>
      <c r="AU2393">
        <v>1750</v>
      </c>
      <c r="AW2393">
        <v>45367</v>
      </c>
      <c r="AX2393" t="s">
        <v>1013</v>
      </c>
      <c r="AY2393">
        <v>0</v>
      </c>
      <c r="AZ2393">
        <v>0</v>
      </c>
      <c r="BA2393">
        <v>0</v>
      </c>
      <c r="BB2393">
        <v>751.63880794518172</v>
      </c>
      <c r="BC2393">
        <v>15856.177283463971</v>
      </c>
      <c r="BD2393">
        <v>0</v>
      </c>
      <c r="BE2393">
        <v>0</v>
      </c>
      <c r="BF2393">
        <v>53474.06748157987</v>
      </c>
      <c r="BG2393">
        <v>0</v>
      </c>
      <c r="BH2393">
        <v>0</v>
      </c>
      <c r="BI2393">
        <v>70081.883572989027</v>
      </c>
      <c r="BJ2393">
        <v>4853.1171335530689</v>
      </c>
      <c r="BK2393">
        <v>74935.000706542094</v>
      </c>
      <c r="BL2393" t="s">
        <v>242</v>
      </c>
      <c r="BM2393">
        <v>13</v>
      </c>
      <c r="BN2393">
        <v>22000</v>
      </c>
      <c r="BO2393">
        <v>0</v>
      </c>
      <c r="BP2393">
        <v>0</v>
      </c>
      <c r="BQ2393">
        <v>1423.6586136038902</v>
      </c>
      <c r="BR2393" t="s">
        <v>58</v>
      </c>
    </row>
    <row r="2394" spans="1:70" x14ac:dyDescent="0.3">
      <c r="A2394" t="s">
        <v>798</v>
      </c>
      <c r="B2394">
        <v>4302300004</v>
      </c>
      <c r="C2394">
        <v>901019009305</v>
      </c>
      <c r="D2394" t="s">
        <v>221</v>
      </c>
      <c r="E2394" t="s">
        <v>447</v>
      </c>
      <c r="F2394" t="s">
        <v>433</v>
      </c>
      <c r="G2394" t="s">
        <v>82</v>
      </c>
      <c r="H2394" t="s">
        <v>83</v>
      </c>
      <c r="J2394" t="s">
        <v>52</v>
      </c>
      <c r="K2394" s="15">
        <v>30000</v>
      </c>
      <c r="M2394">
        <v>45368</v>
      </c>
      <c r="N2394" t="s">
        <v>1013</v>
      </c>
      <c r="O2394">
        <v>0</v>
      </c>
      <c r="P2394">
        <v>0</v>
      </c>
      <c r="Q2394">
        <v>162044.74081377231</v>
      </c>
      <c r="R2394">
        <v>7341.0099999999993</v>
      </c>
      <c r="S2394">
        <v>275886.13008058665</v>
      </c>
      <c r="T2394">
        <v>0</v>
      </c>
      <c r="U2394">
        <v>0</v>
      </c>
      <c r="V2394">
        <v>2333526.79</v>
      </c>
      <c r="W2394">
        <v>0</v>
      </c>
      <c r="X2394">
        <v>0</v>
      </c>
      <c r="Y2394">
        <v>2778798.6708943592</v>
      </c>
      <c r="Z2394">
        <v>182658.90440564111</v>
      </c>
      <c r="AA2394">
        <v>2961457.5753000001</v>
      </c>
      <c r="AB2394" t="s">
        <v>242</v>
      </c>
      <c r="AC2394">
        <v>3</v>
      </c>
      <c r="AD2394">
        <v>85000</v>
      </c>
      <c r="AE2394">
        <v>0</v>
      </c>
      <c r="AF2394">
        <v>0</v>
      </c>
      <c r="AG2394">
        <v>5221.3608943589352</v>
      </c>
      <c r="AH2394" t="s">
        <v>58</v>
      </c>
      <c r="AK2394" t="s">
        <v>798</v>
      </c>
      <c r="AL2394">
        <v>4302300004</v>
      </c>
      <c r="AM2394">
        <v>901019009305</v>
      </c>
      <c r="AN2394" t="s">
        <v>221</v>
      </c>
      <c r="AO2394" t="s">
        <v>447</v>
      </c>
      <c r="AP2394" t="s">
        <v>433</v>
      </c>
      <c r="AQ2394" t="s">
        <v>82</v>
      </c>
      <c r="AR2394" t="s">
        <v>83</v>
      </c>
      <c r="AT2394" t="s">
        <v>52</v>
      </c>
      <c r="AU2394">
        <v>30000</v>
      </c>
      <c r="AW2394">
        <v>45368</v>
      </c>
      <c r="AX2394" t="s">
        <v>1013</v>
      </c>
      <c r="AY2394">
        <v>0</v>
      </c>
      <c r="AZ2394">
        <v>0</v>
      </c>
      <c r="BA2394">
        <v>162044.74081377231</v>
      </c>
      <c r="BB2394">
        <v>7341.0099999999993</v>
      </c>
      <c r="BC2394">
        <v>275886.13008058665</v>
      </c>
      <c r="BD2394">
        <v>0</v>
      </c>
      <c r="BE2394">
        <v>0</v>
      </c>
      <c r="BF2394">
        <v>2333526.79</v>
      </c>
      <c r="BG2394">
        <v>0</v>
      </c>
      <c r="BH2394">
        <v>0</v>
      </c>
      <c r="BI2394">
        <v>2778798.6708943592</v>
      </c>
      <c r="BJ2394">
        <v>182658.90440564111</v>
      </c>
      <c r="BK2394">
        <v>2961457.5753000001</v>
      </c>
      <c r="BL2394" t="s">
        <v>242</v>
      </c>
      <c r="BM2394">
        <v>3</v>
      </c>
      <c r="BN2394">
        <v>85000</v>
      </c>
      <c r="BO2394">
        <v>0</v>
      </c>
      <c r="BP2394">
        <v>0</v>
      </c>
      <c r="BQ2394">
        <v>5221.3608943589352</v>
      </c>
      <c r="BR2394" t="s">
        <v>58</v>
      </c>
    </row>
    <row r="2395" spans="1:70" x14ac:dyDescent="0.3">
      <c r="A2395" t="s">
        <v>798</v>
      </c>
      <c r="B2395">
        <v>4302300035</v>
      </c>
      <c r="C2395">
        <v>901015004175</v>
      </c>
      <c r="D2395" t="s">
        <v>226</v>
      </c>
      <c r="E2395" t="s">
        <v>447</v>
      </c>
      <c r="F2395" t="s">
        <v>433</v>
      </c>
      <c r="G2395" t="s">
        <v>82</v>
      </c>
      <c r="H2395" t="s">
        <v>83</v>
      </c>
      <c r="J2395" t="s">
        <v>52</v>
      </c>
      <c r="K2395" s="15">
        <v>53974.65</v>
      </c>
      <c r="M2395">
        <v>45368</v>
      </c>
      <c r="N2395" t="s">
        <v>1013</v>
      </c>
      <c r="O2395">
        <v>0</v>
      </c>
      <c r="P2395">
        <v>0</v>
      </c>
      <c r="Q2395">
        <v>62420.662002239878</v>
      </c>
      <c r="R2395">
        <v>21447.41</v>
      </c>
      <c r="S2395">
        <v>76836.233642766456</v>
      </c>
      <c r="T2395">
        <v>0</v>
      </c>
      <c r="U2395">
        <v>0</v>
      </c>
      <c r="V2395">
        <v>988232.46</v>
      </c>
      <c r="W2395">
        <v>0</v>
      </c>
      <c r="X2395">
        <v>0</v>
      </c>
      <c r="Y2395">
        <v>1148936.7656450062</v>
      </c>
      <c r="Z2395">
        <v>74554.808554993651</v>
      </c>
      <c r="AA2395">
        <v>1223491.5741999999</v>
      </c>
      <c r="AB2395" t="s">
        <v>242</v>
      </c>
      <c r="AC2395">
        <v>7</v>
      </c>
      <c r="AD2395">
        <v>125974.65</v>
      </c>
      <c r="AE2395">
        <v>0</v>
      </c>
      <c r="AF2395">
        <v>0</v>
      </c>
      <c r="AG2395">
        <v>7637.3056450063468</v>
      </c>
      <c r="AH2395" t="s">
        <v>58</v>
      </c>
      <c r="AK2395" t="s">
        <v>798</v>
      </c>
      <c r="AL2395">
        <v>4302300035</v>
      </c>
      <c r="AM2395">
        <v>901015004175</v>
      </c>
      <c r="AN2395" t="s">
        <v>226</v>
      </c>
      <c r="AO2395" t="s">
        <v>447</v>
      </c>
      <c r="AP2395" t="s">
        <v>433</v>
      </c>
      <c r="AQ2395" t="s">
        <v>82</v>
      </c>
      <c r="AR2395" t="s">
        <v>83</v>
      </c>
      <c r="AT2395" t="s">
        <v>52</v>
      </c>
      <c r="AU2395">
        <v>53974.65</v>
      </c>
      <c r="AW2395">
        <v>45368</v>
      </c>
      <c r="AX2395" t="s">
        <v>1013</v>
      </c>
      <c r="AY2395">
        <v>0</v>
      </c>
      <c r="AZ2395">
        <v>0</v>
      </c>
      <c r="BA2395">
        <v>62420.662002239878</v>
      </c>
      <c r="BB2395">
        <v>21447.41</v>
      </c>
      <c r="BC2395">
        <v>76836.233642766456</v>
      </c>
      <c r="BD2395">
        <v>0</v>
      </c>
      <c r="BE2395">
        <v>0</v>
      </c>
      <c r="BF2395">
        <v>988232.46</v>
      </c>
      <c r="BG2395">
        <v>0</v>
      </c>
      <c r="BH2395">
        <v>0</v>
      </c>
      <c r="BI2395">
        <v>1148936.7656450062</v>
      </c>
      <c r="BJ2395">
        <v>74554.808554993651</v>
      </c>
      <c r="BK2395">
        <v>1223491.5741999999</v>
      </c>
      <c r="BL2395" t="s">
        <v>242</v>
      </c>
      <c r="BM2395">
        <v>7</v>
      </c>
      <c r="BN2395">
        <v>125974.65</v>
      </c>
      <c r="BO2395">
        <v>0</v>
      </c>
      <c r="BP2395">
        <v>0</v>
      </c>
      <c r="BQ2395">
        <v>7637.3056450063468</v>
      </c>
      <c r="BR2395" t="s">
        <v>58</v>
      </c>
    </row>
    <row r="2396" spans="1:70" x14ac:dyDescent="0.3">
      <c r="A2396" t="s">
        <v>798</v>
      </c>
      <c r="B2396">
        <v>4302300037</v>
      </c>
      <c r="C2396">
        <v>901016002166</v>
      </c>
      <c r="D2396" t="s">
        <v>226</v>
      </c>
      <c r="E2396" t="s">
        <v>447</v>
      </c>
      <c r="F2396" t="s">
        <v>433</v>
      </c>
      <c r="G2396" t="s">
        <v>82</v>
      </c>
      <c r="H2396" t="s">
        <v>83</v>
      </c>
      <c r="J2396" t="s">
        <v>52</v>
      </c>
      <c r="K2396" s="15">
        <v>224626.63</v>
      </c>
      <c r="M2396">
        <v>45368</v>
      </c>
      <c r="N2396" t="s">
        <v>1013</v>
      </c>
      <c r="O2396">
        <v>0</v>
      </c>
      <c r="P2396">
        <v>0</v>
      </c>
      <c r="Q2396">
        <v>260020.17608100944</v>
      </c>
      <c r="R2396">
        <v>131054.42</v>
      </c>
      <c r="S2396">
        <v>330271.73786821536</v>
      </c>
      <c r="T2396">
        <v>0</v>
      </c>
      <c r="U2396">
        <v>0</v>
      </c>
      <c r="V2396">
        <v>4045543.13</v>
      </c>
      <c r="W2396">
        <v>0</v>
      </c>
      <c r="X2396">
        <v>0</v>
      </c>
      <c r="Y2396">
        <v>4766889.4639492249</v>
      </c>
      <c r="Z2396">
        <v>306307.04075077508</v>
      </c>
      <c r="AA2396">
        <v>5073196.5047000004</v>
      </c>
      <c r="AB2396" t="s">
        <v>242</v>
      </c>
      <c r="AC2396">
        <v>6</v>
      </c>
      <c r="AD2396">
        <v>349626.63</v>
      </c>
      <c r="AE2396">
        <v>0</v>
      </c>
      <c r="AF2396">
        <v>0</v>
      </c>
      <c r="AG2396">
        <v>20990.36394922492</v>
      </c>
      <c r="AH2396" t="s">
        <v>58</v>
      </c>
      <c r="AK2396" t="s">
        <v>798</v>
      </c>
      <c r="AL2396">
        <v>4302300037</v>
      </c>
      <c r="AM2396">
        <v>901016002166</v>
      </c>
      <c r="AN2396" t="s">
        <v>226</v>
      </c>
      <c r="AO2396" t="s">
        <v>447</v>
      </c>
      <c r="AP2396" t="s">
        <v>433</v>
      </c>
      <c r="AQ2396" t="s">
        <v>82</v>
      </c>
      <c r="AR2396" t="s">
        <v>83</v>
      </c>
      <c r="AT2396" t="s">
        <v>52</v>
      </c>
      <c r="AU2396">
        <v>224626.63</v>
      </c>
      <c r="AW2396">
        <v>45368</v>
      </c>
      <c r="AX2396" t="s">
        <v>1013</v>
      </c>
      <c r="AY2396">
        <v>0</v>
      </c>
      <c r="AZ2396">
        <v>0</v>
      </c>
      <c r="BA2396">
        <v>260020.17608100944</v>
      </c>
      <c r="BB2396">
        <v>131054.42</v>
      </c>
      <c r="BC2396">
        <v>330271.73786821536</v>
      </c>
      <c r="BD2396">
        <v>0</v>
      </c>
      <c r="BE2396">
        <v>0</v>
      </c>
      <c r="BF2396">
        <v>4045543.13</v>
      </c>
      <c r="BG2396">
        <v>0</v>
      </c>
      <c r="BH2396">
        <v>0</v>
      </c>
      <c r="BI2396">
        <v>4766889.4639492249</v>
      </c>
      <c r="BJ2396">
        <v>306307.04075077508</v>
      </c>
      <c r="BK2396">
        <v>5073196.5047000004</v>
      </c>
      <c r="BL2396" t="s">
        <v>242</v>
      </c>
      <c r="BM2396">
        <v>6</v>
      </c>
      <c r="BN2396">
        <v>349626.63</v>
      </c>
      <c r="BO2396">
        <v>0</v>
      </c>
      <c r="BP2396">
        <v>0</v>
      </c>
      <c r="BQ2396">
        <v>20990.36394922492</v>
      </c>
      <c r="BR2396" t="s">
        <v>58</v>
      </c>
    </row>
    <row r="2397" spans="1:70" x14ac:dyDescent="0.3">
      <c r="A2397" t="s">
        <v>798</v>
      </c>
      <c r="B2397">
        <v>42200199</v>
      </c>
      <c r="C2397">
        <v>2758011774</v>
      </c>
      <c r="D2397" t="s">
        <v>986</v>
      </c>
      <c r="E2397" t="s">
        <v>439</v>
      </c>
      <c r="F2397" t="s">
        <v>430</v>
      </c>
      <c r="G2397" t="s">
        <v>232</v>
      </c>
      <c r="H2397" t="s">
        <v>71</v>
      </c>
      <c r="J2397" t="s">
        <v>52</v>
      </c>
      <c r="K2397" s="15">
        <v>1000</v>
      </c>
      <c r="M2397">
        <v>45369</v>
      </c>
      <c r="N2397" t="s">
        <v>1013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76866.766355140178</v>
      </c>
      <c r="Y2397">
        <v>76866.766355140178</v>
      </c>
      <c r="Z2397">
        <v>5380.6736448598131</v>
      </c>
      <c r="AA2397">
        <v>82247.439999999988</v>
      </c>
      <c r="AB2397" t="s">
        <v>242</v>
      </c>
      <c r="AC2397">
        <v>3</v>
      </c>
      <c r="AD2397">
        <v>4000</v>
      </c>
      <c r="AE2397">
        <v>0</v>
      </c>
      <c r="AF2397">
        <v>0</v>
      </c>
      <c r="AG2397">
        <v>261.68224299065423</v>
      </c>
      <c r="AH2397" t="s">
        <v>58</v>
      </c>
      <c r="AK2397" t="s">
        <v>798</v>
      </c>
      <c r="AL2397">
        <v>4132300425</v>
      </c>
      <c r="AM2397">
        <v>1011500206</v>
      </c>
      <c r="AN2397" t="s">
        <v>176</v>
      </c>
      <c r="AO2397" t="s">
        <v>441</v>
      </c>
      <c r="AP2397" t="s">
        <v>430</v>
      </c>
      <c r="AQ2397" t="s">
        <v>233</v>
      </c>
      <c r="AR2397" t="s">
        <v>231</v>
      </c>
      <c r="AT2397" t="s">
        <v>52</v>
      </c>
      <c r="AU2397">
        <v>3000</v>
      </c>
      <c r="AW2397">
        <v>45369</v>
      </c>
      <c r="AX2397" t="s">
        <v>1013</v>
      </c>
      <c r="AY2397">
        <v>0</v>
      </c>
      <c r="AZ2397">
        <v>1751.5976406484756</v>
      </c>
      <c r="BA2397">
        <v>0</v>
      </c>
      <c r="BB2397">
        <v>0</v>
      </c>
      <c r="BC2397">
        <v>58047.945205479453</v>
      </c>
      <c r="BD2397">
        <v>154743.36669098274</v>
      </c>
      <c r="BE2397">
        <v>0</v>
      </c>
      <c r="BF2397">
        <v>0</v>
      </c>
      <c r="BG2397">
        <v>0</v>
      </c>
      <c r="BH2397">
        <v>0</v>
      </c>
      <c r="BI2397">
        <v>214542.90953711068</v>
      </c>
      <c r="BJ2397">
        <v>10832.035668368793</v>
      </c>
      <c r="BK2397">
        <v>225374.94520547948</v>
      </c>
      <c r="BL2397" t="s">
        <v>242</v>
      </c>
      <c r="BM2397">
        <v>7</v>
      </c>
      <c r="BN2397">
        <v>21000</v>
      </c>
      <c r="BO2397">
        <v>0</v>
      </c>
      <c r="BP2397">
        <v>0</v>
      </c>
      <c r="BQ2397">
        <v>989.91760265924609</v>
      </c>
      <c r="BR2397" t="s">
        <v>58</v>
      </c>
    </row>
    <row r="2398" spans="1:70" x14ac:dyDescent="0.3">
      <c r="A2398" t="s">
        <v>798</v>
      </c>
      <c r="B2398">
        <v>52201351</v>
      </c>
      <c r="C2398">
        <v>22940816</v>
      </c>
      <c r="D2398" t="s">
        <v>155</v>
      </c>
      <c r="E2398" t="s">
        <v>438</v>
      </c>
      <c r="F2398" t="s">
        <v>431</v>
      </c>
      <c r="G2398" t="s">
        <v>82</v>
      </c>
      <c r="H2398" t="s">
        <v>83</v>
      </c>
      <c r="J2398" t="s">
        <v>52</v>
      </c>
      <c r="K2398" s="15">
        <v>500</v>
      </c>
      <c r="M2398">
        <v>45369</v>
      </c>
      <c r="N2398" t="s">
        <v>1013</v>
      </c>
      <c r="O2398">
        <v>0</v>
      </c>
      <c r="P2398">
        <v>0</v>
      </c>
      <c r="Q2398">
        <v>0</v>
      </c>
      <c r="R2398">
        <v>747.39848690575377</v>
      </c>
      <c r="S2398">
        <v>14972.690055903469</v>
      </c>
      <c r="T2398">
        <v>0</v>
      </c>
      <c r="U2398">
        <v>0</v>
      </c>
      <c r="V2398">
        <v>73829.741339665459</v>
      </c>
      <c r="W2398">
        <v>0</v>
      </c>
      <c r="X2398">
        <v>0</v>
      </c>
      <c r="Y2398">
        <v>89549.829882474674</v>
      </c>
      <c r="Z2398">
        <v>6216.1701976898257</v>
      </c>
      <c r="AA2398">
        <v>95766.000080164493</v>
      </c>
      <c r="AB2398" t="s">
        <v>242</v>
      </c>
      <c r="AC2398">
        <v>24</v>
      </c>
      <c r="AD2398">
        <v>17100</v>
      </c>
      <c r="AE2398">
        <v>0</v>
      </c>
      <c r="AF2398">
        <v>0</v>
      </c>
      <c r="AG2398">
        <v>1109.2970972742082</v>
      </c>
      <c r="AH2398" t="s">
        <v>58</v>
      </c>
      <c r="AK2398" t="s">
        <v>798</v>
      </c>
      <c r="AL2398">
        <v>4142300600</v>
      </c>
      <c r="AM2398">
        <v>10261717</v>
      </c>
      <c r="AN2398" t="s">
        <v>202</v>
      </c>
      <c r="AO2398" t="s">
        <v>445</v>
      </c>
      <c r="AP2398" t="s">
        <v>430</v>
      </c>
      <c r="AQ2398" t="s">
        <v>230</v>
      </c>
      <c r="AR2398" t="s">
        <v>234</v>
      </c>
      <c r="AT2398" t="s">
        <v>52</v>
      </c>
      <c r="AU2398">
        <v>10000</v>
      </c>
      <c r="AW2398">
        <v>45369</v>
      </c>
      <c r="AX2398" t="s">
        <v>1013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170685.70093457951</v>
      </c>
      <c r="BI2398">
        <v>170685.70093457951</v>
      </c>
      <c r="BJ2398">
        <v>11947.999065420567</v>
      </c>
      <c r="BK2398">
        <v>182633.70000000007</v>
      </c>
      <c r="BL2398" t="s">
        <v>242</v>
      </c>
      <c r="BM2398">
        <v>9</v>
      </c>
      <c r="BN2398">
        <v>180000</v>
      </c>
      <c r="BO2398">
        <v>0</v>
      </c>
      <c r="BP2398">
        <v>0</v>
      </c>
      <c r="BQ2398">
        <v>11775.700934579436</v>
      </c>
      <c r="BR2398" t="s">
        <v>58</v>
      </c>
    </row>
    <row r="2399" spans="1:70" x14ac:dyDescent="0.3">
      <c r="A2399" t="s">
        <v>798</v>
      </c>
      <c r="B2399">
        <v>4132300425</v>
      </c>
      <c r="C2399">
        <v>1011500206</v>
      </c>
      <c r="D2399" t="s">
        <v>176</v>
      </c>
      <c r="E2399" t="s">
        <v>441</v>
      </c>
      <c r="F2399" t="s">
        <v>430</v>
      </c>
      <c r="G2399" t="s">
        <v>233</v>
      </c>
      <c r="H2399" t="s">
        <v>231</v>
      </c>
      <c r="J2399" t="s">
        <v>52</v>
      </c>
      <c r="K2399" s="15">
        <v>3000</v>
      </c>
      <c r="M2399">
        <v>45369</v>
      </c>
      <c r="N2399" t="s">
        <v>1013</v>
      </c>
      <c r="O2399">
        <v>0</v>
      </c>
      <c r="P2399">
        <v>1751.5976406484756</v>
      </c>
      <c r="Q2399">
        <v>0</v>
      </c>
      <c r="R2399">
        <v>0</v>
      </c>
      <c r="S2399">
        <v>58047.945205479453</v>
      </c>
      <c r="T2399">
        <v>154743.36669098274</v>
      </c>
      <c r="U2399">
        <v>0</v>
      </c>
      <c r="V2399">
        <v>0</v>
      </c>
      <c r="W2399">
        <v>0</v>
      </c>
      <c r="X2399">
        <v>0</v>
      </c>
      <c r="Y2399">
        <v>214542.90953711068</v>
      </c>
      <c r="Z2399">
        <v>10832.035668368793</v>
      </c>
      <c r="AA2399">
        <v>225374.94520547948</v>
      </c>
      <c r="AB2399" t="s">
        <v>242</v>
      </c>
      <c r="AC2399">
        <v>7</v>
      </c>
      <c r="AD2399">
        <v>21000</v>
      </c>
      <c r="AE2399">
        <v>0</v>
      </c>
      <c r="AF2399">
        <v>0</v>
      </c>
      <c r="AG2399">
        <v>989.91760265924609</v>
      </c>
      <c r="AH2399" t="s">
        <v>58</v>
      </c>
      <c r="AK2399" t="s">
        <v>798</v>
      </c>
      <c r="AL2399">
        <v>42200199</v>
      </c>
      <c r="AM2399">
        <v>2758011774</v>
      </c>
      <c r="AN2399" t="s">
        <v>986</v>
      </c>
      <c r="AO2399" t="s">
        <v>439</v>
      </c>
      <c r="AP2399" t="s">
        <v>430</v>
      </c>
      <c r="AQ2399" t="s">
        <v>232</v>
      </c>
      <c r="AR2399" t="s">
        <v>71</v>
      </c>
      <c r="AT2399" t="s">
        <v>52</v>
      </c>
      <c r="AU2399">
        <v>1000</v>
      </c>
      <c r="AW2399">
        <v>45369</v>
      </c>
      <c r="AX2399" t="s">
        <v>1013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76866.766355140178</v>
      </c>
      <c r="BI2399">
        <v>76866.766355140178</v>
      </c>
      <c r="BJ2399">
        <v>5380.6736448598131</v>
      </c>
      <c r="BK2399">
        <v>82247.439999999988</v>
      </c>
      <c r="BL2399" t="s">
        <v>242</v>
      </c>
      <c r="BM2399">
        <v>3</v>
      </c>
      <c r="BN2399">
        <v>4000</v>
      </c>
      <c r="BO2399">
        <v>0</v>
      </c>
      <c r="BP2399">
        <v>0</v>
      </c>
      <c r="BQ2399">
        <v>261.68224299065423</v>
      </c>
      <c r="BR2399" t="s">
        <v>58</v>
      </c>
    </row>
    <row r="2400" spans="1:70" x14ac:dyDescent="0.3">
      <c r="A2400" t="s">
        <v>798</v>
      </c>
      <c r="B2400">
        <v>4142300208</v>
      </c>
      <c r="C2400">
        <v>10080397</v>
      </c>
      <c r="D2400" t="s">
        <v>782</v>
      </c>
      <c r="E2400" t="s">
        <v>445</v>
      </c>
      <c r="F2400" t="s">
        <v>430</v>
      </c>
      <c r="G2400" t="s">
        <v>237</v>
      </c>
      <c r="H2400" t="s">
        <v>234</v>
      </c>
      <c r="J2400" t="s">
        <v>425</v>
      </c>
      <c r="K2400" s="15">
        <v>32000</v>
      </c>
      <c r="M2400">
        <v>45369</v>
      </c>
      <c r="N2400" t="s">
        <v>1023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207732.42990654206</v>
      </c>
      <c r="Y2400">
        <v>207732.42990654206</v>
      </c>
      <c r="Z2400">
        <v>14541.270093457946</v>
      </c>
      <c r="AA2400">
        <v>222273.7</v>
      </c>
      <c r="AB2400" t="s">
        <v>242</v>
      </c>
      <c r="AC2400">
        <v>0</v>
      </c>
      <c r="AD2400">
        <v>0</v>
      </c>
      <c r="AE2400">
        <v>0</v>
      </c>
      <c r="AF2400">
        <v>34240</v>
      </c>
      <c r="AG2400">
        <v>2240</v>
      </c>
      <c r="AH2400" t="s">
        <v>72</v>
      </c>
      <c r="AK2400" t="s">
        <v>798</v>
      </c>
      <c r="AL2400">
        <v>52201351</v>
      </c>
      <c r="AM2400">
        <v>22940816</v>
      </c>
      <c r="AN2400" t="s">
        <v>155</v>
      </c>
      <c r="AO2400" t="s">
        <v>438</v>
      </c>
      <c r="AP2400" t="s">
        <v>431</v>
      </c>
      <c r="AQ2400" t="s">
        <v>82</v>
      </c>
      <c r="AR2400" t="s">
        <v>83</v>
      </c>
      <c r="AT2400" t="s">
        <v>52</v>
      </c>
      <c r="AU2400">
        <v>500</v>
      </c>
      <c r="AW2400">
        <v>45369</v>
      </c>
      <c r="AX2400" t="s">
        <v>1013</v>
      </c>
      <c r="AY2400">
        <v>0</v>
      </c>
      <c r="AZ2400">
        <v>0</v>
      </c>
      <c r="BA2400">
        <v>0</v>
      </c>
      <c r="BB2400">
        <v>747.39848690575377</v>
      </c>
      <c r="BC2400">
        <v>14972.690055903469</v>
      </c>
      <c r="BD2400">
        <v>0</v>
      </c>
      <c r="BE2400">
        <v>0</v>
      </c>
      <c r="BF2400">
        <v>73829.741339665459</v>
      </c>
      <c r="BG2400">
        <v>0</v>
      </c>
      <c r="BH2400">
        <v>0</v>
      </c>
      <c r="BI2400">
        <v>89549.829882474674</v>
      </c>
      <c r="BJ2400">
        <v>6216.1701976898257</v>
      </c>
      <c r="BK2400">
        <v>95766.000080164493</v>
      </c>
      <c r="BL2400" t="s">
        <v>242</v>
      </c>
      <c r="BM2400">
        <v>24</v>
      </c>
      <c r="BN2400">
        <v>17100</v>
      </c>
      <c r="BO2400">
        <v>0</v>
      </c>
      <c r="BP2400">
        <v>0</v>
      </c>
      <c r="BQ2400">
        <v>1109.2970972742082</v>
      </c>
      <c r="BR2400" t="s">
        <v>58</v>
      </c>
    </row>
    <row r="2401" spans="1:70" x14ac:dyDescent="0.3">
      <c r="A2401" t="s">
        <v>798</v>
      </c>
      <c r="B2401">
        <v>4142300600</v>
      </c>
      <c r="C2401">
        <v>10261717</v>
      </c>
      <c r="D2401" t="s">
        <v>202</v>
      </c>
      <c r="E2401" t="s">
        <v>445</v>
      </c>
      <c r="F2401" t="s">
        <v>430</v>
      </c>
      <c r="G2401" t="s">
        <v>230</v>
      </c>
      <c r="H2401" t="s">
        <v>234</v>
      </c>
      <c r="J2401" t="s">
        <v>52</v>
      </c>
      <c r="K2401" s="15">
        <v>10000</v>
      </c>
      <c r="M2401">
        <v>45369</v>
      </c>
      <c r="N2401" t="s">
        <v>1013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170685.70093457951</v>
      </c>
      <c r="Y2401">
        <v>170685.70093457951</v>
      </c>
      <c r="Z2401">
        <v>11947.999065420567</v>
      </c>
      <c r="AA2401">
        <v>182633.70000000007</v>
      </c>
      <c r="AB2401" t="s">
        <v>242</v>
      </c>
      <c r="AC2401">
        <v>9</v>
      </c>
      <c r="AD2401">
        <v>180000</v>
      </c>
      <c r="AE2401">
        <v>0</v>
      </c>
      <c r="AF2401">
        <v>0</v>
      </c>
      <c r="AG2401">
        <v>11775.700934579436</v>
      </c>
      <c r="AH2401" t="s">
        <v>58</v>
      </c>
      <c r="AK2401" t="s">
        <v>798</v>
      </c>
      <c r="AL2401">
        <v>4142300208</v>
      </c>
      <c r="AM2401">
        <v>10080397</v>
      </c>
      <c r="AN2401" t="s">
        <v>782</v>
      </c>
      <c r="AO2401" t="s">
        <v>445</v>
      </c>
      <c r="AP2401" t="s">
        <v>430</v>
      </c>
      <c r="AQ2401" t="s">
        <v>237</v>
      </c>
      <c r="AR2401" t="s">
        <v>234</v>
      </c>
      <c r="AT2401" t="s">
        <v>425</v>
      </c>
      <c r="AU2401">
        <v>32000</v>
      </c>
      <c r="AW2401">
        <v>45369</v>
      </c>
      <c r="AX2401" t="s">
        <v>1023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207732.42990654206</v>
      </c>
      <c r="BI2401">
        <v>207732.42990654206</v>
      </c>
      <c r="BJ2401">
        <v>14541.270093457946</v>
      </c>
      <c r="BK2401">
        <v>222273.7</v>
      </c>
      <c r="BL2401" t="s">
        <v>242</v>
      </c>
      <c r="BM2401">
        <v>0</v>
      </c>
      <c r="BN2401">
        <v>0</v>
      </c>
      <c r="BO2401">
        <v>0</v>
      </c>
      <c r="BP2401">
        <v>34240</v>
      </c>
      <c r="BQ2401">
        <v>2240</v>
      </c>
      <c r="BR2401" t="s">
        <v>72</v>
      </c>
    </row>
    <row r="2402" spans="1:70" x14ac:dyDescent="0.3">
      <c r="A2402" t="s">
        <v>798</v>
      </c>
      <c r="B2402">
        <v>12200041</v>
      </c>
      <c r="C2402">
        <v>23113175</v>
      </c>
      <c r="D2402" t="s">
        <v>78</v>
      </c>
      <c r="E2402" t="s">
        <v>435</v>
      </c>
      <c r="F2402" t="s">
        <v>427</v>
      </c>
      <c r="G2402" t="s">
        <v>82</v>
      </c>
      <c r="H2402" t="s">
        <v>82</v>
      </c>
      <c r="J2402" t="s">
        <v>52</v>
      </c>
      <c r="K2402" s="15">
        <v>5000</v>
      </c>
      <c r="M2402">
        <v>45370</v>
      </c>
      <c r="N2402" t="s">
        <v>1013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132565.03142572055</v>
      </c>
      <c r="W2402">
        <v>0</v>
      </c>
      <c r="X2402">
        <v>0</v>
      </c>
      <c r="Y2402">
        <v>132565.03142572055</v>
      </c>
      <c r="Z2402">
        <v>0</v>
      </c>
      <c r="AA2402">
        <v>132565.03142572055</v>
      </c>
      <c r="AB2402" t="s">
        <v>242</v>
      </c>
      <c r="AC2402">
        <v>22</v>
      </c>
      <c r="AD2402">
        <v>90000</v>
      </c>
      <c r="AE2402">
        <v>0</v>
      </c>
      <c r="AF2402">
        <v>0</v>
      </c>
      <c r="AG2402">
        <v>0</v>
      </c>
      <c r="AH2402" t="s">
        <v>58</v>
      </c>
      <c r="AK2402" t="s">
        <v>798</v>
      </c>
      <c r="AL2402">
        <v>4142300005</v>
      </c>
      <c r="AM2402">
        <v>121675</v>
      </c>
      <c r="AN2402" t="s">
        <v>983</v>
      </c>
      <c r="AO2402" t="s">
        <v>444</v>
      </c>
      <c r="AP2402" t="s">
        <v>430</v>
      </c>
      <c r="AQ2402" t="s">
        <v>422</v>
      </c>
      <c r="AR2402" t="s">
        <v>231</v>
      </c>
      <c r="AT2402" t="s">
        <v>52</v>
      </c>
      <c r="AU2402">
        <v>3000</v>
      </c>
      <c r="AW2402">
        <v>45370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 t="s">
        <v>242</v>
      </c>
      <c r="BM2402">
        <v>2</v>
      </c>
      <c r="BN2402">
        <v>140000</v>
      </c>
      <c r="BO2402">
        <v>0</v>
      </c>
      <c r="BP2402">
        <v>0</v>
      </c>
      <c r="BQ2402">
        <v>8808.7374240343488</v>
      </c>
      <c r="BR2402" t="s">
        <v>58</v>
      </c>
    </row>
    <row r="2403" spans="1:70" x14ac:dyDescent="0.3">
      <c r="A2403" t="s">
        <v>798</v>
      </c>
      <c r="B2403">
        <v>42200737</v>
      </c>
      <c r="C2403">
        <v>2754011893</v>
      </c>
      <c r="D2403" t="s">
        <v>952</v>
      </c>
      <c r="E2403" t="s">
        <v>439</v>
      </c>
      <c r="F2403" t="s">
        <v>430</v>
      </c>
      <c r="G2403" t="s">
        <v>233</v>
      </c>
      <c r="H2403" t="s">
        <v>234</v>
      </c>
      <c r="J2403" t="s">
        <v>52</v>
      </c>
      <c r="K2403" s="15">
        <v>1000</v>
      </c>
      <c r="M2403">
        <v>45370</v>
      </c>
      <c r="N2403" t="s">
        <v>1013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569169.06542056031</v>
      </c>
      <c r="Y2403">
        <v>569169.06542056031</v>
      </c>
      <c r="Z2403">
        <v>39841.834579439223</v>
      </c>
      <c r="AA2403">
        <v>609010.89999999956</v>
      </c>
      <c r="AB2403" t="s">
        <v>242</v>
      </c>
      <c r="AC2403">
        <v>10</v>
      </c>
      <c r="AD2403">
        <v>10000</v>
      </c>
      <c r="AE2403">
        <v>0</v>
      </c>
      <c r="AF2403">
        <v>0</v>
      </c>
      <c r="AG2403">
        <v>654.20560747663558</v>
      </c>
      <c r="AH2403" t="s">
        <v>58</v>
      </c>
      <c r="AK2403" t="s">
        <v>798</v>
      </c>
      <c r="AL2403">
        <v>12200041</v>
      </c>
      <c r="AM2403">
        <v>23113175</v>
      </c>
      <c r="AN2403" t="s">
        <v>78</v>
      </c>
      <c r="AO2403" t="s">
        <v>435</v>
      </c>
      <c r="AP2403" t="s">
        <v>427</v>
      </c>
      <c r="AQ2403" t="s">
        <v>82</v>
      </c>
      <c r="AR2403" t="s">
        <v>82</v>
      </c>
      <c r="AT2403" t="s">
        <v>52</v>
      </c>
      <c r="AU2403">
        <v>5000</v>
      </c>
      <c r="AW2403">
        <v>45370</v>
      </c>
      <c r="AX2403" t="s">
        <v>1013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132565.03142572055</v>
      </c>
      <c r="BG2403">
        <v>0</v>
      </c>
      <c r="BH2403">
        <v>0</v>
      </c>
      <c r="BI2403">
        <v>132565.03142572055</v>
      </c>
      <c r="BJ2403">
        <v>0</v>
      </c>
      <c r="BK2403">
        <v>132565.03142572055</v>
      </c>
      <c r="BL2403" t="s">
        <v>242</v>
      </c>
      <c r="BM2403">
        <v>22</v>
      </c>
      <c r="BN2403">
        <v>90000</v>
      </c>
      <c r="BO2403">
        <v>0</v>
      </c>
      <c r="BP2403">
        <v>0</v>
      </c>
      <c r="BQ2403">
        <v>0</v>
      </c>
      <c r="BR2403" t="s">
        <v>58</v>
      </c>
    </row>
    <row r="2404" spans="1:70" x14ac:dyDescent="0.3">
      <c r="A2404" t="s">
        <v>798</v>
      </c>
      <c r="B2404">
        <v>42200889</v>
      </c>
      <c r="C2404">
        <v>2754011907</v>
      </c>
      <c r="D2404" t="s">
        <v>952</v>
      </c>
      <c r="E2404" t="s">
        <v>439</v>
      </c>
      <c r="F2404" t="s">
        <v>430</v>
      </c>
      <c r="G2404" t="s">
        <v>233</v>
      </c>
      <c r="H2404" t="s">
        <v>234</v>
      </c>
      <c r="J2404" t="s">
        <v>52</v>
      </c>
      <c r="K2404" s="15">
        <v>1000</v>
      </c>
      <c r="M2404">
        <v>45370</v>
      </c>
      <c r="N2404" t="s">
        <v>1013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379197.19626168237</v>
      </c>
      <c r="Y2404">
        <v>379197.19626168237</v>
      </c>
      <c r="Z2404">
        <v>26543.803738317769</v>
      </c>
      <c r="AA2404">
        <v>405741.00000000012</v>
      </c>
      <c r="AB2404" t="s">
        <v>242</v>
      </c>
      <c r="AC2404">
        <v>8</v>
      </c>
      <c r="AD2404">
        <v>8000</v>
      </c>
      <c r="AE2404">
        <v>0</v>
      </c>
      <c r="AF2404">
        <v>0</v>
      </c>
      <c r="AG2404">
        <v>523.36448598130846</v>
      </c>
      <c r="AH2404" t="s">
        <v>58</v>
      </c>
      <c r="AK2404" t="s">
        <v>798</v>
      </c>
      <c r="AL2404">
        <v>42200737</v>
      </c>
      <c r="AM2404">
        <v>2754011893</v>
      </c>
      <c r="AN2404" t="s">
        <v>952</v>
      </c>
      <c r="AO2404" t="s">
        <v>439</v>
      </c>
      <c r="AP2404" t="s">
        <v>430</v>
      </c>
      <c r="AQ2404" t="s">
        <v>233</v>
      </c>
      <c r="AR2404" t="s">
        <v>234</v>
      </c>
      <c r="AT2404" t="s">
        <v>52</v>
      </c>
      <c r="AU2404">
        <v>1000</v>
      </c>
      <c r="AW2404">
        <v>45370</v>
      </c>
      <c r="AX2404" t="s">
        <v>1013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569169.06542056031</v>
      </c>
      <c r="BI2404">
        <v>569169.06542056031</v>
      </c>
      <c r="BJ2404">
        <v>39841.834579439223</v>
      </c>
      <c r="BK2404">
        <v>609010.89999999956</v>
      </c>
      <c r="BL2404" t="s">
        <v>242</v>
      </c>
      <c r="BM2404">
        <v>10</v>
      </c>
      <c r="BN2404">
        <v>10000</v>
      </c>
      <c r="BO2404">
        <v>0</v>
      </c>
      <c r="BP2404">
        <v>0</v>
      </c>
      <c r="BQ2404">
        <v>654.20560747663558</v>
      </c>
      <c r="BR2404" t="s">
        <v>58</v>
      </c>
    </row>
    <row r="2405" spans="1:70" x14ac:dyDescent="0.3">
      <c r="A2405" t="s">
        <v>798</v>
      </c>
      <c r="B2405">
        <v>52200970</v>
      </c>
      <c r="C2405">
        <v>26133770</v>
      </c>
      <c r="D2405" t="s">
        <v>145</v>
      </c>
      <c r="E2405" t="s">
        <v>438</v>
      </c>
      <c r="F2405" t="s">
        <v>431</v>
      </c>
      <c r="G2405" t="s">
        <v>82</v>
      </c>
      <c r="H2405" t="s">
        <v>83</v>
      </c>
      <c r="J2405" t="s">
        <v>52</v>
      </c>
      <c r="K2405" s="15">
        <v>2000</v>
      </c>
      <c r="M2405">
        <v>45370</v>
      </c>
      <c r="N2405" t="s">
        <v>1013</v>
      </c>
      <c r="O2405">
        <v>0</v>
      </c>
      <c r="P2405">
        <v>0</v>
      </c>
      <c r="Q2405">
        <v>0</v>
      </c>
      <c r="R2405">
        <v>664.78040776088756</v>
      </c>
      <c r="S2405">
        <v>7016.349344138659</v>
      </c>
      <c r="T2405">
        <v>0</v>
      </c>
      <c r="U2405">
        <v>0</v>
      </c>
      <c r="V2405">
        <v>38829.650696647303</v>
      </c>
      <c r="W2405">
        <v>0</v>
      </c>
      <c r="X2405">
        <v>0</v>
      </c>
      <c r="Y2405">
        <v>46510.780448546851</v>
      </c>
      <c r="Z2405">
        <v>3209.2200028550178</v>
      </c>
      <c r="AA2405">
        <v>49720.000451401866</v>
      </c>
      <c r="AB2405" t="s">
        <v>242</v>
      </c>
      <c r="AC2405">
        <v>4</v>
      </c>
      <c r="AD2405">
        <v>8835</v>
      </c>
      <c r="AE2405">
        <v>0</v>
      </c>
      <c r="AF2405">
        <v>0</v>
      </c>
      <c r="AG2405">
        <v>569.66787714323573</v>
      </c>
      <c r="AH2405" t="s">
        <v>58</v>
      </c>
      <c r="AK2405" t="s">
        <v>798</v>
      </c>
      <c r="AL2405">
        <v>42200889</v>
      </c>
      <c r="AM2405">
        <v>2754011907</v>
      </c>
      <c r="AN2405" t="s">
        <v>952</v>
      </c>
      <c r="AO2405" t="s">
        <v>439</v>
      </c>
      <c r="AP2405" t="s">
        <v>430</v>
      </c>
      <c r="AQ2405" t="s">
        <v>233</v>
      </c>
      <c r="AR2405" t="s">
        <v>234</v>
      </c>
      <c r="AT2405" t="s">
        <v>52</v>
      </c>
      <c r="AU2405">
        <v>1000</v>
      </c>
      <c r="AW2405">
        <v>45370</v>
      </c>
      <c r="AX2405" t="s">
        <v>1013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379197.19626168237</v>
      </c>
      <c r="BI2405">
        <v>379197.19626168237</v>
      </c>
      <c r="BJ2405">
        <v>26543.803738317769</v>
      </c>
      <c r="BK2405">
        <v>405741.00000000012</v>
      </c>
      <c r="BL2405" t="s">
        <v>242</v>
      </c>
      <c r="BM2405">
        <v>8</v>
      </c>
      <c r="BN2405">
        <v>8000</v>
      </c>
      <c r="BO2405">
        <v>0</v>
      </c>
      <c r="BP2405">
        <v>0</v>
      </c>
      <c r="BQ2405">
        <v>523.36448598130846</v>
      </c>
      <c r="BR2405" t="s">
        <v>58</v>
      </c>
    </row>
    <row r="2406" spans="1:70" x14ac:dyDescent="0.3">
      <c r="A2406" t="s">
        <v>798</v>
      </c>
      <c r="B2406">
        <v>4142300005</v>
      </c>
      <c r="C2406">
        <v>121675</v>
      </c>
      <c r="D2406" t="s">
        <v>983</v>
      </c>
      <c r="E2406" t="s">
        <v>444</v>
      </c>
      <c r="F2406" t="s">
        <v>430</v>
      </c>
      <c r="G2406" t="s">
        <v>237</v>
      </c>
      <c r="H2406" t="s">
        <v>231</v>
      </c>
      <c r="J2406" t="s">
        <v>52</v>
      </c>
      <c r="K2406" s="15">
        <v>3000</v>
      </c>
      <c r="M2406">
        <v>45370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 t="s">
        <v>242</v>
      </c>
      <c r="AC2406">
        <v>2</v>
      </c>
      <c r="AD2406">
        <v>140000</v>
      </c>
      <c r="AE2406">
        <v>0</v>
      </c>
      <c r="AF2406">
        <v>0</v>
      </c>
      <c r="AG2406">
        <v>8808.7374240343488</v>
      </c>
      <c r="AH2406" t="s">
        <v>58</v>
      </c>
      <c r="AK2406" t="s">
        <v>798</v>
      </c>
      <c r="AL2406">
        <v>4142301190</v>
      </c>
      <c r="AM2406">
        <v>10076213</v>
      </c>
      <c r="AN2406" t="s">
        <v>748</v>
      </c>
      <c r="AO2406" t="s">
        <v>446</v>
      </c>
      <c r="AP2406" t="s">
        <v>430</v>
      </c>
      <c r="AQ2406" t="s">
        <v>230</v>
      </c>
      <c r="AR2406" t="s">
        <v>234</v>
      </c>
      <c r="AT2406" t="s">
        <v>52</v>
      </c>
      <c r="AU2406">
        <v>5000</v>
      </c>
      <c r="AW2406">
        <v>45370</v>
      </c>
      <c r="AX2406" t="s">
        <v>1013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99633.957663551409</v>
      </c>
      <c r="BI2406">
        <v>99633.957663551409</v>
      </c>
      <c r="BJ2406">
        <v>6974.377036448599</v>
      </c>
      <c r="BK2406">
        <v>106608.33470000001</v>
      </c>
      <c r="BL2406" t="s">
        <v>242</v>
      </c>
      <c r="BM2406">
        <v>3</v>
      </c>
      <c r="BN2406">
        <v>21000</v>
      </c>
      <c r="BO2406">
        <v>0</v>
      </c>
      <c r="BP2406">
        <v>0</v>
      </c>
      <c r="BQ2406">
        <v>1373.8317757009336</v>
      </c>
      <c r="BR2406" t="s">
        <v>58</v>
      </c>
    </row>
    <row r="2407" spans="1:70" x14ac:dyDescent="0.3">
      <c r="A2407" t="s">
        <v>798</v>
      </c>
      <c r="B2407">
        <v>4142301190</v>
      </c>
      <c r="C2407">
        <v>10076213</v>
      </c>
      <c r="D2407" t="s">
        <v>748</v>
      </c>
      <c r="E2407" t="s">
        <v>446</v>
      </c>
      <c r="F2407" t="s">
        <v>430</v>
      </c>
      <c r="G2407" t="s">
        <v>230</v>
      </c>
      <c r="H2407" t="s">
        <v>234</v>
      </c>
      <c r="J2407" t="s">
        <v>52</v>
      </c>
      <c r="K2407" s="15">
        <v>5000</v>
      </c>
      <c r="M2407">
        <v>45370</v>
      </c>
      <c r="N2407" t="s">
        <v>1013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99633.957663551409</v>
      </c>
      <c r="Y2407">
        <v>99633.957663551409</v>
      </c>
      <c r="Z2407">
        <v>6974.377036448599</v>
      </c>
      <c r="AA2407">
        <v>106608.33470000001</v>
      </c>
      <c r="AB2407" t="s">
        <v>242</v>
      </c>
      <c r="AC2407">
        <v>3</v>
      </c>
      <c r="AD2407">
        <v>21000</v>
      </c>
      <c r="AE2407">
        <v>0</v>
      </c>
      <c r="AF2407">
        <v>0</v>
      </c>
      <c r="AG2407">
        <v>1373.8317757009336</v>
      </c>
      <c r="AH2407" t="s">
        <v>58</v>
      </c>
      <c r="AK2407" t="s">
        <v>798</v>
      </c>
      <c r="AL2407">
        <v>52200970</v>
      </c>
      <c r="AM2407">
        <v>26133770</v>
      </c>
      <c r="AN2407" t="s">
        <v>145</v>
      </c>
      <c r="AO2407" t="s">
        <v>438</v>
      </c>
      <c r="AP2407" t="s">
        <v>431</v>
      </c>
      <c r="AQ2407" t="s">
        <v>82</v>
      </c>
      <c r="AR2407" t="s">
        <v>83</v>
      </c>
      <c r="AT2407" t="s">
        <v>52</v>
      </c>
      <c r="AU2407">
        <v>2000</v>
      </c>
      <c r="AW2407">
        <v>45370</v>
      </c>
      <c r="AX2407" t="s">
        <v>1013</v>
      </c>
      <c r="AY2407">
        <v>0</v>
      </c>
      <c r="AZ2407">
        <v>0</v>
      </c>
      <c r="BA2407">
        <v>0</v>
      </c>
      <c r="BB2407">
        <v>664.78040776088756</v>
      </c>
      <c r="BC2407">
        <v>7016.349344138659</v>
      </c>
      <c r="BD2407">
        <v>0</v>
      </c>
      <c r="BE2407">
        <v>0</v>
      </c>
      <c r="BF2407">
        <v>38829.650696647303</v>
      </c>
      <c r="BG2407">
        <v>0</v>
      </c>
      <c r="BH2407">
        <v>0</v>
      </c>
      <c r="BI2407">
        <v>46510.780448546851</v>
      </c>
      <c r="BJ2407">
        <v>3209.2200028550178</v>
      </c>
      <c r="BK2407">
        <v>49720.000451401866</v>
      </c>
      <c r="BL2407" t="s">
        <v>242</v>
      </c>
      <c r="BM2407">
        <v>4</v>
      </c>
      <c r="BN2407">
        <v>8835</v>
      </c>
      <c r="BO2407">
        <v>0</v>
      </c>
      <c r="BP2407">
        <v>0</v>
      </c>
      <c r="BQ2407">
        <v>569.66787714323573</v>
      </c>
      <c r="BR2407" t="s">
        <v>58</v>
      </c>
    </row>
    <row r="2408" spans="1:70" x14ac:dyDescent="0.3">
      <c r="A2408" t="s">
        <v>798</v>
      </c>
      <c r="B2408">
        <v>42200314</v>
      </c>
      <c r="C2408">
        <v>2758018019</v>
      </c>
      <c r="D2408" t="s">
        <v>990</v>
      </c>
      <c r="E2408" t="s">
        <v>439</v>
      </c>
      <c r="F2408" t="s">
        <v>430</v>
      </c>
      <c r="G2408" t="s">
        <v>232</v>
      </c>
      <c r="H2408" t="s">
        <v>71</v>
      </c>
      <c r="J2408" t="s">
        <v>52</v>
      </c>
      <c r="K2408" s="15">
        <v>200</v>
      </c>
      <c r="M2408">
        <v>45371</v>
      </c>
      <c r="N2408" t="s">
        <v>1013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78790.654205607483</v>
      </c>
      <c r="Y2408">
        <v>78790.654205607483</v>
      </c>
      <c r="Z2408">
        <v>5515.3457943925241</v>
      </c>
      <c r="AA2408">
        <v>84306</v>
      </c>
      <c r="AB2408" t="s">
        <v>242</v>
      </c>
      <c r="AC2408">
        <v>2</v>
      </c>
      <c r="AD2408">
        <v>400</v>
      </c>
      <c r="AE2408">
        <v>0</v>
      </c>
      <c r="AF2408">
        <v>0</v>
      </c>
      <c r="AG2408">
        <v>26.1682242990654</v>
      </c>
      <c r="AH2408" t="s">
        <v>58</v>
      </c>
      <c r="AK2408" t="s">
        <v>798</v>
      </c>
      <c r="AL2408">
        <v>4132300945</v>
      </c>
      <c r="AM2408">
        <v>1020271465</v>
      </c>
      <c r="AN2408" t="s">
        <v>698</v>
      </c>
      <c r="AO2408" t="s">
        <v>441</v>
      </c>
      <c r="AP2408" t="s">
        <v>430</v>
      </c>
      <c r="AQ2408" t="s">
        <v>422</v>
      </c>
      <c r="AR2408" t="s">
        <v>231</v>
      </c>
      <c r="AT2408" t="s">
        <v>52</v>
      </c>
      <c r="AU2408">
        <v>63000</v>
      </c>
      <c r="AW2408">
        <v>45371</v>
      </c>
      <c r="AX2408" t="s">
        <v>1048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 t="s">
        <v>242</v>
      </c>
      <c r="BM2408">
        <v>2</v>
      </c>
      <c r="BN2408">
        <v>98000</v>
      </c>
      <c r="BO2408">
        <v>0</v>
      </c>
      <c r="BP2408">
        <v>0</v>
      </c>
      <c r="BQ2408">
        <v>5304.5356263474641</v>
      </c>
      <c r="BR2408" t="s">
        <v>58</v>
      </c>
    </row>
    <row r="2409" spans="1:70" x14ac:dyDescent="0.3">
      <c r="A2409" t="s">
        <v>798</v>
      </c>
      <c r="B2409">
        <v>4132300945</v>
      </c>
      <c r="C2409">
        <v>1020271465</v>
      </c>
      <c r="D2409" t="s">
        <v>698</v>
      </c>
      <c r="E2409" t="s">
        <v>441</v>
      </c>
      <c r="F2409" t="s">
        <v>430</v>
      </c>
      <c r="G2409" t="s">
        <v>237</v>
      </c>
      <c r="H2409" t="s">
        <v>231</v>
      </c>
      <c r="J2409" t="s">
        <v>52</v>
      </c>
      <c r="K2409" s="15">
        <v>63000</v>
      </c>
      <c r="M2409">
        <v>45371</v>
      </c>
      <c r="N2409" t="s">
        <v>1048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 t="s">
        <v>242</v>
      </c>
      <c r="AC2409">
        <v>2</v>
      </c>
      <c r="AD2409">
        <v>98000</v>
      </c>
      <c r="AE2409">
        <v>0</v>
      </c>
      <c r="AF2409">
        <v>0</v>
      </c>
      <c r="AG2409">
        <v>5304.5356263474641</v>
      </c>
      <c r="AH2409" t="s">
        <v>58</v>
      </c>
      <c r="AK2409" t="s">
        <v>798</v>
      </c>
      <c r="AL2409">
        <v>4132302003</v>
      </c>
      <c r="AM2409" t="s">
        <v>767</v>
      </c>
      <c r="AN2409" t="s">
        <v>997</v>
      </c>
      <c r="AO2409" t="s">
        <v>442</v>
      </c>
      <c r="AP2409" t="s">
        <v>430</v>
      </c>
      <c r="AQ2409" t="s">
        <v>421</v>
      </c>
      <c r="AR2409" t="s">
        <v>231</v>
      </c>
      <c r="AT2409" t="s">
        <v>52</v>
      </c>
      <c r="AU2409">
        <v>450000</v>
      </c>
      <c r="AW2409">
        <v>45371</v>
      </c>
      <c r="AX2409" t="s">
        <v>1018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 t="s">
        <v>242</v>
      </c>
      <c r="BM2409">
        <v>1</v>
      </c>
      <c r="BN2409">
        <v>450000</v>
      </c>
      <c r="BO2409">
        <v>0</v>
      </c>
      <c r="BP2409">
        <v>0</v>
      </c>
      <c r="BQ2409">
        <v>29439.252336448582</v>
      </c>
      <c r="BR2409" t="s">
        <v>58</v>
      </c>
    </row>
    <row r="2410" spans="1:70" x14ac:dyDescent="0.3">
      <c r="A2410" t="s">
        <v>798</v>
      </c>
      <c r="B2410">
        <v>4132301816</v>
      </c>
      <c r="C2410" t="s">
        <v>768</v>
      </c>
      <c r="D2410" t="s">
        <v>1000</v>
      </c>
      <c r="E2410" t="s">
        <v>442</v>
      </c>
      <c r="F2410" t="s">
        <v>430</v>
      </c>
      <c r="G2410" t="s">
        <v>230</v>
      </c>
      <c r="H2410" t="s">
        <v>231</v>
      </c>
      <c r="J2410" t="s">
        <v>52</v>
      </c>
      <c r="K2410" s="15">
        <v>4000</v>
      </c>
      <c r="M2410">
        <v>45371</v>
      </c>
      <c r="N2410" t="s">
        <v>1013</v>
      </c>
      <c r="O2410">
        <v>0</v>
      </c>
      <c r="P2410">
        <v>12239.351160644948</v>
      </c>
      <c r="Q2410">
        <v>0</v>
      </c>
      <c r="R2410">
        <v>0</v>
      </c>
      <c r="S2410">
        <v>0</v>
      </c>
      <c r="T2410">
        <v>5729.5783545374325</v>
      </c>
      <c r="U2410">
        <v>11214.953271028038</v>
      </c>
      <c r="V2410">
        <v>0</v>
      </c>
      <c r="W2410">
        <v>345794.39252336451</v>
      </c>
      <c r="X2410">
        <v>0</v>
      </c>
      <c r="Y2410">
        <v>374978.27530957491</v>
      </c>
      <c r="Z2410">
        <v>25391.724690425104</v>
      </c>
      <c r="AA2410">
        <v>400370</v>
      </c>
      <c r="AB2410" t="s">
        <v>242</v>
      </c>
      <c r="AC2410">
        <v>1</v>
      </c>
      <c r="AD2410">
        <v>4000</v>
      </c>
      <c r="AE2410">
        <v>0</v>
      </c>
      <c r="AF2410">
        <v>0</v>
      </c>
      <c r="AG2410">
        <v>253.13512265901545</v>
      </c>
      <c r="AH2410" t="s">
        <v>72</v>
      </c>
      <c r="AK2410" t="s">
        <v>798</v>
      </c>
      <c r="AL2410">
        <v>4242300013</v>
      </c>
      <c r="AM2410">
        <v>125263</v>
      </c>
      <c r="AN2410" t="s">
        <v>999</v>
      </c>
      <c r="AO2410" t="s">
        <v>444</v>
      </c>
      <c r="AP2410" t="s">
        <v>431</v>
      </c>
      <c r="AQ2410" t="s">
        <v>233</v>
      </c>
      <c r="AR2410" t="s">
        <v>231</v>
      </c>
      <c r="AT2410" t="s">
        <v>52</v>
      </c>
      <c r="AU2410">
        <v>175000</v>
      </c>
      <c r="AW2410">
        <v>45371</v>
      </c>
      <c r="AX2410" t="s">
        <v>1018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 t="s">
        <v>242</v>
      </c>
      <c r="BM2410">
        <v>1</v>
      </c>
      <c r="BN2410">
        <v>175000</v>
      </c>
      <c r="BO2410">
        <v>0</v>
      </c>
      <c r="BP2410">
        <v>0</v>
      </c>
      <c r="BQ2410">
        <v>0</v>
      </c>
      <c r="BR2410" t="s">
        <v>58</v>
      </c>
    </row>
    <row r="2411" spans="1:70" x14ac:dyDescent="0.3">
      <c r="A2411" t="s">
        <v>798</v>
      </c>
      <c r="B2411">
        <v>4132302003</v>
      </c>
      <c r="C2411" t="s">
        <v>767</v>
      </c>
      <c r="D2411" t="s">
        <v>997</v>
      </c>
      <c r="E2411" t="s">
        <v>442</v>
      </c>
      <c r="F2411" t="s">
        <v>430</v>
      </c>
      <c r="G2411" t="s">
        <v>230</v>
      </c>
      <c r="H2411" t="s">
        <v>231</v>
      </c>
      <c r="J2411" t="s">
        <v>52</v>
      </c>
      <c r="K2411" s="15">
        <v>450000</v>
      </c>
      <c r="M2411">
        <v>45371</v>
      </c>
      <c r="N2411" t="s">
        <v>1018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 t="s">
        <v>242</v>
      </c>
      <c r="AC2411">
        <v>1</v>
      </c>
      <c r="AD2411">
        <v>450000</v>
      </c>
      <c r="AE2411">
        <v>0</v>
      </c>
      <c r="AF2411">
        <v>0</v>
      </c>
      <c r="AG2411">
        <v>29439.252336448582</v>
      </c>
      <c r="AH2411" t="s">
        <v>58</v>
      </c>
      <c r="AK2411" t="s">
        <v>798</v>
      </c>
      <c r="AL2411">
        <v>4132301816</v>
      </c>
      <c r="AM2411" t="s">
        <v>768</v>
      </c>
      <c r="AN2411" t="s">
        <v>1000</v>
      </c>
      <c r="AO2411" t="s">
        <v>442</v>
      </c>
      <c r="AP2411" t="s">
        <v>430</v>
      </c>
      <c r="AQ2411" t="s">
        <v>230</v>
      </c>
      <c r="AR2411" t="s">
        <v>231</v>
      </c>
      <c r="AT2411" t="s">
        <v>52</v>
      </c>
      <c r="AU2411">
        <v>4000</v>
      </c>
      <c r="AW2411">
        <v>45371</v>
      </c>
      <c r="AX2411" t="s">
        <v>1013</v>
      </c>
      <c r="AY2411">
        <v>0</v>
      </c>
      <c r="AZ2411">
        <v>12239.351160644948</v>
      </c>
      <c r="BA2411">
        <v>0</v>
      </c>
      <c r="BB2411">
        <v>0</v>
      </c>
      <c r="BC2411">
        <v>0</v>
      </c>
      <c r="BD2411">
        <v>5729.5783545374325</v>
      </c>
      <c r="BE2411">
        <v>11214.953271028038</v>
      </c>
      <c r="BF2411">
        <v>0</v>
      </c>
      <c r="BG2411">
        <v>345794.39252336451</v>
      </c>
      <c r="BH2411">
        <v>0</v>
      </c>
      <c r="BI2411">
        <v>374978.27530957491</v>
      </c>
      <c r="BJ2411">
        <v>25391.724690425104</v>
      </c>
      <c r="BK2411">
        <v>400370</v>
      </c>
      <c r="BL2411" t="s">
        <v>242</v>
      </c>
      <c r="BM2411">
        <v>1</v>
      </c>
      <c r="BN2411">
        <v>4000</v>
      </c>
      <c r="BO2411">
        <v>0</v>
      </c>
      <c r="BP2411">
        <v>0</v>
      </c>
      <c r="BQ2411">
        <v>253.13512265901545</v>
      </c>
      <c r="BR2411" t="s">
        <v>72</v>
      </c>
    </row>
    <row r="2412" spans="1:70" x14ac:dyDescent="0.3">
      <c r="A2412" t="s">
        <v>798</v>
      </c>
      <c r="B2412">
        <v>4142300416</v>
      </c>
      <c r="C2412">
        <v>10179898</v>
      </c>
      <c r="D2412" t="s">
        <v>198</v>
      </c>
      <c r="E2412" t="s">
        <v>445</v>
      </c>
      <c r="F2412" t="s">
        <v>430</v>
      </c>
      <c r="G2412" t="s">
        <v>230</v>
      </c>
      <c r="H2412" t="s">
        <v>234</v>
      </c>
      <c r="J2412" t="s">
        <v>52</v>
      </c>
      <c r="K2412" s="15">
        <v>4000</v>
      </c>
      <c r="M2412">
        <v>45371</v>
      </c>
      <c r="N2412" t="s">
        <v>1013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292670.08411214949</v>
      </c>
      <c r="Y2412">
        <v>292670.08411214949</v>
      </c>
      <c r="Z2412">
        <v>20486.905887850466</v>
      </c>
      <c r="AA2412">
        <v>313156.98999999993</v>
      </c>
      <c r="AB2412" t="s">
        <v>242</v>
      </c>
      <c r="AC2412">
        <v>16</v>
      </c>
      <c r="AD2412">
        <v>63600</v>
      </c>
      <c r="AE2412">
        <v>0</v>
      </c>
      <c r="AF2412">
        <v>0</v>
      </c>
      <c r="AG2412">
        <v>4160.7476635514013</v>
      </c>
      <c r="AH2412" t="s">
        <v>58</v>
      </c>
      <c r="AK2412" t="s">
        <v>798</v>
      </c>
      <c r="AL2412">
        <v>4142300416</v>
      </c>
      <c r="AM2412">
        <v>10179898</v>
      </c>
      <c r="AN2412" t="s">
        <v>198</v>
      </c>
      <c r="AO2412" t="s">
        <v>445</v>
      </c>
      <c r="AP2412" t="s">
        <v>430</v>
      </c>
      <c r="AQ2412" t="s">
        <v>230</v>
      </c>
      <c r="AR2412" t="s">
        <v>234</v>
      </c>
      <c r="AT2412" t="s">
        <v>52</v>
      </c>
      <c r="AU2412">
        <v>4000</v>
      </c>
      <c r="AW2412">
        <v>45371</v>
      </c>
      <c r="AX2412" t="s">
        <v>1013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292670.08411214949</v>
      </c>
      <c r="BI2412">
        <v>292670.08411214949</v>
      </c>
      <c r="BJ2412">
        <v>20486.905887850466</v>
      </c>
      <c r="BK2412">
        <v>313156.98999999993</v>
      </c>
      <c r="BL2412" t="s">
        <v>242</v>
      </c>
      <c r="BM2412">
        <v>16</v>
      </c>
      <c r="BN2412">
        <v>63600</v>
      </c>
      <c r="BO2412">
        <v>0</v>
      </c>
      <c r="BP2412">
        <v>0</v>
      </c>
      <c r="BQ2412">
        <v>4160.7476635514013</v>
      </c>
      <c r="BR2412" t="s">
        <v>58</v>
      </c>
    </row>
    <row r="2413" spans="1:70" x14ac:dyDescent="0.3">
      <c r="A2413" t="s">
        <v>798</v>
      </c>
      <c r="B2413">
        <v>4242300013</v>
      </c>
      <c r="C2413">
        <v>125263</v>
      </c>
      <c r="D2413" t="s">
        <v>999</v>
      </c>
      <c r="E2413" t="s">
        <v>444</v>
      </c>
      <c r="F2413" t="s">
        <v>431</v>
      </c>
      <c r="G2413" t="s">
        <v>233</v>
      </c>
      <c r="H2413" t="s">
        <v>231</v>
      </c>
      <c r="J2413" t="s">
        <v>52</v>
      </c>
      <c r="K2413" s="15">
        <v>175000</v>
      </c>
      <c r="M2413">
        <v>45371</v>
      </c>
      <c r="N2413" t="s">
        <v>1018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 t="s">
        <v>242</v>
      </c>
      <c r="AC2413">
        <v>1</v>
      </c>
      <c r="AD2413">
        <v>175000</v>
      </c>
      <c r="AE2413">
        <v>0</v>
      </c>
      <c r="AF2413">
        <v>0</v>
      </c>
      <c r="AG2413">
        <v>0</v>
      </c>
      <c r="AH2413" t="s">
        <v>58</v>
      </c>
      <c r="AK2413" t="s">
        <v>798</v>
      </c>
      <c r="AL2413">
        <v>42200314</v>
      </c>
      <c r="AM2413">
        <v>2758018019</v>
      </c>
      <c r="AN2413" t="s">
        <v>990</v>
      </c>
      <c r="AO2413" t="s">
        <v>439</v>
      </c>
      <c r="AP2413" t="s">
        <v>430</v>
      </c>
      <c r="AQ2413" t="s">
        <v>232</v>
      </c>
      <c r="AR2413" t="s">
        <v>71</v>
      </c>
      <c r="AT2413" t="s">
        <v>52</v>
      </c>
      <c r="AU2413">
        <v>200</v>
      </c>
      <c r="AW2413">
        <v>45371</v>
      </c>
      <c r="AX2413" t="s">
        <v>1013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78790.654205607483</v>
      </c>
      <c r="BI2413">
        <v>78790.654205607483</v>
      </c>
      <c r="BJ2413">
        <v>5515.3457943925241</v>
      </c>
      <c r="BK2413">
        <v>84306</v>
      </c>
      <c r="BL2413" t="s">
        <v>242</v>
      </c>
      <c r="BM2413">
        <v>2</v>
      </c>
      <c r="BN2413">
        <v>400</v>
      </c>
      <c r="BO2413">
        <v>0</v>
      </c>
      <c r="BP2413">
        <v>0</v>
      </c>
      <c r="BQ2413">
        <v>26.1682242990654</v>
      </c>
      <c r="BR2413" t="s">
        <v>58</v>
      </c>
    </row>
    <row r="2414" spans="1:70" x14ac:dyDescent="0.3">
      <c r="A2414" t="s">
        <v>798</v>
      </c>
      <c r="B2414">
        <v>4332300195</v>
      </c>
      <c r="C2414">
        <v>105751</v>
      </c>
      <c r="D2414" t="s">
        <v>774</v>
      </c>
      <c r="E2414" t="s">
        <v>443</v>
      </c>
      <c r="F2414" t="s">
        <v>433</v>
      </c>
      <c r="G2414" t="s">
        <v>237</v>
      </c>
      <c r="H2414" t="s">
        <v>231</v>
      </c>
      <c r="J2414" t="s">
        <v>450</v>
      </c>
      <c r="K2414" s="15">
        <v>650000</v>
      </c>
      <c r="M2414">
        <v>45371</v>
      </c>
      <c r="N2414" t="s">
        <v>1031</v>
      </c>
      <c r="O2414">
        <v>0</v>
      </c>
      <c r="P2414">
        <v>23006</v>
      </c>
      <c r="Q2414">
        <v>0</v>
      </c>
      <c r="R2414">
        <v>0</v>
      </c>
      <c r="S2414">
        <v>0</v>
      </c>
      <c r="T2414">
        <v>5607.4766355140191</v>
      </c>
      <c r="U2414">
        <v>3738.3177570093458</v>
      </c>
      <c r="V2414">
        <v>0</v>
      </c>
      <c r="W2414">
        <v>82242.990654205554</v>
      </c>
      <c r="X2414">
        <v>0</v>
      </c>
      <c r="Y2414">
        <v>114594.78504672892</v>
      </c>
      <c r="Z2414">
        <v>6411.2149532710255</v>
      </c>
      <c r="AA2414">
        <v>121005.99999999996</v>
      </c>
      <c r="AB2414" t="s">
        <v>331</v>
      </c>
      <c r="AC2414">
        <v>0</v>
      </c>
      <c r="AD2414">
        <v>0</v>
      </c>
      <c r="AE2414">
        <v>0</v>
      </c>
      <c r="AF2414">
        <v>722000</v>
      </c>
      <c r="AG2414">
        <v>47233.644859813066</v>
      </c>
      <c r="AH2414" t="s">
        <v>58</v>
      </c>
      <c r="AK2414" t="s">
        <v>798</v>
      </c>
      <c r="AL2414">
        <v>4332300195</v>
      </c>
      <c r="AM2414">
        <v>105751</v>
      </c>
      <c r="AN2414" t="s">
        <v>774</v>
      </c>
      <c r="AO2414" t="s">
        <v>443</v>
      </c>
      <c r="AP2414" t="s">
        <v>433</v>
      </c>
      <c r="AQ2414" t="s">
        <v>237</v>
      </c>
      <c r="AR2414" t="s">
        <v>231</v>
      </c>
      <c r="AT2414" t="s">
        <v>450</v>
      </c>
      <c r="AU2414">
        <v>650000</v>
      </c>
      <c r="AW2414">
        <v>45371</v>
      </c>
      <c r="AX2414" t="s">
        <v>1031</v>
      </c>
      <c r="AY2414">
        <v>0</v>
      </c>
      <c r="AZ2414">
        <v>23006</v>
      </c>
      <c r="BA2414">
        <v>0</v>
      </c>
      <c r="BB2414">
        <v>0</v>
      </c>
      <c r="BC2414">
        <v>0</v>
      </c>
      <c r="BD2414">
        <v>5607.4766355140191</v>
      </c>
      <c r="BE2414">
        <v>3738.3177570093458</v>
      </c>
      <c r="BF2414">
        <v>0</v>
      </c>
      <c r="BG2414">
        <v>82242.990654205554</v>
      </c>
      <c r="BH2414">
        <v>0</v>
      </c>
      <c r="BI2414">
        <v>114594.78504672892</v>
      </c>
      <c r="BJ2414">
        <v>6411.2149532710255</v>
      </c>
      <c r="BK2414">
        <v>121005.99999999996</v>
      </c>
      <c r="BL2414" t="s">
        <v>331</v>
      </c>
      <c r="BM2414">
        <v>0</v>
      </c>
      <c r="BN2414">
        <v>0</v>
      </c>
      <c r="BO2414">
        <v>0</v>
      </c>
      <c r="BP2414">
        <v>722000</v>
      </c>
      <c r="BQ2414">
        <v>47233.644859813066</v>
      </c>
      <c r="BR2414" t="s">
        <v>58</v>
      </c>
    </row>
    <row r="2415" spans="1:70" x14ac:dyDescent="0.3">
      <c r="A2415" t="s">
        <v>798</v>
      </c>
      <c r="B2415">
        <v>42201150</v>
      </c>
      <c r="C2415">
        <v>2758020463</v>
      </c>
      <c r="D2415" t="s">
        <v>933</v>
      </c>
      <c r="E2415" t="s">
        <v>439</v>
      </c>
      <c r="F2415" t="s">
        <v>430</v>
      </c>
      <c r="G2415" t="s">
        <v>230</v>
      </c>
      <c r="H2415" t="s">
        <v>234</v>
      </c>
      <c r="J2415" t="s">
        <v>52</v>
      </c>
      <c r="K2415" s="15">
        <v>5000</v>
      </c>
      <c r="M2415">
        <v>45372</v>
      </c>
      <c r="N2415" t="s">
        <v>1029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294244.27102803747</v>
      </c>
      <c r="Y2415">
        <v>294244.27102803747</v>
      </c>
      <c r="Z2415">
        <v>20597.098971962627</v>
      </c>
      <c r="AA2415">
        <v>314841.37000000011</v>
      </c>
      <c r="AB2415" t="s">
        <v>242</v>
      </c>
      <c r="AC2415">
        <v>12</v>
      </c>
      <c r="AD2415">
        <v>100000</v>
      </c>
      <c r="AE2415">
        <v>0</v>
      </c>
      <c r="AF2415">
        <v>0</v>
      </c>
      <c r="AG2415">
        <v>6542.0560747663512</v>
      </c>
      <c r="AH2415" t="s">
        <v>58</v>
      </c>
      <c r="AK2415" t="s">
        <v>798</v>
      </c>
      <c r="AL2415">
        <v>42201150</v>
      </c>
      <c r="AM2415">
        <v>2758020463</v>
      </c>
      <c r="AN2415" t="s">
        <v>933</v>
      </c>
      <c r="AO2415" t="s">
        <v>439</v>
      </c>
      <c r="AP2415" t="s">
        <v>430</v>
      </c>
      <c r="AQ2415" t="s">
        <v>230</v>
      </c>
      <c r="AR2415" t="s">
        <v>234</v>
      </c>
      <c r="AT2415" t="s">
        <v>52</v>
      </c>
      <c r="AU2415">
        <v>5000</v>
      </c>
      <c r="AW2415">
        <v>45372</v>
      </c>
      <c r="AX2415" t="s">
        <v>1029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294244.27102803747</v>
      </c>
      <c r="BI2415">
        <v>294244.27102803747</v>
      </c>
      <c r="BJ2415">
        <v>20597.098971962627</v>
      </c>
      <c r="BK2415">
        <v>314841.37000000011</v>
      </c>
      <c r="BL2415" t="s">
        <v>242</v>
      </c>
      <c r="BM2415">
        <v>12</v>
      </c>
      <c r="BN2415">
        <v>100000</v>
      </c>
      <c r="BO2415">
        <v>0</v>
      </c>
      <c r="BP2415">
        <v>0</v>
      </c>
      <c r="BQ2415">
        <v>6542.0560747663512</v>
      </c>
      <c r="BR2415" t="s">
        <v>58</v>
      </c>
    </row>
    <row r="2416" spans="1:70" x14ac:dyDescent="0.3">
      <c r="A2416" t="s">
        <v>798</v>
      </c>
      <c r="B2416">
        <v>4132300331</v>
      </c>
      <c r="C2416">
        <v>9040040746</v>
      </c>
      <c r="D2416" t="s">
        <v>174</v>
      </c>
      <c r="E2416" t="s">
        <v>441</v>
      </c>
      <c r="F2416" t="s">
        <v>430</v>
      </c>
      <c r="G2416" t="s">
        <v>230</v>
      </c>
      <c r="H2416" t="s">
        <v>231</v>
      </c>
      <c r="J2416" t="s">
        <v>52</v>
      </c>
      <c r="K2416" s="15">
        <v>1000</v>
      </c>
      <c r="M2416">
        <v>45372</v>
      </c>
      <c r="N2416" t="s">
        <v>1013</v>
      </c>
      <c r="O2416">
        <v>0</v>
      </c>
      <c r="P2416">
        <v>8879.8678673333288</v>
      </c>
      <c r="Q2416">
        <v>0</v>
      </c>
      <c r="R2416">
        <v>0</v>
      </c>
      <c r="S2416">
        <v>7733.8356164383558</v>
      </c>
      <c r="T2416">
        <v>35518.81507725858</v>
      </c>
      <c r="U2416">
        <v>0</v>
      </c>
      <c r="V2416">
        <v>0</v>
      </c>
      <c r="W2416">
        <v>168224.29906542055</v>
      </c>
      <c r="X2416">
        <v>0</v>
      </c>
      <c r="Y2416">
        <v>220356.81762645082</v>
      </c>
      <c r="Z2416">
        <v>14262.017989987542</v>
      </c>
      <c r="AA2416">
        <v>234618.83561643836</v>
      </c>
      <c r="AB2416" t="s">
        <v>242</v>
      </c>
      <c r="AC2416">
        <v>7</v>
      </c>
      <c r="AD2416">
        <v>10000</v>
      </c>
      <c r="AE2416">
        <v>0</v>
      </c>
      <c r="AF2416">
        <v>0</v>
      </c>
      <c r="AG2416">
        <v>604.80443991900268</v>
      </c>
      <c r="AH2416" t="s">
        <v>58</v>
      </c>
      <c r="AK2416" t="s">
        <v>798</v>
      </c>
      <c r="AL2416">
        <v>4132300331</v>
      </c>
      <c r="AM2416">
        <v>9040040746</v>
      </c>
      <c r="AN2416" t="s">
        <v>174</v>
      </c>
      <c r="AO2416" t="s">
        <v>441</v>
      </c>
      <c r="AP2416" t="s">
        <v>430</v>
      </c>
      <c r="AQ2416" t="s">
        <v>230</v>
      </c>
      <c r="AR2416" t="s">
        <v>231</v>
      </c>
      <c r="AT2416" t="s">
        <v>52</v>
      </c>
      <c r="AU2416">
        <v>1000</v>
      </c>
      <c r="AW2416">
        <v>45372</v>
      </c>
      <c r="AX2416" t="s">
        <v>1013</v>
      </c>
      <c r="AY2416">
        <v>0</v>
      </c>
      <c r="AZ2416">
        <v>8879.8678673333288</v>
      </c>
      <c r="BA2416">
        <v>0</v>
      </c>
      <c r="BB2416">
        <v>0</v>
      </c>
      <c r="BC2416">
        <v>7733.8356164383558</v>
      </c>
      <c r="BD2416">
        <v>35518.81507725858</v>
      </c>
      <c r="BE2416">
        <v>0</v>
      </c>
      <c r="BF2416">
        <v>0</v>
      </c>
      <c r="BG2416">
        <v>168224.29906542055</v>
      </c>
      <c r="BH2416">
        <v>0</v>
      </c>
      <c r="BI2416">
        <v>220356.81762645082</v>
      </c>
      <c r="BJ2416">
        <v>14262.017989987542</v>
      </c>
      <c r="BK2416">
        <v>234618.83561643836</v>
      </c>
      <c r="BL2416" t="s">
        <v>242</v>
      </c>
      <c r="BM2416">
        <v>7</v>
      </c>
      <c r="BN2416">
        <v>10000</v>
      </c>
      <c r="BO2416">
        <v>0</v>
      </c>
      <c r="BP2416">
        <v>0</v>
      </c>
      <c r="BQ2416">
        <v>604.80443991900268</v>
      </c>
      <c r="BR2416" t="s">
        <v>58</v>
      </c>
    </row>
    <row r="2417" spans="1:70" x14ac:dyDescent="0.3">
      <c r="A2417" t="s">
        <v>798</v>
      </c>
      <c r="B2417">
        <v>4132301864</v>
      </c>
      <c r="C2417" t="s">
        <v>766</v>
      </c>
      <c r="D2417" t="s">
        <v>987</v>
      </c>
      <c r="E2417" t="s">
        <v>442</v>
      </c>
      <c r="F2417" t="s">
        <v>430</v>
      </c>
      <c r="G2417" t="s">
        <v>235</v>
      </c>
      <c r="H2417" t="s">
        <v>765</v>
      </c>
      <c r="J2417" t="s">
        <v>52</v>
      </c>
      <c r="K2417" s="15">
        <v>3000</v>
      </c>
      <c r="M2417">
        <v>45372</v>
      </c>
      <c r="N2417" t="s">
        <v>1013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439299.06542056071</v>
      </c>
      <c r="Y2417">
        <v>439299.06542056071</v>
      </c>
      <c r="Z2417">
        <v>30750.934579439254</v>
      </c>
      <c r="AA2417">
        <v>470049.99999999994</v>
      </c>
      <c r="AB2417" t="s">
        <v>242</v>
      </c>
      <c r="AC2417">
        <v>2</v>
      </c>
      <c r="AD2417">
        <v>6000</v>
      </c>
      <c r="AE2417">
        <v>0</v>
      </c>
      <c r="AF2417">
        <v>0</v>
      </c>
      <c r="AG2417">
        <v>392.5233644859818</v>
      </c>
      <c r="AH2417" t="s">
        <v>58</v>
      </c>
      <c r="AK2417" t="s">
        <v>798</v>
      </c>
      <c r="AL2417">
        <v>4132301864</v>
      </c>
      <c r="AM2417" t="s">
        <v>766</v>
      </c>
      <c r="AN2417" t="s">
        <v>987</v>
      </c>
      <c r="AO2417" t="s">
        <v>442</v>
      </c>
      <c r="AP2417" t="s">
        <v>430</v>
      </c>
      <c r="AQ2417" t="s">
        <v>235</v>
      </c>
      <c r="AR2417" t="s">
        <v>765</v>
      </c>
      <c r="AT2417" t="s">
        <v>52</v>
      </c>
      <c r="AU2417">
        <v>3000</v>
      </c>
      <c r="AW2417">
        <v>45372</v>
      </c>
      <c r="AX2417" t="s">
        <v>1013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439299.06542056071</v>
      </c>
      <c r="BI2417">
        <v>439299.06542056071</v>
      </c>
      <c r="BJ2417">
        <v>30750.934579439254</v>
      </c>
      <c r="BK2417">
        <v>470049.99999999994</v>
      </c>
      <c r="BL2417" t="s">
        <v>242</v>
      </c>
      <c r="BM2417">
        <v>2</v>
      </c>
      <c r="BN2417">
        <v>6000</v>
      </c>
      <c r="BO2417">
        <v>0</v>
      </c>
      <c r="BP2417">
        <v>0</v>
      </c>
      <c r="BQ2417">
        <v>392.5233644859818</v>
      </c>
      <c r="BR2417" t="s">
        <v>58</v>
      </c>
    </row>
    <row r="2418" spans="1:70" x14ac:dyDescent="0.3">
      <c r="A2418" t="s">
        <v>798</v>
      </c>
      <c r="B2418">
        <v>4142300097</v>
      </c>
      <c r="C2418">
        <v>82365</v>
      </c>
      <c r="D2418" t="s">
        <v>953</v>
      </c>
      <c r="E2418" t="s">
        <v>444</v>
      </c>
      <c r="F2418" t="s">
        <v>430</v>
      </c>
      <c r="G2418" t="s">
        <v>230</v>
      </c>
      <c r="H2418" t="s">
        <v>231</v>
      </c>
      <c r="J2418" t="s">
        <v>52</v>
      </c>
      <c r="K2418" s="15">
        <v>6000</v>
      </c>
      <c r="M2418">
        <v>45372</v>
      </c>
      <c r="N2418" t="s">
        <v>1013</v>
      </c>
      <c r="O2418">
        <v>0</v>
      </c>
      <c r="P2418">
        <v>2490.4140466235608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52421.416778856496</v>
      </c>
      <c r="X2418">
        <v>0</v>
      </c>
      <c r="Y2418">
        <v>54911.830825480058</v>
      </c>
      <c r="Z2418">
        <v>3669.499174519955</v>
      </c>
      <c r="AA2418">
        <v>58581.330000000016</v>
      </c>
      <c r="AB2418" t="s">
        <v>242</v>
      </c>
      <c r="AC2418">
        <v>7</v>
      </c>
      <c r="AD2418">
        <v>42000</v>
      </c>
      <c r="AE2418">
        <v>0</v>
      </c>
      <c r="AF2418">
        <v>0</v>
      </c>
      <c r="AG2418">
        <v>2620.1205451062151</v>
      </c>
      <c r="AH2418" t="s">
        <v>58</v>
      </c>
      <c r="AK2418" t="s">
        <v>798</v>
      </c>
      <c r="AL2418">
        <v>4142300724</v>
      </c>
      <c r="AM2418">
        <v>10329637</v>
      </c>
      <c r="AN2418" t="s">
        <v>206</v>
      </c>
      <c r="AO2418" t="s">
        <v>445</v>
      </c>
      <c r="AP2418" t="s">
        <v>430</v>
      </c>
      <c r="AQ2418" t="s">
        <v>230</v>
      </c>
      <c r="AR2418" t="s">
        <v>234</v>
      </c>
      <c r="AT2418" t="s">
        <v>52</v>
      </c>
      <c r="AU2418">
        <v>1000</v>
      </c>
      <c r="AW2418">
        <v>45372</v>
      </c>
      <c r="AX2418" t="s">
        <v>1013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409926.76993982849</v>
      </c>
      <c r="BI2418">
        <v>409926.76993982849</v>
      </c>
      <c r="BJ2418">
        <v>28694.873895787998</v>
      </c>
      <c r="BK2418">
        <v>438621.64383561647</v>
      </c>
      <c r="BL2418" t="s">
        <v>242</v>
      </c>
      <c r="BM2418">
        <v>4</v>
      </c>
      <c r="BN2418">
        <v>6000</v>
      </c>
      <c r="BO2418">
        <v>0</v>
      </c>
      <c r="BP2418">
        <v>0</v>
      </c>
      <c r="BQ2418">
        <v>392.52336448598135</v>
      </c>
      <c r="BR2418" t="s">
        <v>58</v>
      </c>
    </row>
    <row r="2419" spans="1:70" x14ac:dyDescent="0.3">
      <c r="A2419" t="s">
        <v>798</v>
      </c>
      <c r="B2419">
        <v>4142300724</v>
      </c>
      <c r="C2419">
        <v>10329637</v>
      </c>
      <c r="D2419" t="s">
        <v>206</v>
      </c>
      <c r="E2419" t="s">
        <v>445</v>
      </c>
      <c r="F2419" t="s">
        <v>430</v>
      </c>
      <c r="G2419" t="s">
        <v>230</v>
      </c>
      <c r="H2419" t="s">
        <v>234</v>
      </c>
      <c r="J2419" t="s">
        <v>52</v>
      </c>
      <c r="K2419" s="15">
        <v>1000</v>
      </c>
      <c r="M2419">
        <v>45372</v>
      </c>
      <c r="N2419" t="s">
        <v>1013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409926.76993982849</v>
      </c>
      <c r="Y2419">
        <v>409926.76993982849</v>
      </c>
      <c r="Z2419">
        <v>28694.873895787998</v>
      </c>
      <c r="AA2419">
        <v>438621.64383561647</v>
      </c>
      <c r="AB2419" t="s">
        <v>242</v>
      </c>
      <c r="AC2419">
        <v>4</v>
      </c>
      <c r="AD2419">
        <v>6000</v>
      </c>
      <c r="AE2419">
        <v>0</v>
      </c>
      <c r="AF2419">
        <v>0</v>
      </c>
      <c r="AG2419">
        <v>392.52336448598135</v>
      </c>
      <c r="AH2419" t="s">
        <v>58</v>
      </c>
      <c r="AK2419" t="s">
        <v>798</v>
      </c>
      <c r="AL2419">
        <v>4142301135</v>
      </c>
      <c r="AM2419">
        <v>10066787</v>
      </c>
      <c r="AN2419" t="s">
        <v>775</v>
      </c>
      <c r="AO2419" t="s">
        <v>445</v>
      </c>
      <c r="AP2419" t="s">
        <v>430</v>
      </c>
      <c r="AQ2419" t="s">
        <v>230</v>
      </c>
      <c r="AR2419" t="s">
        <v>234</v>
      </c>
      <c r="AT2419" t="s">
        <v>52</v>
      </c>
      <c r="AU2419">
        <v>50000</v>
      </c>
      <c r="AW2419">
        <v>45372</v>
      </c>
      <c r="AX2419" t="s">
        <v>1049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346785.89252336445</v>
      </c>
      <c r="BI2419">
        <v>346785.89252336445</v>
      </c>
      <c r="BJ2419">
        <v>24275.012476635515</v>
      </c>
      <c r="BK2419">
        <v>371060.90499999997</v>
      </c>
      <c r="BL2419" t="s">
        <v>242</v>
      </c>
      <c r="BM2419">
        <v>1</v>
      </c>
      <c r="BN2419">
        <v>50000</v>
      </c>
      <c r="BO2419">
        <v>0</v>
      </c>
      <c r="BP2419">
        <v>0</v>
      </c>
      <c r="BQ2419">
        <v>3271.0280373831774</v>
      </c>
      <c r="BR2419" t="s">
        <v>58</v>
      </c>
    </row>
    <row r="2420" spans="1:70" x14ac:dyDescent="0.3">
      <c r="A2420" t="s">
        <v>798</v>
      </c>
      <c r="B2420">
        <v>4142301135</v>
      </c>
      <c r="C2420">
        <v>10066787</v>
      </c>
      <c r="D2420" t="s">
        <v>775</v>
      </c>
      <c r="E2420" t="s">
        <v>445</v>
      </c>
      <c r="F2420" t="s">
        <v>430</v>
      </c>
      <c r="G2420" t="s">
        <v>230</v>
      </c>
      <c r="H2420" t="s">
        <v>234</v>
      </c>
      <c r="J2420" t="s">
        <v>52</v>
      </c>
      <c r="K2420" s="15">
        <v>50000</v>
      </c>
      <c r="M2420">
        <v>45372</v>
      </c>
      <c r="N2420" t="s">
        <v>1049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346785.89252336445</v>
      </c>
      <c r="Y2420">
        <v>346785.89252336445</v>
      </c>
      <c r="Z2420">
        <v>24275.012476635515</v>
      </c>
      <c r="AA2420">
        <v>371060.90499999997</v>
      </c>
      <c r="AB2420" t="s">
        <v>242</v>
      </c>
      <c r="AC2420">
        <v>1</v>
      </c>
      <c r="AD2420">
        <v>50000</v>
      </c>
      <c r="AE2420">
        <v>0</v>
      </c>
      <c r="AF2420">
        <v>0</v>
      </c>
      <c r="AG2420">
        <v>3271.0280373831774</v>
      </c>
      <c r="AH2420" t="s">
        <v>58</v>
      </c>
      <c r="AK2420" t="s">
        <v>798</v>
      </c>
      <c r="AL2420">
        <v>4142301476</v>
      </c>
      <c r="AM2420">
        <v>10527682</v>
      </c>
      <c r="AN2420" t="s">
        <v>783</v>
      </c>
      <c r="AO2420" t="s">
        <v>446</v>
      </c>
      <c r="AP2420" t="s">
        <v>430</v>
      </c>
      <c r="AQ2420" t="s">
        <v>230</v>
      </c>
      <c r="AR2420" t="s">
        <v>234</v>
      </c>
      <c r="AT2420" t="s">
        <v>52</v>
      </c>
      <c r="AU2420">
        <v>20000</v>
      </c>
      <c r="AW2420">
        <v>45372</v>
      </c>
      <c r="AX2420" t="s">
        <v>1029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413935.46728971967</v>
      </c>
      <c r="BI2420">
        <v>413935.46728971967</v>
      </c>
      <c r="BJ2420">
        <v>28975.482710280379</v>
      </c>
      <c r="BK2420">
        <v>442910.95000000007</v>
      </c>
      <c r="BL2420" t="s">
        <v>242</v>
      </c>
      <c r="BM2420">
        <v>1</v>
      </c>
      <c r="BN2420">
        <v>20000</v>
      </c>
      <c r="BO2420">
        <v>0</v>
      </c>
      <c r="BP2420">
        <v>0</v>
      </c>
      <c r="BQ2420">
        <v>1308.4112149532702</v>
      </c>
      <c r="BR2420" t="s">
        <v>72</v>
      </c>
    </row>
    <row r="2421" spans="1:70" x14ac:dyDescent="0.3">
      <c r="A2421" t="s">
        <v>798</v>
      </c>
      <c r="B2421">
        <v>4142301476</v>
      </c>
      <c r="C2421">
        <v>10527682</v>
      </c>
      <c r="D2421" t="s">
        <v>783</v>
      </c>
      <c r="E2421" t="s">
        <v>446</v>
      </c>
      <c r="F2421" t="s">
        <v>430</v>
      </c>
      <c r="G2421" t="s">
        <v>230</v>
      </c>
      <c r="H2421" t="s">
        <v>234</v>
      </c>
      <c r="J2421" t="s">
        <v>52</v>
      </c>
      <c r="K2421" s="15">
        <v>20000</v>
      </c>
      <c r="M2421">
        <v>45372</v>
      </c>
      <c r="N2421" t="s">
        <v>1029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413935.46728971967</v>
      </c>
      <c r="Y2421">
        <v>413935.46728971967</v>
      </c>
      <c r="Z2421">
        <v>28975.482710280379</v>
      </c>
      <c r="AA2421">
        <v>442910.95000000007</v>
      </c>
      <c r="AB2421" t="s">
        <v>242</v>
      </c>
      <c r="AC2421">
        <v>1</v>
      </c>
      <c r="AD2421">
        <v>20000</v>
      </c>
      <c r="AE2421">
        <v>0</v>
      </c>
      <c r="AF2421">
        <v>0</v>
      </c>
      <c r="AG2421">
        <v>1308.4112149532702</v>
      </c>
      <c r="AH2421" t="s">
        <v>72</v>
      </c>
      <c r="AK2421" t="s">
        <v>798</v>
      </c>
      <c r="AL2421">
        <v>4142300097</v>
      </c>
      <c r="AM2421">
        <v>82365</v>
      </c>
      <c r="AN2421" t="s">
        <v>953</v>
      </c>
      <c r="AO2421" t="s">
        <v>444</v>
      </c>
      <c r="AP2421" t="s">
        <v>430</v>
      </c>
      <c r="AQ2421" t="s">
        <v>230</v>
      </c>
      <c r="AR2421" t="s">
        <v>231</v>
      </c>
      <c r="AT2421" t="s">
        <v>52</v>
      </c>
      <c r="AU2421">
        <v>6000</v>
      </c>
      <c r="AW2421">
        <v>45372</v>
      </c>
      <c r="AX2421" t="s">
        <v>1013</v>
      </c>
      <c r="AY2421">
        <v>0</v>
      </c>
      <c r="AZ2421">
        <v>2490.4140466235608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52421.416778856496</v>
      </c>
      <c r="BH2421">
        <v>0</v>
      </c>
      <c r="BI2421">
        <v>54911.830825480058</v>
      </c>
      <c r="BJ2421">
        <v>3669.499174519955</v>
      </c>
      <c r="BK2421">
        <v>58581.330000000016</v>
      </c>
      <c r="BL2421" t="s">
        <v>242</v>
      </c>
      <c r="BM2421">
        <v>7</v>
      </c>
      <c r="BN2421">
        <v>42000</v>
      </c>
      <c r="BO2421">
        <v>0</v>
      </c>
      <c r="BP2421">
        <v>0</v>
      </c>
      <c r="BQ2421">
        <v>2620.1205451062151</v>
      </c>
      <c r="BR2421" t="s">
        <v>58</v>
      </c>
    </row>
    <row r="2422" spans="1:70" x14ac:dyDescent="0.3">
      <c r="A2422" t="s">
        <v>798</v>
      </c>
      <c r="B2422">
        <v>4142300280</v>
      </c>
      <c r="C2422">
        <v>10123804</v>
      </c>
      <c r="D2422" t="s">
        <v>784</v>
      </c>
      <c r="E2422" t="s">
        <v>445</v>
      </c>
      <c r="F2422" t="s">
        <v>430</v>
      </c>
      <c r="G2422" t="s">
        <v>237</v>
      </c>
      <c r="H2422" t="s">
        <v>234</v>
      </c>
      <c r="J2422" t="s">
        <v>425</v>
      </c>
      <c r="K2422" s="15">
        <v>75000</v>
      </c>
      <c r="M2422">
        <v>45373</v>
      </c>
      <c r="N2422" t="s">
        <v>1023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207245.79439252336</v>
      </c>
      <c r="Y2422">
        <v>207245.79439252336</v>
      </c>
      <c r="Z2422">
        <v>14507.205607476637</v>
      </c>
      <c r="AA2422">
        <v>221753</v>
      </c>
      <c r="AB2422" t="s">
        <v>242</v>
      </c>
      <c r="AC2422">
        <v>0</v>
      </c>
      <c r="AD2422">
        <v>0</v>
      </c>
      <c r="AE2422">
        <v>0</v>
      </c>
      <c r="AF2422">
        <v>80250</v>
      </c>
      <c r="AG2422">
        <v>5250</v>
      </c>
      <c r="AH2422" t="s">
        <v>72</v>
      </c>
      <c r="AK2422" t="s">
        <v>798</v>
      </c>
      <c r="AL2422">
        <v>4142300280</v>
      </c>
      <c r="AM2422">
        <v>10123804</v>
      </c>
      <c r="AN2422" t="s">
        <v>784</v>
      </c>
      <c r="AO2422" t="s">
        <v>445</v>
      </c>
      <c r="AP2422" t="s">
        <v>430</v>
      </c>
      <c r="AQ2422" t="s">
        <v>237</v>
      </c>
      <c r="AR2422" t="s">
        <v>234</v>
      </c>
      <c r="AT2422" t="s">
        <v>425</v>
      </c>
      <c r="AU2422">
        <v>75000</v>
      </c>
      <c r="AW2422">
        <v>45373</v>
      </c>
      <c r="AX2422" t="s">
        <v>1023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207245.79439252336</v>
      </c>
      <c r="BI2422">
        <v>207245.79439252336</v>
      </c>
      <c r="BJ2422">
        <v>14507.205607476637</v>
      </c>
      <c r="BK2422">
        <v>221753</v>
      </c>
      <c r="BL2422" t="s">
        <v>242</v>
      </c>
      <c r="BM2422">
        <v>0</v>
      </c>
      <c r="BN2422">
        <v>0</v>
      </c>
      <c r="BO2422">
        <v>0</v>
      </c>
      <c r="BP2422">
        <v>80250</v>
      </c>
      <c r="BQ2422">
        <v>5250</v>
      </c>
      <c r="BR2422" t="s">
        <v>72</v>
      </c>
    </row>
    <row r="2423" spans="1:70" x14ac:dyDescent="0.3">
      <c r="A2423" t="s">
        <v>798</v>
      </c>
      <c r="B2423">
        <v>52200938</v>
      </c>
      <c r="C2423">
        <v>26269572</v>
      </c>
      <c r="D2423" t="s">
        <v>144</v>
      </c>
      <c r="E2423" t="s">
        <v>438</v>
      </c>
      <c r="F2423" t="s">
        <v>431</v>
      </c>
      <c r="G2423" t="s">
        <v>82</v>
      </c>
      <c r="H2423" t="s">
        <v>83</v>
      </c>
      <c r="J2423" t="s">
        <v>52</v>
      </c>
      <c r="K2423" s="15">
        <v>3000</v>
      </c>
      <c r="M2423">
        <v>45374</v>
      </c>
      <c r="N2423" t="s">
        <v>1013</v>
      </c>
      <c r="O2423">
        <v>0</v>
      </c>
      <c r="P2423">
        <v>0</v>
      </c>
      <c r="Q2423">
        <v>0</v>
      </c>
      <c r="R2423">
        <v>699.27254706626002</v>
      </c>
      <c r="S2423">
        <v>63.631440938136166</v>
      </c>
      <c r="T2423">
        <v>0</v>
      </c>
      <c r="U2423">
        <v>0</v>
      </c>
      <c r="V2423">
        <v>47963.216707056527</v>
      </c>
      <c r="W2423">
        <v>0</v>
      </c>
      <c r="X2423">
        <v>0</v>
      </c>
      <c r="Y2423">
        <v>48726.120695060919</v>
      </c>
      <c r="Z2423">
        <v>3361.8793703596266</v>
      </c>
      <c r="AA2423">
        <v>52088.000065420543</v>
      </c>
      <c r="AB2423" t="s">
        <v>242</v>
      </c>
      <c r="AC2423">
        <v>12</v>
      </c>
      <c r="AD2423">
        <v>30000</v>
      </c>
      <c r="AE2423">
        <v>0</v>
      </c>
      <c r="AF2423">
        <v>0</v>
      </c>
      <c r="AG2423">
        <v>1933.9150264435875</v>
      </c>
      <c r="AH2423" t="s">
        <v>58</v>
      </c>
      <c r="AK2423" t="s">
        <v>798</v>
      </c>
      <c r="AL2423">
        <v>52200938</v>
      </c>
      <c r="AM2423">
        <v>26269572</v>
      </c>
      <c r="AN2423" t="s">
        <v>144</v>
      </c>
      <c r="AO2423" t="s">
        <v>438</v>
      </c>
      <c r="AP2423" t="s">
        <v>431</v>
      </c>
      <c r="AQ2423" t="s">
        <v>82</v>
      </c>
      <c r="AR2423" t="s">
        <v>83</v>
      </c>
      <c r="AT2423" t="s">
        <v>52</v>
      </c>
      <c r="AU2423">
        <v>3000</v>
      </c>
      <c r="AW2423">
        <v>45374</v>
      </c>
      <c r="AX2423" t="s">
        <v>1013</v>
      </c>
      <c r="AY2423">
        <v>0</v>
      </c>
      <c r="AZ2423">
        <v>0</v>
      </c>
      <c r="BA2423">
        <v>0</v>
      </c>
      <c r="BB2423">
        <v>699.27254706626002</v>
      </c>
      <c r="BC2423">
        <v>63.631440938136166</v>
      </c>
      <c r="BD2423">
        <v>0</v>
      </c>
      <c r="BE2423">
        <v>0</v>
      </c>
      <c r="BF2423">
        <v>47963.216707056527</v>
      </c>
      <c r="BG2423">
        <v>0</v>
      </c>
      <c r="BH2423">
        <v>0</v>
      </c>
      <c r="BI2423">
        <v>48726.120695060919</v>
      </c>
      <c r="BJ2423">
        <v>3361.8793703596266</v>
      </c>
      <c r="BK2423">
        <v>52088.000065420543</v>
      </c>
      <c r="BL2423" t="s">
        <v>242</v>
      </c>
      <c r="BM2423">
        <v>12</v>
      </c>
      <c r="BN2423">
        <v>30000</v>
      </c>
      <c r="BO2423">
        <v>0</v>
      </c>
      <c r="BP2423">
        <v>0</v>
      </c>
      <c r="BQ2423">
        <v>1933.9150264435875</v>
      </c>
      <c r="BR2423" t="s">
        <v>58</v>
      </c>
    </row>
    <row r="2424" spans="1:70" x14ac:dyDescent="0.3">
      <c r="A2424" t="s">
        <v>798</v>
      </c>
      <c r="B2424">
        <v>2200001</v>
      </c>
      <c r="C2424">
        <v>22961523</v>
      </c>
      <c r="D2424" t="s">
        <v>407</v>
      </c>
      <c r="E2424" t="s">
        <v>435</v>
      </c>
      <c r="F2424" t="s">
        <v>675</v>
      </c>
      <c r="G2424" t="s">
        <v>235</v>
      </c>
      <c r="H2424" t="s">
        <v>235</v>
      </c>
      <c r="J2424" t="s">
        <v>52</v>
      </c>
      <c r="K2424" s="15">
        <v>3000</v>
      </c>
      <c r="M2424">
        <v>45376</v>
      </c>
      <c r="N2424" t="s">
        <v>1013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27246.990000000005</v>
      </c>
      <c r="W2424">
        <v>0</v>
      </c>
      <c r="X2424">
        <v>0</v>
      </c>
      <c r="Y2424">
        <v>27246.990000000005</v>
      </c>
      <c r="Z2424">
        <v>0</v>
      </c>
      <c r="AA2424">
        <v>27246.990000000005</v>
      </c>
      <c r="AB2424" t="s">
        <v>242</v>
      </c>
      <c r="AC2424">
        <v>14</v>
      </c>
      <c r="AD2424">
        <v>42000</v>
      </c>
      <c r="AE2424">
        <v>0</v>
      </c>
      <c r="AF2424">
        <v>0</v>
      </c>
      <c r="AG2424">
        <v>0</v>
      </c>
      <c r="AH2424" t="s">
        <v>58</v>
      </c>
      <c r="AK2424" t="s">
        <v>798</v>
      </c>
      <c r="AL2424">
        <v>52200044</v>
      </c>
      <c r="AM2424">
        <v>24843920</v>
      </c>
      <c r="AN2424" t="s">
        <v>383</v>
      </c>
      <c r="AO2424" t="s">
        <v>435</v>
      </c>
      <c r="AP2424" t="s">
        <v>431</v>
      </c>
      <c r="AQ2424" t="s">
        <v>235</v>
      </c>
      <c r="AR2424" t="s">
        <v>236</v>
      </c>
      <c r="AT2424" t="s">
        <v>52</v>
      </c>
      <c r="AU2424">
        <v>5000</v>
      </c>
      <c r="AW2424">
        <v>45376</v>
      </c>
      <c r="AX2424" t="s">
        <v>1013</v>
      </c>
      <c r="AY2424">
        <v>3950.8430997633777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117761.82887872584</v>
      </c>
      <c r="BG2424">
        <v>0</v>
      </c>
      <c r="BH2424">
        <v>0</v>
      </c>
      <c r="BI2424">
        <v>121712.67197848922</v>
      </c>
      <c r="BJ2424">
        <v>8243.3280215108098</v>
      </c>
      <c r="BK2424">
        <v>129956.00000000003</v>
      </c>
      <c r="BL2424" t="s">
        <v>242</v>
      </c>
      <c r="BM2424">
        <v>8</v>
      </c>
      <c r="BN2424">
        <v>34000</v>
      </c>
      <c r="BO2424">
        <v>0</v>
      </c>
      <c r="BP2424">
        <v>0</v>
      </c>
      <c r="BQ2424">
        <v>2158.2631263674216</v>
      </c>
      <c r="BR2424" t="s">
        <v>58</v>
      </c>
    </row>
    <row r="2425" spans="1:70" x14ac:dyDescent="0.3">
      <c r="A2425" t="s">
        <v>798</v>
      </c>
      <c r="B2425">
        <v>52200044</v>
      </c>
      <c r="C2425">
        <v>24843920</v>
      </c>
      <c r="D2425" t="s">
        <v>383</v>
      </c>
      <c r="E2425" t="s">
        <v>435</v>
      </c>
      <c r="F2425" t="s">
        <v>431</v>
      </c>
      <c r="G2425" t="s">
        <v>235</v>
      </c>
      <c r="H2425" t="s">
        <v>236</v>
      </c>
      <c r="J2425" t="s">
        <v>52</v>
      </c>
      <c r="K2425" s="15">
        <v>5000</v>
      </c>
      <c r="M2425">
        <v>45376</v>
      </c>
      <c r="N2425" t="s">
        <v>1013</v>
      </c>
      <c r="O2425">
        <v>3950.8430997633777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117761.82887872584</v>
      </c>
      <c r="W2425">
        <v>0</v>
      </c>
      <c r="X2425">
        <v>0</v>
      </c>
      <c r="Y2425">
        <v>121712.67197848922</v>
      </c>
      <c r="Z2425">
        <v>8243.3280215108098</v>
      </c>
      <c r="AA2425">
        <v>129956.00000000003</v>
      </c>
      <c r="AB2425" t="s">
        <v>242</v>
      </c>
      <c r="AC2425">
        <v>8</v>
      </c>
      <c r="AD2425">
        <v>34000</v>
      </c>
      <c r="AE2425">
        <v>0</v>
      </c>
      <c r="AF2425">
        <v>0</v>
      </c>
      <c r="AG2425">
        <v>2158.2631263674216</v>
      </c>
      <c r="AH2425" t="s">
        <v>58</v>
      </c>
      <c r="AK2425" t="s">
        <v>798</v>
      </c>
      <c r="AL2425">
        <v>2200001</v>
      </c>
      <c r="AM2425">
        <v>22961523</v>
      </c>
      <c r="AN2425" t="s">
        <v>407</v>
      </c>
      <c r="AO2425" t="s">
        <v>435</v>
      </c>
      <c r="AP2425" t="s">
        <v>675</v>
      </c>
      <c r="AQ2425" t="s">
        <v>235</v>
      </c>
      <c r="AR2425" t="s">
        <v>235</v>
      </c>
      <c r="AT2425" t="s">
        <v>52</v>
      </c>
      <c r="AU2425">
        <v>3000</v>
      </c>
      <c r="AW2425">
        <v>45376</v>
      </c>
      <c r="AX2425" t="s">
        <v>1013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27246.990000000005</v>
      </c>
      <c r="BG2425">
        <v>0</v>
      </c>
      <c r="BH2425">
        <v>0</v>
      </c>
      <c r="BI2425">
        <v>27246.990000000005</v>
      </c>
      <c r="BJ2425">
        <v>0</v>
      </c>
      <c r="BK2425">
        <v>27246.990000000005</v>
      </c>
      <c r="BL2425" t="s">
        <v>242</v>
      </c>
      <c r="BM2425">
        <v>14</v>
      </c>
      <c r="BN2425">
        <v>42000</v>
      </c>
      <c r="BO2425">
        <v>0</v>
      </c>
      <c r="BP2425">
        <v>0</v>
      </c>
      <c r="BQ2425">
        <v>0</v>
      </c>
      <c r="BR2425" t="s">
        <v>58</v>
      </c>
    </row>
    <row r="2426" spans="1:70" x14ac:dyDescent="0.3">
      <c r="A2426" t="s">
        <v>798</v>
      </c>
      <c r="B2426">
        <v>52200619</v>
      </c>
      <c r="C2426">
        <v>6102060118</v>
      </c>
      <c r="D2426" t="s">
        <v>138</v>
      </c>
      <c r="E2426" t="s">
        <v>437</v>
      </c>
      <c r="F2426" t="s">
        <v>431</v>
      </c>
      <c r="G2426" t="s">
        <v>82</v>
      </c>
      <c r="H2426" t="s">
        <v>83</v>
      </c>
      <c r="J2426" t="s">
        <v>52</v>
      </c>
      <c r="K2426" s="15">
        <v>700</v>
      </c>
      <c r="M2426">
        <v>45376</v>
      </c>
      <c r="N2426" t="s">
        <v>1013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2744.0934579439286</v>
      </c>
      <c r="W2426">
        <v>0</v>
      </c>
      <c r="X2426">
        <v>0</v>
      </c>
      <c r="Y2426">
        <v>2744.0934579439286</v>
      </c>
      <c r="Z2426">
        <v>192.08654205607502</v>
      </c>
      <c r="AA2426">
        <v>2936.1800000000035</v>
      </c>
      <c r="AB2426" t="s">
        <v>242</v>
      </c>
      <c r="AC2426">
        <v>22</v>
      </c>
      <c r="AD2426">
        <v>15000</v>
      </c>
      <c r="AE2426">
        <v>0</v>
      </c>
      <c r="AF2426">
        <v>0</v>
      </c>
      <c r="AG2426">
        <v>981.30841121495337</v>
      </c>
      <c r="AH2426" t="s">
        <v>58</v>
      </c>
      <c r="AK2426" t="s">
        <v>798</v>
      </c>
      <c r="AL2426">
        <v>52200619</v>
      </c>
      <c r="AM2426">
        <v>6102060118</v>
      </c>
      <c r="AN2426" t="s">
        <v>138</v>
      </c>
      <c r="AO2426" t="s">
        <v>437</v>
      </c>
      <c r="AP2426" t="s">
        <v>431</v>
      </c>
      <c r="AQ2426" t="s">
        <v>82</v>
      </c>
      <c r="AR2426" t="s">
        <v>83</v>
      </c>
      <c r="AT2426" t="s">
        <v>52</v>
      </c>
      <c r="AU2426">
        <v>700</v>
      </c>
      <c r="AW2426">
        <v>45376</v>
      </c>
      <c r="AX2426" t="s">
        <v>1013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2744.0934579439286</v>
      </c>
      <c r="BG2426">
        <v>0</v>
      </c>
      <c r="BH2426">
        <v>0</v>
      </c>
      <c r="BI2426">
        <v>2744.0934579439286</v>
      </c>
      <c r="BJ2426">
        <v>192.08654205607502</v>
      </c>
      <c r="BK2426">
        <v>2936.1800000000035</v>
      </c>
      <c r="BL2426" t="s">
        <v>242</v>
      </c>
      <c r="BM2426">
        <v>22</v>
      </c>
      <c r="BN2426">
        <v>15000</v>
      </c>
      <c r="BO2426">
        <v>0</v>
      </c>
      <c r="BP2426">
        <v>0</v>
      </c>
      <c r="BQ2426">
        <v>981.30841121495337</v>
      </c>
      <c r="BR2426" t="s">
        <v>58</v>
      </c>
    </row>
    <row r="2427" spans="1:70" x14ac:dyDescent="0.3">
      <c r="A2427" t="s">
        <v>798</v>
      </c>
      <c r="B2427">
        <v>52201351</v>
      </c>
      <c r="C2427">
        <v>22940816</v>
      </c>
      <c r="D2427" t="s">
        <v>155</v>
      </c>
      <c r="E2427" t="s">
        <v>438</v>
      </c>
      <c r="F2427" t="s">
        <v>431</v>
      </c>
      <c r="G2427" t="s">
        <v>82</v>
      </c>
      <c r="H2427" t="s">
        <v>83</v>
      </c>
      <c r="J2427" t="s">
        <v>52</v>
      </c>
      <c r="K2427" s="15">
        <v>500</v>
      </c>
      <c r="M2427">
        <v>45376</v>
      </c>
      <c r="N2427" t="s">
        <v>1013</v>
      </c>
      <c r="O2427">
        <v>0</v>
      </c>
      <c r="P2427">
        <v>0</v>
      </c>
      <c r="Q2427">
        <v>0</v>
      </c>
      <c r="R2427">
        <v>743.22539976596454</v>
      </c>
      <c r="S2427">
        <v>14509.300417716357</v>
      </c>
      <c r="T2427">
        <v>0</v>
      </c>
      <c r="U2427">
        <v>0</v>
      </c>
      <c r="V2427">
        <v>73829.741339665459</v>
      </c>
      <c r="W2427">
        <v>0</v>
      </c>
      <c r="X2427">
        <v>0</v>
      </c>
      <c r="Y2427">
        <v>89082.267157147784</v>
      </c>
      <c r="Z2427">
        <v>6183.732923016727</v>
      </c>
      <c r="AA2427">
        <v>95266.000080164507</v>
      </c>
      <c r="AB2427" t="s">
        <v>242</v>
      </c>
      <c r="AC2427">
        <v>25</v>
      </c>
      <c r="AD2427">
        <v>17600</v>
      </c>
      <c r="AE2427">
        <v>0</v>
      </c>
      <c r="AF2427">
        <v>0</v>
      </c>
      <c r="AG2427">
        <v>1141.734371947306</v>
      </c>
      <c r="AH2427" t="s">
        <v>58</v>
      </c>
      <c r="AK2427" t="s">
        <v>798</v>
      </c>
      <c r="AL2427">
        <v>52201351</v>
      </c>
      <c r="AM2427">
        <v>22940816</v>
      </c>
      <c r="AN2427" t="s">
        <v>155</v>
      </c>
      <c r="AO2427" t="s">
        <v>438</v>
      </c>
      <c r="AP2427" t="s">
        <v>431</v>
      </c>
      <c r="AQ2427" t="s">
        <v>82</v>
      </c>
      <c r="AR2427" t="s">
        <v>83</v>
      </c>
      <c r="AT2427" t="s">
        <v>52</v>
      </c>
      <c r="AU2427">
        <v>500</v>
      </c>
      <c r="AW2427">
        <v>45376</v>
      </c>
      <c r="AX2427" t="s">
        <v>1013</v>
      </c>
      <c r="AY2427">
        <v>0</v>
      </c>
      <c r="AZ2427">
        <v>0</v>
      </c>
      <c r="BA2427">
        <v>0</v>
      </c>
      <c r="BB2427">
        <v>743.22539976596454</v>
      </c>
      <c r="BC2427">
        <v>14509.300417716357</v>
      </c>
      <c r="BD2427">
        <v>0</v>
      </c>
      <c r="BE2427">
        <v>0</v>
      </c>
      <c r="BF2427">
        <v>73829.741339665459</v>
      </c>
      <c r="BG2427">
        <v>0</v>
      </c>
      <c r="BH2427">
        <v>0</v>
      </c>
      <c r="BI2427">
        <v>89082.267157147784</v>
      </c>
      <c r="BJ2427">
        <v>6183.732923016727</v>
      </c>
      <c r="BK2427">
        <v>95266.000080164507</v>
      </c>
      <c r="BL2427" t="s">
        <v>242</v>
      </c>
      <c r="BM2427">
        <v>25</v>
      </c>
      <c r="BN2427">
        <v>17600</v>
      </c>
      <c r="BO2427">
        <v>0</v>
      </c>
      <c r="BP2427">
        <v>0</v>
      </c>
      <c r="BQ2427">
        <v>1141.734371947306</v>
      </c>
      <c r="BR2427" t="s">
        <v>58</v>
      </c>
    </row>
    <row r="2428" spans="1:70" x14ac:dyDescent="0.3">
      <c r="A2428" t="s">
        <v>798</v>
      </c>
      <c r="B2428">
        <v>4132300375</v>
      </c>
      <c r="C2428">
        <v>1010227956</v>
      </c>
      <c r="D2428" t="s">
        <v>175</v>
      </c>
      <c r="E2428" t="s">
        <v>441</v>
      </c>
      <c r="F2428" t="s">
        <v>430</v>
      </c>
      <c r="G2428" t="s">
        <v>233</v>
      </c>
      <c r="H2428" t="s">
        <v>231</v>
      </c>
      <c r="J2428" t="s">
        <v>52</v>
      </c>
      <c r="K2428" s="15">
        <v>2000</v>
      </c>
      <c r="M2428">
        <v>45376</v>
      </c>
      <c r="N2428" t="s">
        <v>1013</v>
      </c>
      <c r="O2428">
        <v>0</v>
      </c>
      <c r="P2428">
        <v>0</v>
      </c>
      <c r="Q2428">
        <v>0</v>
      </c>
      <c r="R2428">
        <v>0</v>
      </c>
      <c r="S2428">
        <v>7231.0126659893449</v>
      </c>
      <c r="T2428">
        <v>2006.5750273048002</v>
      </c>
      <c r="U2428">
        <v>0</v>
      </c>
      <c r="V2428">
        <v>0</v>
      </c>
      <c r="W2428">
        <v>0</v>
      </c>
      <c r="X2428">
        <v>0</v>
      </c>
      <c r="Y2428">
        <v>9237.5876932941446</v>
      </c>
      <c r="Z2428">
        <v>140.46025191133603</v>
      </c>
      <c r="AA2428">
        <v>9378.0479452054806</v>
      </c>
      <c r="AB2428" t="s">
        <v>242</v>
      </c>
      <c r="AC2428">
        <v>8</v>
      </c>
      <c r="AD2428">
        <v>16000</v>
      </c>
      <c r="AE2428">
        <v>0</v>
      </c>
      <c r="AF2428">
        <v>0</v>
      </c>
      <c r="AG2428">
        <v>219.35283220081362</v>
      </c>
      <c r="AH2428" t="s">
        <v>58</v>
      </c>
      <c r="AK2428" t="s">
        <v>798</v>
      </c>
      <c r="AL2428">
        <v>4142300300</v>
      </c>
      <c r="AM2428">
        <v>10131172</v>
      </c>
      <c r="AN2428" t="s">
        <v>196</v>
      </c>
      <c r="AO2428" t="s">
        <v>445</v>
      </c>
      <c r="AP2428" t="s">
        <v>430</v>
      </c>
      <c r="AQ2428" t="s">
        <v>230</v>
      </c>
      <c r="AR2428" t="s">
        <v>234</v>
      </c>
      <c r="AT2428" t="s">
        <v>52</v>
      </c>
      <c r="AU2428">
        <v>5000</v>
      </c>
      <c r="AW2428">
        <v>45376</v>
      </c>
      <c r="AX2428" t="s">
        <v>1013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643587.99065420579</v>
      </c>
      <c r="BI2428">
        <v>643587.99065420579</v>
      </c>
      <c r="BJ2428">
        <v>45051.159345794411</v>
      </c>
      <c r="BK2428">
        <v>688639.15000000014</v>
      </c>
      <c r="BL2428" t="s">
        <v>242</v>
      </c>
      <c r="BM2428">
        <v>10</v>
      </c>
      <c r="BN2428">
        <v>120000</v>
      </c>
      <c r="BO2428">
        <v>0</v>
      </c>
      <c r="BP2428">
        <v>0</v>
      </c>
      <c r="BQ2428">
        <v>7850.4672897196251</v>
      </c>
      <c r="BR2428" t="s">
        <v>58</v>
      </c>
    </row>
    <row r="2429" spans="1:70" x14ac:dyDescent="0.3">
      <c r="A2429" t="s">
        <v>798</v>
      </c>
      <c r="B2429">
        <v>4132301147</v>
      </c>
      <c r="C2429">
        <v>3100025875</v>
      </c>
      <c r="D2429" t="s">
        <v>180</v>
      </c>
      <c r="E2429" t="s">
        <v>441</v>
      </c>
      <c r="F2429" t="s">
        <v>430</v>
      </c>
      <c r="G2429" t="s">
        <v>233</v>
      </c>
      <c r="H2429" t="s">
        <v>231</v>
      </c>
      <c r="J2429" t="s">
        <v>52</v>
      </c>
      <c r="K2429" s="15">
        <v>1000</v>
      </c>
      <c r="M2429">
        <v>45376</v>
      </c>
      <c r="N2429" t="s">
        <v>1013</v>
      </c>
      <c r="O2429">
        <v>0</v>
      </c>
      <c r="P2429">
        <v>0</v>
      </c>
      <c r="Q2429">
        <v>0</v>
      </c>
      <c r="R2429">
        <v>0</v>
      </c>
      <c r="S2429">
        <v>723.60541237565735</v>
      </c>
      <c r="T2429">
        <v>646.83529505283605</v>
      </c>
      <c r="U2429">
        <v>0</v>
      </c>
      <c r="V2429">
        <v>0</v>
      </c>
      <c r="W2429">
        <v>0</v>
      </c>
      <c r="X2429">
        <v>0</v>
      </c>
      <c r="Y2429">
        <v>1370.4407074284934</v>
      </c>
      <c r="Z2429">
        <v>45.278470653698527</v>
      </c>
      <c r="AA2429">
        <v>1415.719178082192</v>
      </c>
      <c r="AB2429" t="s">
        <v>242</v>
      </c>
      <c r="AC2429">
        <v>8</v>
      </c>
      <c r="AD2429">
        <v>8000</v>
      </c>
      <c r="AE2429">
        <v>0</v>
      </c>
      <c r="AF2429">
        <v>0</v>
      </c>
      <c r="AG2429">
        <v>232.75891252387163</v>
      </c>
      <c r="AH2429" t="s">
        <v>58</v>
      </c>
      <c r="AK2429" t="s">
        <v>798</v>
      </c>
      <c r="AL2429">
        <v>4132300375</v>
      </c>
      <c r="AM2429">
        <v>1010227956</v>
      </c>
      <c r="AN2429" t="s">
        <v>175</v>
      </c>
      <c r="AO2429" t="s">
        <v>441</v>
      </c>
      <c r="AP2429" t="s">
        <v>430</v>
      </c>
      <c r="AQ2429" t="s">
        <v>233</v>
      </c>
      <c r="AR2429" t="s">
        <v>231</v>
      </c>
      <c r="AT2429" t="s">
        <v>52</v>
      </c>
      <c r="AU2429">
        <v>2000</v>
      </c>
      <c r="AW2429">
        <v>45376</v>
      </c>
      <c r="AX2429" t="s">
        <v>1013</v>
      </c>
      <c r="AY2429">
        <v>0</v>
      </c>
      <c r="AZ2429">
        <v>0</v>
      </c>
      <c r="BA2429">
        <v>0</v>
      </c>
      <c r="BB2429">
        <v>0</v>
      </c>
      <c r="BC2429">
        <v>7231.0126659893449</v>
      </c>
      <c r="BD2429">
        <v>2006.5750273048002</v>
      </c>
      <c r="BE2429">
        <v>0</v>
      </c>
      <c r="BF2429">
        <v>0</v>
      </c>
      <c r="BG2429">
        <v>0</v>
      </c>
      <c r="BH2429">
        <v>0</v>
      </c>
      <c r="BI2429">
        <v>9237.5876932941446</v>
      </c>
      <c r="BJ2429">
        <v>140.46025191133603</v>
      </c>
      <c r="BK2429">
        <v>9378.0479452054806</v>
      </c>
      <c r="BL2429" t="s">
        <v>242</v>
      </c>
      <c r="BM2429">
        <v>8</v>
      </c>
      <c r="BN2429">
        <v>16000</v>
      </c>
      <c r="BO2429">
        <v>0</v>
      </c>
      <c r="BP2429">
        <v>0</v>
      </c>
      <c r="BQ2429">
        <v>219.35283220081362</v>
      </c>
      <c r="BR2429" t="s">
        <v>58</v>
      </c>
    </row>
    <row r="2430" spans="1:70" x14ac:dyDescent="0.3">
      <c r="A2430" t="s">
        <v>798</v>
      </c>
      <c r="B2430">
        <v>4142300300</v>
      </c>
      <c r="C2430">
        <v>10131172</v>
      </c>
      <c r="D2430" t="s">
        <v>196</v>
      </c>
      <c r="E2430" t="s">
        <v>445</v>
      </c>
      <c r="F2430" t="s">
        <v>430</v>
      </c>
      <c r="G2430" t="s">
        <v>230</v>
      </c>
      <c r="H2430" t="s">
        <v>234</v>
      </c>
      <c r="J2430" t="s">
        <v>52</v>
      </c>
      <c r="K2430" s="15">
        <v>5000</v>
      </c>
      <c r="M2430">
        <v>45376</v>
      </c>
      <c r="N2430" t="s">
        <v>1013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643587.99065420579</v>
      </c>
      <c r="Y2430">
        <v>643587.99065420579</v>
      </c>
      <c r="Z2430">
        <v>45051.159345794411</v>
      </c>
      <c r="AA2430">
        <v>688639.15000000014</v>
      </c>
      <c r="AB2430" t="s">
        <v>242</v>
      </c>
      <c r="AC2430">
        <v>10</v>
      </c>
      <c r="AD2430">
        <v>120000</v>
      </c>
      <c r="AE2430">
        <v>0</v>
      </c>
      <c r="AF2430">
        <v>0</v>
      </c>
      <c r="AG2430">
        <v>7850.4672897196251</v>
      </c>
      <c r="AH2430" t="s">
        <v>58</v>
      </c>
      <c r="AK2430" t="s">
        <v>798</v>
      </c>
      <c r="AL2430">
        <v>4132301147</v>
      </c>
      <c r="AM2430">
        <v>3100025875</v>
      </c>
      <c r="AN2430" t="s">
        <v>180</v>
      </c>
      <c r="AO2430" t="s">
        <v>441</v>
      </c>
      <c r="AP2430" t="s">
        <v>430</v>
      </c>
      <c r="AQ2430" t="s">
        <v>233</v>
      </c>
      <c r="AR2430" t="s">
        <v>231</v>
      </c>
      <c r="AT2430" t="s">
        <v>52</v>
      </c>
      <c r="AU2430">
        <v>1000</v>
      </c>
      <c r="AW2430">
        <v>45376</v>
      </c>
      <c r="AX2430" t="s">
        <v>1013</v>
      </c>
      <c r="AY2430">
        <v>0</v>
      </c>
      <c r="AZ2430">
        <v>0</v>
      </c>
      <c r="BA2430">
        <v>0</v>
      </c>
      <c r="BB2430">
        <v>0</v>
      </c>
      <c r="BC2430">
        <v>723.60541237565735</v>
      </c>
      <c r="BD2430">
        <v>646.83529505283605</v>
      </c>
      <c r="BE2430">
        <v>0</v>
      </c>
      <c r="BF2430">
        <v>0</v>
      </c>
      <c r="BG2430">
        <v>0</v>
      </c>
      <c r="BH2430">
        <v>0</v>
      </c>
      <c r="BI2430">
        <v>1370.4407074284934</v>
      </c>
      <c r="BJ2430">
        <v>45.278470653698527</v>
      </c>
      <c r="BK2430">
        <v>1415.719178082192</v>
      </c>
      <c r="BL2430" t="s">
        <v>242</v>
      </c>
      <c r="BM2430">
        <v>8</v>
      </c>
      <c r="BN2430">
        <v>8000</v>
      </c>
      <c r="BO2430">
        <v>0</v>
      </c>
      <c r="BP2430">
        <v>0</v>
      </c>
      <c r="BQ2430">
        <v>232.75891252387163</v>
      </c>
      <c r="BR2430" t="s">
        <v>58</v>
      </c>
    </row>
    <row r="2431" spans="1:70" x14ac:dyDescent="0.3">
      <c r="A2431" t="s">
        <v>798</v>
      </c>
      <c r="B2431">
        <v>12200158</v>
      </c>
      <c r="C2431">
        <v>27163703</v>
      </c>
      <c r="D2431" t="s">
        <v>115</v>
      </c>
      <c r="E2431" t="s">
        <v>438</v>
      </c>
      <c r="F2431" t="s">
        <v>427</v>
      </c>
      <c r="G2431" t="s">
        <v>82</v>
      </c>
      <c r="H2431" t="s">
        <v>82</v>
      </c>
      <c r="J2431" t="s">
        <v>52</v>
      </c>
      <c r="K2431" s="15">
        <v>3000</v>
      </c>
      <c r="M2431">
        <v>45377</v>
      </c>
      <c r="N2431" t="s">
        <v>1013</v>
      </c>
      <c r="O2431">
        <v>0</v>
      </c>
      <c r="P2431">
        <v>0</v>
      </c>
      <c r="Q2431">
        <v>0</v>
      </c>
      <c r="R2431">
        <v>0</v>
      </c>
      <c r="S2431">
        <v>6164.4901276847468</v>
      </c>
      <c r="T2431">
        <v>0</v>
      </c>
      <c r="U2431">
        <v>0</v>
      </c>
      <c r="V2431">
        <v>68571.057534246575</v>
      </c>
      <c r="W2431">
        <v>0</v>
      </c>
      <c r="X2431">
        <v>0</v>
      </c>
      <c r="Y2431">
        <v>74735.547661931327</v>
      </c>
      <c r="Z2431">
        <v>0</v>
      </c>
      <c r="AA2431">
        <v>74735.547661931327</v>
      </c>
      <c r="AB2431" t="s">
        <v>242</v>
      </c>
      <c r="AC2431">
        <v>4</v>
      </c>
      <c r="AD2431">
        <v>9500</v>
      </c>
      <c r="AE2431">
        <v>0</v>
      </c>
      <c r="AF2431">
        <v>0</v>
      </c>
      <c r="AG2431">
        <v>0</v>
      </c>
      <c r="AH2431" t="s">
        <v>58</v>
      </c>
      <c r="AK2431" t="s">
        <v>798</v>
      </c>
      <c r="AL2431">
        <v>4132301147</v>
      </c>
      <c r="AM2431">
        <v>3100025875</v>
      </c>
      <c r="AN2431" t="s">
        <v>180</v>
      </c>
      <c r="AO2431" t="s">
        <v>441</v>
      </c>
      <c r="AP2431" t="s">
        <v>430</v>
      </c>
      <c r="AQ2431" t="s">
        <v>233</v>
      </c>
      <c r="AR2431" t="s">
        <v>231</v>
      </c>
      <c r="AT2431" t="s">
        <v>416</v>
      </c>
      <c r="AU2431">
        <v>0.19937369110766692</v>
      </c>
      <c r="AW2431">
        <v>45377</v>
      </c>
      <c r="AX2431" t="s">
        <v>1016</v>
      </c>
      <c r="AY2431">
        <v>0</v>
      </c>
      <c r="AZ2431">
        <v>0</v>
      </c>
      <c r="BA2431">
        <v>0</v>
      </c>
      <c r="BB2431">
        <v>0</v>
      </c>
      <c r="BC2431">
        <v>579.33753040483714</v>
      </c>
      <c r="BD2431">
        <v>517.87335473943529</v>
      </c>
      <c r="BE2431">
        <v>0</v>
      </c>
      <c r="BF2431">
        <v>0</v>
      </c>
      <c r="BG2431">
        <v>0</v>
      </c>
      <c r="BH2431">
        <v>0</v>
      </c>
      <c r="BI2431">
        <v>1097.2108851442724</v>
      </c>
      <c r="BJ2431">
        <v>36.251134831760474</v>
      </c>
      <c r="BK2431">
        <v>1133.4620199760329</v>
      </c>
      <c r="BL2431" t="s">
        <v>242</v>
      </c>
      <c r="BM2431">
        <v>8</v>
      </c>
      <c r="BN2431">
        <v>8000</v>
      </c>
      <c r="BO2431">
        <v>0</v>
      </c>
      <c r="BP2431">
        <v>0</v>
      </c>
      <c r="BQ2431">
        <v>232.75891252387163</v>
      </c>
      <c r="BR2431" t="s">
        <v>58</v>
      </c>
    </row>
    <row r="2432" spans="1:70" x14ac:dyDescent="0.3">
      <c r="A2432" t="s">
        <v>798</v>
      </c>
      <c r="B2432">
        <v>42200052</v>
      </c>
      <c r="C2432">
        <v>6001390216</v>
      </c>
      <c r="D2432" t="s">
        <v>121</v>
      </c>
      <c r="E2432" t="s">
        <v>437</v>
      </c>
      <c r="F2432" t="s">
        <v>430</v>
      </c>
      <c r="G2432" t="s">
        <v>230</v>
      </c>
      <c r="H2432" t="s">
        <v>231</v>
      </c>
      <c r="J2432" t="s">
        <v>52</v>
      </c>
      <c r="K2432" s="15">
        <v>5000</v>
      </c>
      <c r="M2432">
        <v>45377</v>
      </c>
      <c r="N2432" t="s">
        <v>1013</v>
      </c>
      <c r="O2432">
        <v>0</v>
      </c>
      <c r="P2432">
        <v>1468.7829675432747</v>
      </c>
      <c r="Q2432">
        <v>0</v>
      </c>
      <c r="R2432">
        <v>0</v>
      </c>
      <c r="S2432">
        <v>5574.6712328767117</v>
      </c>
      <c r="T2432">
        <v>0</v>
      </c>
      <c r="U2432">
        <v>10309.548628464234</v>
      </c>
      <c r="V2432">
        <v>0</v>
      </c>
      <c r="W2432">
        <v>135514.01869158878</v>
      </c>
      <c r="X2432">
        <v>0</v>
      </c>
      <c r="Y2432">
        <v>152867.021520473</v>
      </c>
      <c r="Z2432">
        <v>10207.649712403711</v>
      </c>
      <c r="AA2432">
        <v>163074.67123287672</v>
      </c>
      <c r="AB2432" t="s">
        <v>242</v>
      </c>
      <c r="AC2432">
        <v>11</v>
      </c>
      <c r="AD2432">
        <v>33000</v>
      </c>
      <c r="AE2432">
        <v>0</v>
      </c>
      <c r="AF2432">
        <v>0</v>
      </c>
      <c r="AG2432">
        <v>2058.7054277832049</v>
      </c>
      <c r="AH2432" t="s">
        <v>58</v>
      </c>
      <c r="AK2432" t="s">
        <v>798</v>
      </c>
      <c r="AL2432">
        <v>42200052</v>
      </c>
      <c r="AM2432">
        <v>6001390216</v>
      </c>
      <c r="AN2432" t="s">
        <v>121</v>
      </c>
      <c r="AO2432" t="s">
        <v>437</v>
      </c>
      <c r="AP2432" t="s">
        <v>430</v>
      </c>
      <c r="AQ2432" t="s">
        <v>230</v>
      </c>
      <c r="AR2432" t="s">
        <v>231</v>
      </c>
      <c r="AT2432" t="s">
        <v>52</v>
      </c>
      <c r="AU2432">
        <v>5000</v>
      </c>
      <c r="AW2432">
        <v>45377</v>
      </c>
      <c r="AX2432" t="s">
        <v>1013</v>
      </c>
      <c r="AY2432">
        <v>0</v>
      </c>
      <c r="AZ2432">
        <v>1468.7829675432747</v>
      </c>
      <c r="BA2432">
        <v>0</v>
      </c>
      <c r="BB2432">
        <v>0</v>
      </c>
      <c r="BC2432">
        <v>5574.6712328767117</v>
      </c>
      <c r="BD2432">
        <v>0</v>
      </c>
      <c r="BE2432">
        <v>10309.548628464234</v>
      </c>
      <c r="BF2432">
        <v>0</v>
      </c>
      <c r="BG2432">
        <v>135514.01869158878</v>
      </c>
      <c r="BH2432">
        <v>0</v>
      </c>
      <c r="BI2432">
        <v>152867.021520473</v>
      </c>
      <c r="BJ2432">
        <v>10207.649712403711</v>
      </c>
      <c r="BK2432">
        <v>163074.67123287672</v>
      </c>
      <c r="BL2432" t="s">
        <v>242</v>
      </c>
      <c r="BM2432">
        <v>11</v>
      </c>
      <c r="BN2432">
        <v>33000</v>
      </c>
      <c r="BO2432">
        <v>0</v>
      </c>
      <c r="BP2432">
        <v>0</v>
      </c>
      <c r="BQ2432">
        <v>2058.7054277832049</v>
      </c>
      <c r="BR2432" t="s">
        <v>58</v>
      </c>
    </row>
    <row r="2433" spans="1:70" x14ac:dyDescent="0.3">
      <c r="A2433" t="s">
        <v>798</v>
      </c>
      <c r="B2433">
        <v>52201063</v>
      </c>
      <c r="C2433">
        <v>23710909</v>
      </c>
      <c r="D2433" t="s">
        <v>147</v>
      </c>
      <c r="E2433" t="s">
        <v>438</v>
      </c>
      <c r="F2433" t="s">
        <v>431</v>
      </c>
      <c r="G2433" t="s">
        <v>82</v>
      </c>
      <c r="H2433" t="s">
        <v>83</v>
      </c>
      <c r="J2433" t="s">
        <v>52</v>
      </c>
      <c r="K2433" s="15">
        <v>1000</v>
      </c>
      <c r="M2433">
        <v>45377</v>
      </c>
      <c r="N2433" t="s">
        <v>1013</v>
      </c>
      <c r="O2433">
        <v>0</v>
      </c>
      <c r="P2433">
        <v>0</v>
      </c>
      <c r="Q2433">
        <v>0</v>
      </c>
      <c r="R2433">
        <v>779.92678257604553</v>
      </c>
      <c r="S2433">
        <v>19812.769389468205</v>
      </c>
      <c r="T2433">
        <v>0</v>
      </c>
      <c r="U2433">
        <v>0</v>
      </c>
      <c r="V2433">
        <v>49966.73843998649</v>
      </c>
      <c r="W2433">
        <v>0</v>
      </c>
      <c r="X2433">
        <v>0</v>
      </c>
      <c r="Y2433">
        <v>70559.434612030745</v>
      </c>
      <c r="Z2433">
        <v>4884.5655480618298</v>
      </c>
      <c r="AA2433">
        <v>75444.000160092575</v>
      </c>
      <c r="AB2433" t="s">
        <v>242</v>
      </c>
      <c r="AC2433">
        <v>10</v>
      </c>
      <c r="AD2433">
        <v>10000</v>
      </c>
      <c r="AE2433">
        <v>0</v>
      </c>
      <c r="AF2433">
        <v>0</v>
      </c>
      <c r="AG2433">
        <v>646.93913530871339</v>
      </c>
      <c r="AH2433" t="s">
        <v>58</v>
      </c>
      <c r="AK2433" t="s">
        <v>798</v>
      </c>
      <c r="AL2433">
        <v>12200158</v>
      </c>
      <c r="AM2433">
        <v>27163703</v>
      </c>
      <c r="AN2433" t="s">
        <v>115</v>
      </c>
      <c r="AO2433" t="s">
        <v>438</v>
      </c>
      <c r="AP2433" t="s">
        <v>427</v>
      </c>
      <c r="AQ2433" t="s">
        <v>82</v>
      </c>
      <c r="AR2433" t="s">
        <v>82</v>
      </c>
      <c r="AT2433" t="s">
        <v>52</v>
      </c>
      <c r="AU2433">
        <v>3000</v>
      </c>
      <c r="AW2433">
        <v>45377</v>
      </c>
      <c r="AX2433" t="s">
        <v>1013</v>
      </c>
      <c r="AY2433">
        <v>0</v>
      </c>
      <c r="AZ2433">
        <v>0</v>
      </c>
      <c r="BA2433">
        <v>0</v>
      </c>
      <c r="BB2433">
        <v>0</v>
      </c>
      <c r="BC2433">
        <v>6164.4901276847468</v>
      </c>
      <c r="BD2433">
        <v>0</v>
      </c>
      <c r="BE2433">
        <v>0</v>
      </c>
      <c r="BF2433">
        <v>68571.057534246575</v>
      </c>
      <c r="BG2433">
        <v>0</v>
      </c>
      <c r="BH2433">
        <v>0</v>
      </c>
      <c r="BI2433">
        <v>74735.547661931327</v>
      </c>
      <c r="BJ2433">
        <v>0</v>
      </c>
      <c r="BK2433">
        <v>74735.547661931327</v>
      </c>
      <c r="BL2433" t="s">
        <v>242</v>
      </c>
      <c r="BM2433">
        <v>4</v>
      </c>
      <c r="BN2433">
        <v>9500</v>
      </c>
      <c r="BO2433">
        <v>0</v>
      </c>
      <c r="BP2433">
        <v>0</v>
      </c>
      <c r="BQ2433">
        <v>0</v>
      </c>
      <c r="BR2433" t="s">
        <v>58</v>
      </c>
    </row>
    <row r="2434" spans="1:70" x14ac:dyDescent="0.3">
      <c r="A2434" t="s">
        <v>798</v>
      </c>
      <c r="B2434">
        <v>52201478</v>
      </c>
      <c r="C2434">
        <v>27554409</v>
      </c>
      <c r="D2434" t="s">
        <v>158</v>
      </c>
      <c r="E2434" t="s">
        <v>438</v>
      </c>
      <c r="F2434" t="s">
        <v>431</v>
      </c>
      <c r="G2434" t="s">
        <v>82</v>
      </c>
      <c r="H2434" t="s">
        <v>83</v>
      </c>
      <c r="J2434" t="s">
        <v>52</v>
      </c>
      <c r="K2434" s="15">
        <v>1000</v>
      </c>
      <c r="M2434">
        <v>45377</v>
      </c>
      <c r="N2434" t="s">
        <v>1013</v>
      </c>
      <c r="O2434">
        <v>0</v>
      </c>
      <c r="P2434">
        <v>0</v>
      </c>
      <c r="Q2434">
        <v>0</v>
      </c>
      <c r="R2434">
        <v>836.93629306071671</v>
      </c>
      <c r="S2434">
        <v>3257.9064227325275</v>
      </c>
      <c r="T2434">
        <v>0</v>
      </c>
      <c r="U2434">
        <v>0</v>
      </c>
      <c r="V2434">
        <v>34714.115647688501</v>
      </c>
      <c r="W2434">
        <v>0</v>
      </c>
      <c r="X2434">
        <v>0</v>
      </c>
      <c r="Y2434">
        <v>38808.958363481746</v>
      </c>
      <c r="Z2434">
        <v>2658.0415449294724</v>
      </c>
      <c r="AA2434">
        <v>41466.999908411221</v>
      </c>
      <c r="AB2434" t="s">
        <v>242</v>
      </c>
      <c r="AC2434">
        <v>3</v>
      </c>
      <c r="AD2434">
        <v>2500</v>
      </c>
      <c r="AE2434">
        <v>0</v>
      </c>
      <c r="AF2434">
        <v>0</v>
      </c>
      <c r="AG2434">
        <v>160.01452384509366</v>
      </c>
      <c r="AH2434" t="s">
        <v>58</v>
      </c>
      <c r="AK2434" t="s">
        <v>798</v>
      </c>
      <c r="AL2434">
        <v>4132300240</v>
      </c>
      <c r="AM2434">
        <v>1040196923</v>
      </c>
      <c r="AN2434" t="s">
        <v>697</v>
      </c>
      <c r="AO2434" t="s">
        <v>441</v>
      </c>
      <c r="AP2434" t="s">
        <v>430</v>
      </c>
      <c r="AQ2434" t="s">
        <v>230</v>
      </c>
      <c r="AR2434" t="s">
        <v>231</v>
      </c>
      <c r="AT2434" t="s">
        <v>52</v>
      </c>
      <c r="AU2434">
        <v>50000</v>
      </c>
      <c r="AW2434">
        <v>45377</v>
      </c>
      <c r="AX2434" t="s">
        <v>1050</v>
      </c>
      <c r="AY2434">
        <v>0</v>
      </c>
      <c r="AZ2434">
        <v>4670.8839065275233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115064.74516093418</v>
      </c>
      <c r="BH2434">
        <v>0</v>
      </c>
      <c r="BI2434">
        <v>119735.6290674617</v>
      </c>
      <c r="BJ2434">
        <v>8054.5321612653934</v>
      </c>
      <c r="BK2434">
        <v>127790.1612287271</v>
      </c>
      <c r="BL2434" t="s">
        <v>242</v>
      </c>
      <c r="BM2434">
        <v>2</v>
      </c>
      <c r="BN2434">
        <v>100000</v>
      </c>
      <c r="BO2434">
        <v>0</v>
      </c>
      <c r="BP2434">
        <v>0</v>
      </c>
      <c r="BQ2434">
        <v>6277.8119016324199</v>
      </c>
      <c r="BR2434" t="s">
        <v>58</v>
      </c>
    </row>
    <row r="2435" spans="1:70" x14ac:dyDescent="0.3">
      <c r="A2435" t="s">
        <v>798</v>
      </c>
      <c r="B2435">
        <v>4132300240</v>
      </c>
      <c r="C2435">
        <v>1040196923</v>
      </c>
      <c r="D2435" t="s">
        <v>697</v>
      </c>
      <c r="E2435" t="s">
        <v>441</v>
      </c>
      <c r="F2435" t="s">
        <v>430</v>
      </c>
      <c r="G2435" t="s">
        <v>230</v>
      </c>
      <c r="H2435" t="s">
        <v>231</v>
      </c>
      <c r="J2435" t="s">
        <v>52</v>
      </c>
      <c r="K2435" s="15">
        <v>50000</v>
      </c>
      <c r="M2435">
        <v>45377</v>
      </c>
      <c r="N2435" t="s">
        <v>1050</v>
      </c>
      <c r="O2435">
        <v>0</v>
      </c>
      <c r="P2435">
        <v>4670.8839065275233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115064.74516093418</v>
      </c>
      <c r="X2435">
        <v>0</v>
      </c>
      <c r="Y2435">
        <v>119735.6290674617</v>
      </c>
      <c r="Z2435">
        <v>8054.5321612653934</v>
      </c>
      <c r="AA2435">
        <v>127790.1612287271</v>
      </c>
      <c r="AB2435" t="s">
        <v>242</v>
      </c>
      <c r="AC2435">
        <v>2</v>
      </c>
      <c r="AD2435">
        <v>100000</v>
      </c>
      <c r="AE2435">
        <v>0</v>
      </c>
      <c r="AF2435">
        <v>0</v>
      </c>
      <c r="AG2435">
        <v>6277.8119016324199</v>
      </c>
      <c r="AH2435" t="s">
        <v>58</v>
      </c>
      <c r="AK2435" t="s">
        <v>798</v>
      </c>
      <c r="AL2435">
        <v>4132300266</v>
      </c>
      <c r="AM2435">
        <v>1100168312</v>
      </c>
      <c r="AN2435" t="s">
        <v>173</v>
      </c>
      <c r="AO2435" t="s">
        <v>441</v>
      </c>
      <c r="AP2435" t="s">
        <v>430</v>
      </c>
      <c r="AQ2435" t="s">
        <v>235</v>
      </c>
      <c r="AR2435" t="s">
        <v>236</v>
      </c>
      <c r="AT2435" t="s">
        <v>52</v>
      </c>
      <c r="AU2435">
        <v>2000</v>
      </c>
      <c r="AW2435">
        <v>45377</v>
      </c>
      <c r="AX2435" t="s">
        <v>1013</v>
      </c>
      <c r="AY2435">
        <v>0</v>
      </c>
      <c r="AZ2435">
        <v>0</v>
      </c>
      <c r="BA2435">
        <v>0</v>
      </c>
      <c r="BB2435">
        <v>0</v>
      </c>
      <c r="BC2435">
        <v>81264.624003071469</v>
      </c>
      <c r="BD2435">
        <v>0</v>
      </c>
      <c r="BE2435">
        <v>0</v>
      </c>
      <c r="BF2435">
        <v>212401.7724718446</v>
      </c>
      <c r="BG2435">
        <v>0</v>
      </c>
      <c r="BH2435">
        <v>0</v>
      </c>
      <c r="BI2435">
        <v>293666.39647491608</v>
      </c>
      <c r="BJ2435">
        <v>14868.124073029123</v>
      </c>
      <c r="BK2435">
        <v>308534.52054794523</v>
      </c>
      <c r="BL2435" t="s">
        <v>242</v>
      </c>
      <c r="BM2435">
        <v>5</v>
      </c>
      <c r="BN2435">
        <v>10000</v>
      </c>
      <c r="BO2435">
        <v>0</v>
      </c>
      <c r="BP2435">
        <v>0</v>
      </c>
      <c r="BQ2435">
        <v>472.99742229797948</v>
      </c>
      <c r="BR2435" t="s">
        <v>58</v>
      </c>
    </row>
    <row r="2436" spans="1:70" x14ac:dyDescent="0.3">
      <c r="A2436" t="s">
        <v>798</v>
      </c>
      <c r="B2436">
        <v>4132300266</v>
      </c>
      <c r="C2436">
        <v>1100168312</v>
      </c>
      <c r="D2436" t="s">
        <v>173</v>
      </c>
      <c r="E2436" t="s">
        <v>441</v>
      </c>
      <c r="F2436" t="s">
        <v>430</v>
      </c>
      <c r="G2436" t="s">
        <v>235</v>
      </c>
      <c r="H2436" t="s">
        <v>236</v>
      </c>
      <c r="J2436" t="s">
        <v>52</v>
      </c>
      <c r="K2436" s="15">
        <v>2000</v>
      </c>
      <c r="M2436">
        <v>45377</v>
      </c>
      <c r="N2436" t="s">
        <v>1013</v>
      </c>
      <c r="O2436">
        <v>0</v>
      </c>
      <c r="P2436">
        <v>0</v>
      </c>
      <c r="Q2436">
        <v>0</v>
      </c>
      <c r="R2436">
        <v>0</v>
      </c>
      <c r="S2436">
        <v>81264.624003071469</v>
      </c>
      <c r="T2436">
        <v>0</v>
      </c>
      <c r="U2436">
        <v>0</v>
      </c>
      <c r="V2436">
        <v>212401.7724718446</v>
      </c>
      <c r="W2436">
        <v>0</v>
      </c>
      <c r="X2436">
        <v>0</v>
      </c>
      <c r="Y2436">
        <v>293666.39647491608</v>
      </c>
      <c r="Z2436">
        <v>14868.124073029123</v>
      </c>
      <c r="AA2436">
        <v>308534.52054794523</v>
      </c>
      <c r="AB2436" t="s">
        <v>242</v>
      </c>
      <c r="AC2436">
        <v>5</v>
      </c>
      <c r="AD2436">
        <v>10000</v>
      </c>
      <c r="AE2436">
        <v>0</v>
      </c>
      <c r="AF2436">
        <v>0</v>
      </c>
      <c r="AG2436">
        <v>472.99742229797948</v>
      </c>
      <c r="AH2436" t="s">
        <v>58</v>
      </c>
      <c r="AK2436" t="s">
        <v>798</v>
      </c>
      <c r="AL2436">
        <v>52201063</v>
      </c>
      <c r="AM2436">
        <v>23710909</v>
      </c>
      <c r="AN2436" t="s">
        <v>147</v>
      </c>
      <c r="AO2436" t="s">
        <v>438</v>
      </c>
      <c r="AP2436" t="s">
        <v>431</v>
      </c>
      <c r="AQ2436" t="s">
        <v>82</v>
      </c>
      <c r="AR2436" t="s">
        <v>83</v>
      </c>
      <c r="AT2436" t="s">
        <v>52</v>
      </c>
      <c r="AU2436">
        <v>1000</v>
      </c>
      <c r="AW2436">
        <v>45377</v>
      </c>
      <c r="AX2436" t="s">
        <v>1013</v>
      </c>
      <c r="AY2436">
        <v>0</v>
      </c>
      <c r="AZ2436">
        <v>0</v>
      </c>
      <c r="BA2436">
        <v>0</v>
      </c>
      <c r="BB2436">
        <v>779.92678257604553</v>
      </c>
      <c r="BC2436">
        <v>19812.769389468205</v>
      </c>
      <c r="BD2436">
        <v>0</v>
      </c>
      <c r="BE2436">
        <v>0</v>
      </c>
      <c r="BF2436">
        <v>49966.73843998649</v>
      </c>
      <c r="BG2436">
        <v>0</v>
      </c>
      <c r="BH2436">
        <v>0</v>
      </c>
      <c r="BI2436">
        <v>70559.434612030745</v>
      </c>
      <c r="BJ2436">
        <v>4884.5655480618298</v>
      </c>
      <c r="BK2436">
        <v>75444.000160092575</v>
      </c>
      <c r="BL2436" t="s">
        <v>242</v>
      </c>
      <c r="BM2436">
        <v>10</v>
      </c>
      <c r="BN2436">
        <v>10000</v>
      </c>
      <c r="BO2436">
        <v>0</v>
      </c>
      <c r="BP2436">
        <v>0</v>
      </c>
      <c r="BQ2436">
        <v>646.93913530871339</v>
      </c>
      <c r="BR2436" t="s">
        <v>58</v>
      </c>
    </row>
    <row r="2437" spans="1:70" x14ac:dyDescent="0.3">
      <c r="A2437" t="s">
        <v>798</v>
      </c>
      <c r="B2437">
        <v>4132301147</v>
      </c>
      <c r="C2437">
        <v>3100025875</v>
      </c>
      <c r="D2437" t="s">
        <v>180</v>
      </c>
      <c r="E2437" t="s">
        <v>441</v>
      </c>
      <c r="F2437" t="s">
        <v>430</v>
      </c>
      <c r="G2437" t="s">
        <v>233</v>
      </c>
      <c r="H2437" t="s">
        <v>231</v>
      </c>
      <c r="J2437" t="s">
        <v>416</v>
      </c>
      <c r="K2437" s="15">
        <v>0.19937369110766692</v>
      </c>
      <c r="M2437">
        <v>45377</v>
      </c>
      <c r="N2437" t="s">
        <v>1016</v>
      </c>
      <c r="O2437">
        <v>0</v>
      </c>
      <c r="P2437">
        <v>0</v>
      </c>
      <c r="Q2437">
        <v>0</v>
      </c>
      <c r="R2437">
        <v>0</v>
      </c>
      <c r="S2437">
        <v>579.33753040483714</v>
      </c>
      <c r="T2437">
        <v>517.87335473943529</v>
      </c>
      <c r="U2437">
        <v>0</v>
      </c>
      <c r="V2437">
        <v>0</v>
      </c>
      <c r="W2437">
        <v>0</v>
      </c>
      <c r="X2437">
        <v>0</v>
      </c>
      <c r="Y2437">
        <v>1097.2108851442724</v>
      </c>
      <c r="Z2437">
        <v>36.251134831760474</v>
      </c>
      <c r="AA2437">
        <v>1133.4620199760329</v>
      </c>
      <c r="AB2437" t="s">
        <v>242</v>
      </c>
      <c r="AC2437">
        <v>8</v>
      </c>
      <c r="AD2437">
        <v>8000</v>
      </c>
      <c r="AE2437">
        <v>0</v>
      </c>
      <c r="AF2437">
        <v>0</v>
      </c>
      <c r="AG2437">
        <v>232.75891252387163</v>
      </c>
      <c r="AH2437" t="s">
        <v>58</v>
      </c>
      <c r="AK2437" t="s">
        <v>798</v>
      </c>
      <c r="AL2437">
        <v>4132301740</v>
      </c>
      <c r="AM2437" t="s">
        <v>686</v>
      </c>
      <c r="AN2437" t="s">
        <v>959</v>
      </c>
      <c r="AO2437" t="s">
        <v>442</v>
      </c>
      <c r="AP2437" t="s">
        <v>430</v>
      </c>
      <c r="AQ2437" t="s">
        <v>230</v>
      </c>
      <c r="AR2437" t="s">
        <v>231</v>
      </c>
      <c r="AT2437" t="s">
        <v>52</v>
      </c>
      <c r="AU2437">
        <v>3000</v>
      </c>
      <c r="AW2437">
        <v>45377</v>
      </c>
      <c r="AX2437" t="s">
        <v>1013</v>
      </c>
      <c r="AY2437">
        <v>0</v>
      </c>
      <c r="AZ2437">
        <v>11572.357501552784</v>
      </c>
      <c r="BA2437">
        <v>0</v>
      </c>
      <c r="BB2437">
        <v>0</v>
      </c>
      <c r="BC2437">
        <v>25539.360000000001</v>
      </c>
      <c r="BD2437">
        <v>29838.918222847868</v>
      </c>
      <c r="BE2437">
        <v>13084.11214953271</v>
      </c>
      <c r="BF2437">
        <v>0</v>
      </c>
      <c r="BG2437">
        <v>280373.83177570091</v>
      </c>
      <c r="BH2437">
        <v>0</v>
      </c>
      <c r="BI2437">
        <v>360408.57964963425</v>
      </c>
      <c r="BJ2437">
        <v>22630.780350365705</v>
      </c>
      <c r="BK2437">
        <v>383039.36</v>
      </c>
      <c r="BL2437" t="s">
        <v>242</v>
      </c>
      <c r="BM2437">
        <v>3</v>
      </c>
      <c r="BN2437">
        <v>9000</v>
      </c>
      <c r="BO2437">
        <v>0</v>
      </c>
      <c r="BP2437">
        <v>0</v>
      </c>
      <c r="BQ2437">
        <v>528.09815430719118</v>
      </c>
      <c r="BR2437" t="s">
        <v>58</v>
      </c>
    </row>
    <row r="2438" spans="1:70" x14ac:dyDescent="0.3">
      <c r="A2438" t="s">
        <v>798</v>
      </c>
      <c r="B2438">
        <v>4132301740</v>
      </c>
      <c r="C2438" t="s">
        <v>686</v>
      </c>
      <c r="D2438" t="s">
        <v>959</v>
      </c>
      <c r="E2438" t="s">
        <v>442</v>
      </c>
      <c r="F2438" t="s">
        <v>430</v>
      </c>
      <c r="G2438" t="s">
        <v>230</v>
      </c>
      <c r="H2438" t="s">
        <v>231</v>
      </c>
      <c r="J2438" t="s">
        <v>52</v>
      </c>
      <c r="K2438" s="15">
        <v>3000</v>
      </c>
      <c r="M2438">
        <v>45377</v>
      </c>
      <c r="N2438" t="s">
        <v>1013</v>
      </c>
      <c r="O2438">
        <v>0</v>
      </c>
      <c r="P2438">
        <v>11572.357501552784</v>
      </c>
      <c r="Q2438">
        <v>0</v>
      </c>
      <c r="R2438">
        <v>0</v>
      </c>
      <c r="S2438">
        <v>25539.360000000001</v>
      </c>
      <c r="T2438">
        <v>29838.918222847868</v>
      </c>
      <c r="U2438">
        <v>13084.11214953271</v>
      </c>
      <c r="V2438">
        <v>0</v>
      </c>
      <c r="W2438">
        <v>280373.83177570091</v>
      </c>
      <c r="X2438">
        <v>0</v>
      </c>
      <c r="Y2438">
        <v>360408.57964963425</v>
      </c>
      <c r="Z2438">
        <v>22630.780350365705</v>
      </c>
      <c r="AA2438">
        <v>383039.36</v>
      </c>
      <c r="AB2438" t="s">
        <v>242</v>
      </c>
      <c r="AC2438">
        <v>3</v>
      </c>
      <c r="AD2438">
        <v>9000</v>
      </c>
      <c r="AE2438">
        <v>0</v>
      </c>
      <c r="AF2438">
        <v>0</v>
      </c>
      <c r="AG2438">
        <v>528.09815430719118</v>
      </c>
      <c r="AH2438" t="s">
        <v>58</v>
      </c>
      <c r="AK2438" t="s">
        <v>798</v>
      </c>
      <c r="AL2438">
        <v>4142300513</v>
      </c>
      <c r="AM2438">
        <v>10222706</v>
      </c>
      <c r="AN2438" t="s">
        <v>200</v>
      </c>
      <c r="AO2438" t="s">
        <v>445</v>
      </c>
      <c r="AP2438" t="s">
        <v>430</v>
      </c>
      <c r="AQ2438" t="s">
        <v>230</v>
      </c>
      <c r="AR2438" t="s">
        <v>234</v>
      </c>
      <c r="AT2438" t="s">
        <v>52</v>
      </c>
      <c r="AU2438">
        <v>4000</v>
      </c>
      <c r="AW2438">
        <v>45377</v>
      </c>
      <c r="AX2438" t="s">
        <v>1029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371089.13084112148</v>
      </c>
      <c r="BI2438">
        <v>371089.13084112148</v>
      </c>
      <c r="BJ2438">
        <v>25976.239158878507</v>
      </c>
      <c r="BK2438">
        <v>397065.37</v>
      </c>
      <c r="BL2438" t="s">
        <v>242</v>
      </c>
      <c r="BM2438">
        <v>5</v>
      </c>
      <c r="BN2438">
        <v>59000</v>
      </c>
      <c r="BO2438">
        <v>0</v>
      </c>
      <c r="BP2438">
        <v>0</v>
      </c>
      <c r="BQ2438">
        <v>3859.8130841121501</v>
      </c>
      <c r="BR2438" t="s">
        <v>58</v>
      </c>
    </row>
    <row r="2439" spans="1:70" x14ac:dyDescent="0.3">
      <c r="A2439" t="s">
        <v>798</v>
      </c>
      <c r="B2439">
        <v>4142300513</v>
      </c>
      <c r="C2439">
        <v>10222706</v>
      </c>
      <c r="D2439" t="s">
        <v>200</v>
      </c>
      <c r="E2439" t="s">
        <v>445</v>
      </c>
      <c r="F2439" t="s">
        <v>430</v>
      </c>
      <c r="G2439" t="s">
        <v>230</v>
      </c>
      <c r="H2439" t="s">
        <v>234</v>
      </c>
      <c r="J2439" t="s">
        <v>52</v>
      </c>
      <c r="K2439" s="15">
        <v>4000</v>
      </c>
      <c r="M2439">
        <v>45377</v>
      </c>
      <c r="N2439" t="s">
        <v>1029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371089.13084112148</v>
      </c>
      <c r="Y2439">
        <v>371089.13084112148</v>
      </c>
      <c r="Z2439">
        <v>25976.239158878507</v>
      </c>
      <c r="AA2439">
        <v>397065.37</v>
      </c>
      <c r="AB2439" t="s">
        <v>242</v>
      </c>
      <c r="AC2439">
        <v>5</v>
      </c>
      <c r="AD2439">
        <v>59000</v>
      </c>
      <c r="AE2439">
        <v>0</v>
      </c>
      <c r="AF2439">
        <v>0</v>
      </c>
      <c r="AG2439">
        <v>3859.8130841121501</v>
      </c>
      <c r="AH2439" t="s">
        <v>58</v>
      </c>
      <c r="AK2439" t="s">
        <v>798</v>
      </c>
      <c r="AL2439">
        <v>4142301217</v>
      </c>
      <c r="AM2439">
        <v>10151131</v>
      </c>
      <c r="AN2439" t="s">
        <v>749</v>
      </c>
      <c r="AO2439" t="s">
        <v>446</v>
      </c>
      <c r="AP2439" t="s">
        <v>430</v>
      </c>
      <c r="AQ2439" t="s">
        <v>230</v>
      </c>
      <c r="AR2439" t="s">
        <v>234</v>
      </c>
      <c r="AT2439" t="s">
        <v>52</v>
      </c>
      <c r="AU2439">
        <v>1000</v>
      </c>
      <c r="AW2439">
        <v>45377</v>
      </c>
      <c r="AX2439" t="s">
        <v>1013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478153.46728971967</v>
      </c>
      <c r="BI2439">
        <v>478153.46728971967</v>
      </c>
      <c r="BJ2439">
        <v>33470.742710280378</v>
      </c>
      <c r="BK2439">
        <v>511624.21000000008</v>
      </c>
      <c r="BL2439" t="s">
        <v>242</v>
      </c>
      <c r="BM2439">
        <v>3</v>
      </c>
      <c r="BN2439">
        <v>7000</v>
      </c>
      <c r="BO2439">
        <v>0</v>
      </c>
      <c r="BP2439">
        <v>0</v>
      </c>
      <c r="BQ2439">
        <v>457.94392523364468</v>
      </c>
      <c r="BR2439" t="s">
        <v>58</v>
      </c>
    </row>
    <row r="2440" spans="1:70" x14ac:dyDescent="0.3">
      <c r="A2440" t="s">
        <v>798</v>
      </c>
      <c r="B2440">
        <v>4142300602</v>
      </c>
      <c r="C2440">
        <v>10263779</v>
      </c>
      <c r="D2440" t="s">
        <v>785</v>
      </c>
      <c r="E2440" t="s">
        <v>445</v>
      </c>
      <c r="F2440" t="s">
        <v>430</v>
      </c>
      <c r="G2440" t="s">
        <v>237</v>
      </c>
      <c r="H2440" t="s">
        <v>234</v>
      </c>
      <c r="J2440" t="s">
        <v>450</v>
      </c>
      <c r="K2440" s="15">
        <v>10000</v>
      </c>
      <c r="M2440">
        <v>45377</v>
      </c>
      <c r="N2440" t="s">
        <v>1031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1357916.8234541032</v>
      </c>
      <c r="Y2440">
        <v>1357916.8234541032</v>
      </c>
      <c r="Z2440">
        <v>95054.177641787232</v>
      </c>
      <c r="AA2440">
        <v>1452971.0010958905</v>
      </c>
      <c r="AB2440" t="s">
        <v>242</v>
      </c>
      <c r="AC2440">
        <v>0</v>
      </c>
      <c r="AD2440">
        <v>0</v>
      </c>
      <c r="AE2440">
        <v>0</v>
      </c>
      <c r="AF2440">
        <v>10000</v>
      </c>
      <c r="AG2440">
        <v>654.20560747663512</v>
      </c>
      <c r="AH2440" t="s">
        <v>72</v>
      </c>
      <c r="AK2440" t="s">
        <v>798</v>
      </c>
      <c r="AL2440">
        <v>4142301476</v>
      </c>
      <c r="AM2440">
        <v>10527682</v>
      </c>
      <c r="AN2440" t="s">
        <v>783</v>
      </c>
      <c r="AO2440" t="s">
        <v>446</v>
      </c>
      <c r="AP2440" t="s">
        <v>430</v>
      </c>
      <c r="AQ2440" t="s">
        <v>230</v>
      </c>
      <c r="AR2440" t="s">
        <v>234</v>
      </c>
      <c r="AT2440" t="s">
        <v>52</v>
      </c>
      <c r="AU2440">
        <v>5000</v>
      </c>
      <c r="AW2440">
        <v>45377</v>
      </c>
      <c r="AX2440" t="s">
        <v>1029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409262.57009345799</v>
      </c>
      <c r="BI2440">
        <v>409262.57009345799</v>
      </c>
      <c r="BJ2440">
        <v>28648.379906542061</v>
      </c>
      <c r="BK2440">
        <v>437910.95000000007</v>
      </c>
      <c r="BL2440" t="s">
        <v>242</v>
      </c>
      <c r="BM2440">
        <v>2</v>
      </c>
      <c r="BN2440">
        <v>25000</v>
      </c>
      <c r="BO2440">
        <v>0</v>
      </c>
      <c r="BP2440">
        <v>0</v>
      </c>
      <c r="BQ2440">
        <v>1635.5140186915878</v>
      </c>
      <c r="BR2440" t="s">
        <v>58</v>
      </c>
    </row>
    <row r="2441" spans="1:70" x14ac:dyDescent="0.3">
      <c r="A2441" t="s">
        <v>798</v>
      </c>
      <c r="B2441">
        <v>4142301217</v>
      </c>
      <c r="C2441">
        <v>10151131</v>
      </c>
      <c r="D2441" t="s">
        <v>749</v>
      </c>
      <c r="E2441" t="s">
        <v>446</v>
      </c>
      <c r="F2441" t="s">
        <v>430</v>
      </c>
      <c r="G2441" t="s">
        <v>230</v>
      </c>
      <c r="H2441" t="s">
        <v>234</v>
      </c>
      <c r="J2441" t="s">
        <v>52</v>
      </c>
      <c r="K2441" s="15">
        <v>1000</v>
      </c>
      <c r="M2441">
        <v>45377</v>
      </c>
      <c r="N2441" t="s">
        <v>1013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478153.46728971967</v>
      </c>
      <c r="Y2441">
        <v>478153.46728971967</v>
      </c>
      <c r="Z2441">
        <v>33470.742710280378</v>
      </c>
      <c r="AA2441">
        <v>511624.21000000008</v>
      </c>
      <c r="AB2441" t="s">
        <v>242</v>
      </c>
      <c r="AC2441">
        <v>3</v>
      </c>
      <c r="AD2441">
        <v>7000</v>
      </c>
      <c r="AE2441">
        <v>0</v>
      </c>
      <c r="AF2441">
        <v>0</v>
      </c>
      <c r="AG2441">
        <v>457.94392523364468</v>
      </c>
      <c r="AH2441" t="s">
        <v>58</v>
      </c>
      <c r="AK2441" t="s">
        <v>798</v>
      </c>
      <c r="AL2441">
        <v>4142301533</v>
      </c>
      <c r="AM2441">
        <v>10583950</v>
      </c>
      <c r="AN2441" t="s">
        <v>759</v>
      </c>
      <c r="AO2441" t="s">
        <v>446</v>
      </c>
      <c r="AP2441" t="s">
        <v>430</v>
      </c>
      <c r="AQ2441" t="s">
        <v>230</v>
      </c>
      <c r="AR2441" t="s">
        <v>234</v>
      </c>
      <c r="AT2441" t="s">
        <v>52</v>
      </c>
      <c r="AU2441">
        <v>5000</v>
      </c>
      <c r="AW2441">
        <v>45377</v>
      </c>
      <c r="AX2441" t="s">
        <v>1029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320571.88785046729</v>
      </c>
      <c r="BI2441">
        <v>320571.88785046729</v>
      </c>
      <c r="BJ2441">
        <v>22440.032149532712</v>
      </c>
      <c r="BK2441">
        <v>343011.92</v>
      </c>
      <c r="BL2441" t="s">
        <v>242</v>
      </c>
      <c r="BM2441">
        <v>3</v>
      </c>
      <c r="BN2441">
        <v>15000</v>
      </c>
      <c r="BO2441">
        <v>0</v>
      </c>
      <c r="BP2441">
        <v>0</v>
      </c>
      <c r="BQ2441">
        <v>981.30841121495268</v>
      </c>
      <c r="BR2441" t="s">
        <v>58</v>
      </c>
    </row>
    <row r="2442" spans="1:70" x14ac:dyDescent="0.3">
      <c r="A2442" t="s">
        <v>798</v>
      </c>
      <c r="B2442">
        <v>4142301476</v>
      </c>
      <c r="C2442">
        <v>10527682</v>
      </c>
      <c r="D2442" t="s">
        <v>783</v>
      </c>
      <c r="E2442" t="s">
        <v>446</v>
      </c>
      <c r="F2442" t="s">
        <v>430</v>
      </c>
      <c r="G2442" t="s">
        <v>230</v>
      </c>
      <c r="H2442" t="s">
        <v>234</v>
      </c>
      <c r="J2442" t="s">
        <v>52</v>
      </c>
      <c r="K2442" s="15">
        <v>5000</v>
      </c>
      <c r="M2442">
        <v>45377</v>
      </c>
      <c r="N2442" t="s">
        <v>1029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409262.57009345799</v>
      </c>
      <c r="Y2442">
        <v>409262.57009345799</v>
      </c>
      <c r="Z2442">
        <v>28648.379906542061</v>
      </c>
      <c r="AA2442">
        <v>437910.95000000007</v>
      </c>
      <c r="AB2442" t="s">
        <v>242</v>
      </c>
      <c r="AC2442">
        <v>2</v>
      </c>
      <c r="AD2442">
        <v>25000</v>
      </c>
      <c r="AE2442">
        <v>0</v>
      </c>
      <c r="AF2442">
        <v>0</v>
      </c>
      <c r="AG2442">
        <v>1635.5140186915878</v>
      </c>
      <c r="AH2442" t="s">
        <v>58</v>
      </c>
      <c r="AK2442" t="s">
        <v>798</v>
      </c>
      <c r="AL2442">
        <v>4142301595</v>
      </c>
      <c r="AM2442">
        <v>10644724</v>
      </c>
      <c r="AN2442" t="s">
        <v>218</v>
      </c>
      <c r="AO2442" t="s">
        <v>446</v>
      </c>
      <c r="AP2442" t="s">
        <v>430</v>
      </c>
      <c r="AQ2442" t="s">
        <v>230</v>
      </c>
      <c r="AR2442" t="s">
        <v>234</v>
      </c>
      <c r="AT2442" t="s">
        <v>52</v>
      </c>
      <c r="AU2442">
        <v>500</v>
      </c>
      <c r="AW2442">
        <v>45377</v>
      </c>
      <c r="AX2442" t="s">
        <v>1013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660168.2242990653</v>
      </c>
      <c r="BI2442">
        <v>660168.2242990653</v>
      </c>
      <c r="BJ2442">
        <v>46211.775700934573</v>
      </c>
      <c r="BK2442">
        <v>706379.99999999988</v>
      </c>
      <c r="BL2442" t="s">
        <v>242</v>
      </c>
      <c r="BM2442">
        <v>2</v>
      </c>
      <c r="BN2442">
        <v>1500</v>
      </c>
      <c r="BO2442">
        <v>0</v>
      </c>
      <c r="BP2442">
        <v>0</v>
      </c>
      <c r="BQ2442">
        <v>98.130841121495337</v>
      </c>
      <c r="BR2442" t="s">
        <v>58</v>
      </c>
    </row>
    <row r="2443" spans="1:70" x14ac:dyDescent="0.3">
      <c r="A2443" t="s">
        <v>798</v>
      </c>
      <c r="B2443">
        <v>4142301533</v>
      </c>
      <c r="C2443">
        <v>10583950</v>
      </c>
      <c r="D2443" t="s">
        <v>759</v>
      </c>
      <c r="E2443" t="s">
        <v>446</v>
      </c>
      <c r="F2443" t="s">
        <v>430</v>
      </c>
      <c r="G2443" t="s">
        <v>230</v>
      </c>
      <c r="H2443" t="s">
        <v>234</v>
      </c>
      <c r="J2443" t="s">
        <v>52</v>
      </c>
      <c r="K2443" s="15">
        <v>5000</v>
      </c>
      <c r="M2443">
        <v>45377</v>
      </c>
      <c r="N2443" t="s">
        <v>1029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320571.88785046729</v>
      </c>
      <c r="Y2443">
        <v>320571.88785046729</v>
      </c>
      <c r="Z2443">
        <v>22440.032149532712</v>
      </c>
      <c r="AA2443">
        <v>343011.92</v>
      </c>
      <c r="AB2443" t="s">
        <v>242</v>
      </c>
      <c r="AC2443">
        <v>3</v>
      </c>
      <c r="AD2443">
        <v>15000</v>
      </c>
      <c r="AE2443">
        <v>0</v>
      </c>
      <c r="AF2443">
        <v>0</v>
      </c>
      <c r="AG2443">
        <v>981.30841121495268</v>
      </c>
      <c r="AH2443" t="s">
        <v>58</v>
      </c>
      <c r="AK2443" t="s">
        <v>798</v>
      </c>
      <c r="AL2443">
        <v>4142301595</v>
      </c>
      <c r="AM2443">
        <v>10644724</v>
      </c>
      <c r="AN2443" t="s">
        <v>218</v>
      </c>
      <c r="AO2443" t="s">
        <v>446</v>
      </c>
      <c r="AP2443" t="s">
        <v>430</v>
      </c>
      <c r="AQ2443" t="s">
        <v>230</v>
      </c>
      <c r="AR2443" t="s">
        <v>234</v>
      </c>
      <c r="AT2443" t="s">
        <v>52</v>
      </c>
      <c r="AU2443">
        <v>2500</v>
      </c>
      <c r="AW2443">
        <v>45377</v>
      </c>
      <c r="AX2443" t="s">
        <v>1013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657831.77570093446</v>
      </c>
      <c r="BI2443">
        <v>657831.77570093446</v>
      </c>
      <c r="BJ2443">
        <v>46048.224299065419</v>
      </c>
      <c r="BK2443">
        <v>703879.99999999988</v>
      </c>
      <c r="BL2443" t="s">
        <v>242</v>
      </c>
      <c r="BM2443">
        <v>3</v>
      </c>
      <c r="BN2443">
        <v>4000</v>
      </c>
      <c r="BO2443">
        <v>0</v>
      </c>
      <c r="BP2443">
        <v>0</v>
      </c>
      <c r="BQ2443">
        <v>261.68224299065412</v>
      </c>
      <c r="BR2443" t="s">
        <v>58</v>
      </c>
    </row>
    <row r="2444" spans="1:70" x14ac:dyDescent="0.3">
      <c r="A2444" t="s">
        <v>798</v>
      </c>
      <c r="B2444">
        <v>4142301595</v>
      </c>
      <c r="C2444">
        <v>10644724</v>
      </c>
      <c r="D2444" t="s">
        <v>218</v>
      </c>
      <c r="E2444" t="s">
        <v>446</v>
      </c>
      <c r="F2444" t="s">
        <v>430</v>
      </c>
      <c r="G2444" t="s">
        <v>230</v>
      </c>
      <c r="H2444" t="s">
        <v>234</v>
      </c>
      <c r="J2444" t="s">
        <v>52</v>
      </c>
      <c r="K2444" s="15">
        <v>500</v>
      </c>
      <c r="M2444">
        <v>45377</v>
      </c>
      <c r="N2444" t="s">
        <v>1013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660168.2242990653</v>
      </c>
      <c r="Y2444">
        <v>660168.2242990653</v>
      </c>
      <c r="Z2444">
        <v>46211.775700934573</v>
      </c>
      <c r="AA2444">
        <v>706379.99999999988</v>
      </c>
      <c r="AB2444" t="s">
        <v>242</v>
      </c>
      <c r="AC2444">
        <v>2</v>
      </c>
      <c r="AD2444">
        <v>1500</v>
      </c>
      <c r="AE2444">
        <v>0</v>
      </c>
      <c r="AF2444">
        <v>0</v>
      </c>
      <c r="AG2444">
        <v>98.130841121495337</v>
      </c>
      <c r="AH2444" t="s">
        <v>58</v>
      </c>
      <c r="AK2444" t="s">
        <v>798</v>
      </c>
      <c r="AL2444">
        <v>52201478</v>
      </c>
      <c r="AM2444">
        <v>27554409</v>
      </c>
      <c r="AN2444" t="s">
        <v>158</v>
      </c>
      <c r="AO2444" t="s">
        <v>438</v>
      </c>
      <c r="AP2444" t="s">
        <v>431</v>
      </c>
      <c r="AQ2444" t="s">
        <v>82</v>
      </c>
      <c r="AR2444" t="s">
        <v>83</v>
      </c>
      <c r="AT2444" t="s">
        <v>52</v>
      </c>
      <c r="AU2444">
        <v>1000</v>
      </c>
      <c r="AW2444">
        <v>45377</v>
      </c>
      <c r="AX2444" t="s">
        <v>1013</v>
      </c>
      <c r="AY2444">
        <v>0</v>
      </c>
      <c r="AZ2444">
        <v>0</v>
      </c>
      <c r="BA2444">
        <v>0</v>
      </c>
      <c r="BB2444">
        <v>836.93629306071671</v>
      </c>
      <c r="BC2444">
        <v>3257.9064227325275</v>
      </c>
      <c r="BD2444">
        <v>0</v>
      </c>
      <c r="BE2444">
        <v>0</v>
      </c>
      <c r="BF2444">
        <v>34714.115647688501</v>
      </c>
      <c r="BG2444">
        <v>0</v>
      </c>
      <c r="BH2444">
        <v>0</v>
      </c>
      <c r="BI2444">
        <v>38808.958363481746</v>
      </c>
      <c r="BJ2444">
        <v>2658.0415449294724</v>
      </c>
      <c r="BK2444">
        <v>41466.999908411221</v>
      </c>
      <c r="BL2444" t="s">
        <v>242</v>
      </c>
      <c r="BM2444">
        <v>3</v>
      </c>
      <c r="BN2444">
        <v>2500</v>
      </c>
      <c r="BO2444">
        <v>0</v>
      </c>
      <c r="BP2444">
        <v>0</v>
      </c>
      <c r="BQ2444">
        <v>160.01452384509366</v>
      </c>
      <c r="BR2444" t="s">
        <v>58</v>
      </c>
    </row>
    <row r="2445" spans="1:70" x14ac:dyDescent="0.3">
      <c r="A2445" t="s">
        <v>798</v>
      </c>
      <c r="B2445">
        <v>4142301595</v>
      </c>
      <c r="C2445">
        <v>10644724</v>
      </c>
      <c r="D2445" t="s">
        <v>218</v>
      </c>
      <c r="E2445" t="s">
        <v>446</v>
      </c>
      <c r="F2445" t="s">
        <v>430</v>
      </c>
      <c r="G2445" t="s">
        <v>230</v>
      </c>
      <c r="H2445" t="s">
        <v>234</v>
      </c>
      <c r="J2445" t="s">
        <v>52</v>
      </c>
      <c r="K2445" s="15">
        <v>2500</v>
      </c>
      <c r="M2445">
        <v>45377</v>
      </c>
      <c r="N2445" t="s">
        <v>1013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657831.77570093446</v>
      </c>
      <c r="Y2445">
        <v>657831.77570093446</v>
      </c>
      <c r="Z2445">
        <v>46048.224299065419</v>
      </c>
      <c r="AA2445">
        <v>703879.99999999988</v>
      </c>
      <c r="AB2445" t="s">
        <v>242</v>
      </c>
      <c r="AC2445">
        <v>3</v>
      </c>
      <c r="AD2445">
        <v>4000</v>
      </c>
      <c r="AE2445">
        <v>0</v>
      </c>
      <c r="AF2445">
        <v>0</v>
      </c>
      <c r="AG2445">
        <v>261.68224299065412</v>
      </c>
      <c r="AH2445" t="s">
        <v>58</v>
      </c>
      <c r="AK2445" t="s">
        <v>798</v>
      </c>
      <c r="AL2445">
        <v>4142300602</v>
      </c>
      <c r="AM2445">
        <v>10263779</v>
      </c>
      <c r="AN2445" t="s">
        <v>785</v>
      </c>
      <c r="AO2445" t="s">
        <v>445</v>
      </c>
      <c r="AP2445" t="s">
        <v>430</v>
      </c>
      <c r="AQ2445" t="s">
        <v>237</v>
      </c>
      <c r="AR2445" t="s">
        <v>234</v>
      </c>
      <c r="AT2445" t="s">
        <v>450</v>
      </c>
      <c r="AU2445">
        <v>10000</v>
      </c>
      <c r="AW2445">
        <v>45377</v>
      </c>
      <c r="AX2445" t="s">
        <v>1031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1357916.8234541032</v>
      </c>
      <c r="BI2445">
        <v>1357916.8234541032</v>
      </c>
      <c r="BJ2445">
        <v>95054.177641787232</v>
      </c>
      <c r="BK2445">
        <v>1452971.0010958905</v>
      </c>
      <c r="BL2445" t="s">
        <v>242</v>
      </c>
      <c r="BM2445">
        <v>0</v>
      </c>
      <c r="BN2445">
        <v>0</v>
      </c>
      <c r="BO2445">
        <v>0</v>
      </c>
      <c r="BP2445">
        <v>10000</v>
      </c>
      <c r="BQ2445">
        <v>654.20560747663512</v>
      </c>
      <c r="BR2445" t="s">
        <v>72</v>
      </c>
    </row>
    <row r="2446" spans="1:70" x14ac:dyDescent="0.3">
      <c r="A2446" t="s">
        <v>798</v>
      </c>
      <c r="B2446">
        <v>52200085</v>
      </c>
      <c r="C2446">
        <v>26393637</v>
      </c>
      <c r="D2446" t="s">
        <v>656</v>
      </c>
      <c r="E2446" t="s">
        <v>436</v>
      </c>
      <c r="F2446" t="s">
        <v>431</v>
      </c>
      <c r="G2446" t="s">
        <v>235</v>
      </c>
      <c r="H2446" t="s">
        <v>236</v>
      </c>
      <c r="J2446" t="s">
        <v>52</v>
      </c>
      <c r="K2446" s="15">
        <v>3000</v>
      </c>
      <c r="M2446">
        <v>45378</v>
      </c>
      <c r="N2446" t="s">
        <v>1013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153798.13084112151</v>
      </c>
      <c r="W2446">
        <v>0</v>
      </c>
      <c r="X2446">
        <v>0</v>
      </c>
      <c r="Y2446">
        <v>153798.13084112151</v>
      </c>
      <c r="Z2446">
        <v>10765.869158878508</v>
      </c>
      <c r="AA2446">
        <v>164564.00000000003</v>
      </c>
      <c r="AB2446" t="s">
        <v>242</v>
      </c>
      <c r="AC2446">
        <v>3</v>
      </c>
      <c r="AD2446">
        <v>8000</v>
      </c>
      <c r="AE2446">
        <v>0</v>
      </c>
      <c r="AF2446">
        <v>0</v>
      </c>
      <c r="AG2446">
        <v>522.48182004350338</v>
      </c>
      <c r="AH2446" t="s">
        <v>58</v>
      </c>
      <c r="AK2446" t="s">
        <v>798</v>
      </c>
      <c r="AL2446">
        <v>52200085</v>
      </c>
      <c r="AM2446">
        <v>26393637</v>
      </c>
      <c r="AN2446" t="s">
        <v>656</v>
      </c>
      <c r="AO2446" t="s">
        <v>436</v>
      </c>
      <c r="AP2446" t="s">
        <v>431</v>
      </c>
      <c r="AQ2446" t="s">
        <v>235</v>
      </c>
      <c r="AR2446" t="s">
        <v>236</v>
      </c>
      <c r="AT2446" t="s">
        <v>52</v>
      </c>
      <c r="AU2446">
        <v>3000</v>
      </c>
      <c r="AW2446">
        <v>45378</v>
      </c>
      <c r="AX2446" t="s">
        <v>1013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153798.13084112151</v>
      </c>
      <c r="BG2446">
        <v>0</v>
      </c>
      <c r="BH2446">
        <v>0</v>
      </c>
      <c r="BI2446">
        <v>153798.13084112151</v>
      </c>
      <c r="BJ2446">
        <v>10765.869158878508</v>
      </c>
      <c r="BK2446">
        <v>164564.00000000003</v>
      </c>
      <c r="BL2446" t="s">
        <v>242</v>
      </c>
      <c r="BM2446">
        <v>3</v>
      </c>
      <c r="BN2446">
        <v>8000</v>
      </c>
      <c r="BO2446">
        <v>0</v>
      </c>
      <c r="BP2446">
        <v>0</v>
      </c>
      <c r="BQ2446">
        <v>522.48182004350338</v>
      </c>
      <c r="BR2446" t="s">
        <v>58</v>
      </c>
    </row>
    <row r="2447" spans="1:70" x14ac:dyDescent="0.3">
      <c r="A2447" t="s">
        <v>798</v>
      </c>
      <c r="B2447">
        <v>52200764</v>
      </c>
      <c r="C2447">
        <v>29315611</v>
      </c>
      <c r="D2447" t="s">
        <v>142</v>
      </c>
      <c r="E2447" t="s">
        <v>438</v>
      </c>
      <c r="F2447" t="s">
        <v>431</v>
      </c>
      <c r="G2447" t="s">
        <v>82</v>
      </c>
      <c r="H2447" t="s">
        <v>83</v>
      </c>
      <c r="J2447" t="s">
        <v>52</v>
      </c>
      <c r="K2447" s="15">
        <v>1000</v>
      </c>
      <c r="M2447">
        <v>45378</v>
      </c>
      <c r="N2447" t="s">
        <v>1013</v>
      </c>
      <c r="O2447">
        <v>0</v>
      </c>
      <c r="P2447">
        <v>0</v>
      </c>
      <c r="Q2447">
        <v>0</v>
      </c>
      <c r="R2447">
        <v>807.63018537576352</v>
      </c>
      <c r="S2447">
        <v>11849.103565069385</v>
      </c>
      <c r="T2447">
        <v>0</v>
      </c>
      <c r="U2447">
        <v>0</v>
      </c>
      <c r="V2447">
        <v>50364.328598130844</v>
      </c>
      <c r="W2447">
        <v>0</v>
      </c>
      <c r="X2447">
        <v>0</v>
      </c>
      <c r="Y2447">
        <v>63021.062348575993</v>
      </c>
      <c r="Z2447">
        <v>4354.9402514240164</v>
      </c>
      <c r="AA2447">
        <v>67376.002600000007</v>
      </c>
      <c r="AB2447" t="s">
        <v>242</v>
      </c>
      <c r="AC2447">
        <v>7</v>
      </c>
      <c r="AD2447">
        <v>10268</v>
      </c>
      <c r="AE2447">
        <v>0</v>
      </c>
      <c r="AF2447">
        <v>0</v>
      </c>
      <c r="AG2447">
        <v>663.07861025822763</v>
      </c>
      <c r="AH2447" t="s">
        <v>58</v>
      </c>
      <c r="AK2447" t="s">
        <v>798</v>
      </c>
      <c r="AL2447">
        <v>52200764</v>
      </c>
      <c r="AM2447">
        <v>29315611</v>
      </c>
      <c r="AN2447" t="s">
        <v>142</v>
      </c>
      <c r="AO2447" t="s">
        <v>438</v>
      </c>
      <c r="AP2447" t="s">
        <v>431</v>
      </c>
      <c r="AQ2447" t="s">
        <v>82</v>
      </c>
      <c r="AR2447" t="s">
        <v>83</v>
      </c>
      <c r="AT2447" t="s">
        <v>52</v>
      </c>
      <c r="AU2447">
        <v>1000</v>
      </c>
      <c r="AW2447">
        <v>45378</v>
      </c>
      <c r="AX2447" t="s">
        <v>1013</v>
      </c>
      <c r="AY2447">
        <v>0</v>
      </c>
      <c r="AZ2447">
        <v>0</v>
      </c>
      <c r="BA2447">
        <v>0</v>
      </c>
      <c r="BB2447">
        <v>807.63018537576352</v>
      </c>
      <c r="BC2447">
        <v>11849.103565069385</v>
      </c>
      <c r="BD2447">
        <v>0</v>
      </c>
      <c r="BE2447">
        <v>0</v>
      </c>
      <c r="BF2447">
        <v>50364.328598130844</v>
      </c>
      <c r="BG2447">
        <v>0</v>
      </c>
      <c r="BH2447">
        <v>0</v>
      </c>
      <c r="BI2447">
        <v>63021.062348575993</v>
      </c>
      <c r="BJ2447">
        <v>4354.9402514240164</v>
      </c>
      <c r="BK2447">
        <v>67376.002600000007</v>
      </c>
      <c r="BL2447" t="s">
        <v>242</v>
      </c>
      <c r="BM2447">
        <v>7</v>
      </c>
      <c r="BN2447">
        <v>10268</v>
      </c>
      <c r="BO2447">
        <v>0</v>
      </c>
      <c r="BP2447">
        <v>0</v>
      </c>
      <c r="BQ2447">
        <v>663.07861025822763</v>
      </c>
      <c r="BR2447" t="s">
        <v>58</v>
      </c>
    </row>
    <row r="2448" spans="1:70" x14ac:dyDescent="0.3">
      <c r="A2448" t="s">
        <v>798</v>
      </c>
      <c r="B2448">
        <v>62200025</v>
      </c>
      <c r="C2448">
        <v>9001302</v>
      </c>
      <c r="D2448" t="s">
        <v>79</v>
      </c>
      <c r="E2448" t="s">
        <v>435</v>
      </c>
      <c r="F2448" t="s">
        <v>432</v>
      </c>
      <c r="G2448" t="s">
        <v>82</v>
      </c>
      <c r="H2448" t="s">
        <v>82</v>
      </c>
      <c r="J2448" t="s">
        <v>52</v>
      </c>
      <c r="K2448" s="15">
        <v>1000</v>
      </c>
      <c r="M2448">
        <v>45378</v>
      </c>
      <c r="N2448" t="s">
        <v>1013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11024.843263835617</v>
      </c>
      <c r="W2448">
        <v>0</v>
      </c>
      <c r="X2448">
        <v>0</v>
      </c>
      <c r="Y2448">
        <v>11024.843263835617</v>
      </c>
      <c r="Z2448">
        <v>0</v>
      </c>
      <c r="AA2448">
        <v>11024.843263835617</v>
      </c>
      <c r="AB2448" t="s">
        <v>242</v>
      </c>
      <c r="AC2448">
        <v>19</v>
      </c>
      <c r="AD2448">
        <v>19170</v>
      </c>
      <c r="AE2448">
        <v>0</v>
      </c>
      <c r="AF2448">
        <v>0</v>
      </c>
      <c r="AG2448">
        <v>0</v>
      </c>
      <c r="AH2448" t="s">
        <v>58</v>
      </c>
      <c r="AK2448" t="s">
        <v>798</v>
      </c>
      <c r="AL2448">
        <v>82200036</v>
      </c>
      <c r="AM2448">
        <v>901017006332</v>
      </c>
      <c r="AN2448" t="s">
        <v>974</v>
      </c>
      <c r="AO2448" t="s">
        <v>440</v>
      </c>
      <c r="AP2448" t="s">
        <v>433</v>
      </c>
      <c r="AQ2448" t="s">
        <v>230</v>
      </c>
      <c r="AR2448" t="s">
        <v>231</v>
      </c>
      <c r="AT2448" t="s">
        <v>52</v>
      </c>
      <c r="AU2448">
        <v>5000</v>
      </c>
      <c r="AW2448">
        <v>45378</v>
      </c>
      <c r="AX2448" t="s">
        <v>1013</v>
      </c>
      <c r="AY2448">
        <v>2968.0412576412259</v>
      </c>
      <c r="AZ2448">
        <v>0</v>
      </c>
      <c r="BA2448">
        <v>0</v>
      </c>
      <c r="BB2448">
        <v>0</v>
      </c>
      <c r="BC2448">
        <v>0</v>
      </c>
      <c r="BD2448">
        <v>106571.92405827923</v>
      </c>
      <c r="BE2448">
        <v>0</v>
      </c>
      <c r="BF2448">
        <v>0</v>
      </c>
      <c r="BG2448">
        <v>355140.18691588787</v>
      </c>
      <c r="BH2448">
        <v>0</v>
      </c>
      <c r="BI2448">
        <v>464680.15223180829</v>
      </c>
      <c r="BJ2448">
        <v>32319.847768191703</v>
      </c>
      <c r="BK2448">
        <v>497000</v>
      </c>
      <c r="BL2448" t="s">
        <v>242</v>
      </c>
      <c r="BM2448">
        <v>4</v>
      </c>
      <c r="BN2448">
        <v>56000</v>
      </c>
      <c r="BO2448">
        <v>0</v>
      </c>
      <c r="BP2448">
        <v>0</v>
      </c>
      <c r="BQ2448">
        <v>3336.7097165699261</v>
      </c>
      <c r="BR2448" t="s">
        <v>58</v>
      </c>
    </row>
    <row r="2449" spans="1:70" x14ac:dyDescent="0.3">
      <c r="A2449" t="s">
        <v>798</v>
      </c>
      <c r="B2449">
        <v>82200036</v>
      </c>
      <c r="C2449">
        <v>901017006332</v>
      </c>
      <c r="D2449" t="s">
        <v>974</v>
      </c>
      <c r="E2449" t="s">
        <v>440</v>
      </c>
      <c r="F2449" t="s">
        <v>433</v>
      </c>
      <c r="G2449" t="s">
        <v>230</v>
      </c>
      <c r="H2449" t="s">
        <v>231</v>
      </c>
      <c r="J2449" t="s">
        <v>52</v>
      </c>
      <c r="K2449" s="15">
        <v>5000</v>
      </c>
      <c r="M2449">
        <v>45378</v>
      </c>
      <c r="N2449" t="s">
        <v>1013</v>
      </c>
      <c r="O2449">
        <v>2968.0412576412259</v>
      </c>
      <c r="P2449">
        <v>0</v>
      </c>
      <c r="Q2449">
        <v>0</v>
      </c>
      <c r="R2449">
        <v>0</v>
      </c>
      <c r="S2449">
        <v>0</v>
      </c>
      <c r="T2449">
        <v>106571.92405827923</v>
      </c>
      <c r="U2449">
        <v>0</v>
      </c>
      <c r="V2449">
        <v>0</v>
      </c>
      <c r="W2449">
        <v>355140.18691588787</v>
      </c>
      <c r="X2449">
        <v>0</v>
      </c>
      <c r="Y2449">
        <v>464680.15223180829</v>
      </c>
      <c r="Z2449">
        <v>32319.847768191703</v>
      </c>
      <c r="AA2449">
        <v>497000</v>
      </c>
      <c r="AB2449" t="s">
        <v>242</v>
      </c>
      <c r="AC2449">
        <v>4</v>
      </c>
      <c r="AD2449">
        <v>56000</v>
      </c>
      <c r="AE2449">
        <v>0</v>
      </c>
      <c r="AF2449">
        <v>0</v>
      </c>
      <c r="AG2449">
        <v>3336.7097165699261</v>
      </c>
      <c r="AH2449" t="s">
        <v>58</v>
      </c>
      <c r="AK2449" t="s">
        <v>798</v>
      </c>
      <c r="AL2449">
        <v>4142300939</v>
      </c>
      <c r="AM2449">
        <v>10449473</v>
      </c>
      <c r="AN2449" t="s">
        <v>214</v>
      </c>
      <c r="AO2449" t="s">
        <v>445</v>
      </c>
      <c r="AP2449" t="s">
        <v>430</v>
      </c>
      <c r="AQ2449" t="s">
        <v>230</v>
      </c>
      <c r="AR2449" t="s">
        <v>234</v>
      </c>
      <c r="AT2449" t="s">
        <v>52</v>
      </c>
      <c r="AU2449">
        <v>1000</v>
      </c>
      <c r="AW2449">
        <v>45378</v>
      </c>
      <c r="AX2449" t="s">
        <v>1013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330750.47663551406</v>
      </c>
      <c r="BI2449">
        <v>330750.47663551406</v>
      </c>
      <c r="BJ2449">
        <v>23152.533364485986</v>
      </c>
      <c r="BK2449">
        <v>353903.01000000007</v>
      </c>
      <c r="BL2449" t="s">
        <v>242</v>
      </c>
      <c r="BM2449">
        <v>7</v>
      </c>
      <c r="BN2449">
        <v>6000</v>
      </c>
      <c r="BO2449">
        <v>0</v>
      </c>
      <c r="BP2449">
        <v>0</v>
      </c>
      <c r="BQ2449">
        <v>392.52336448598135</v>
      </c>
      <c r="BR2449" t="s">
        <v>58</v>
      </c>
    </row>
    <row r="2450" spans="1:70" x14ac:dyDescent="0.3">
      <c r="A2450" t="s">
        <v>798</v>
      </c>
      <c r="B2450">
        <v>4142300939</v>
      </c>
      <c r="C2450">
        <v>10449473</v>
      </c>
      <c r="D2450" t="s">
        <v>214</v>
      </c>
      <c r="E2450" t="s">
        <v>445</v>
      </c>
      <c r="F2450" t="s">
        <v>430</v>
      </c>
      <c r="G2450" t="s">
        <v>230</v>
      </c>
      <c r="H2450" t="s">
        <v>234</v>
      </c>
      <c r="J2450" t="s">
        <v>52</v>
      </c>
      <c r="K2450" s="15">
        <v>1000</v>
      </c>
      <c r="M2450">
        <v>45378</v>
      </c>
      <c r="N2450" t="s">
        <v>1013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330750.47663551406</v>
      </c>
      <c r="Y2450">
        <v>330750.47663551406</v>
      </c>
      <c r="Z2450">
        <v>23152.533364485986</v>
      </c>
      <c r="AA2450">
        <v>353903.01000000007</v>
      </c>
      <c r="AB2450" t="s">
        <v>242</v>
      </c>
      <c r="AC2450">
        <v>7</v>
      </c>
      <c r="AD2450">
        <v>6000</v>
      </c>
      <c r="AE2450">
        <v>0</v>
      </c>
      <c r="AF2450">
        <v>0</v>
      </c>
      <c r="AG2450">
        <v>392.52336448598135</v>
      </c>
      <c r="AH2450" t="s">
        <v>58</v>
      </c>
      <c r="AK2450" t="s">
        <v>798</v>
      </c>
      <c r="AL2450">
        <v>4312300012</v>
      </c>
      <c r="AM2450" t="s">
        <v>61</v>
      </c>
      <c r="AN2450" t="s">
        <v>963</v>
      </c>
      <c r="AO2450" t="s">
        <v>448</v>
      </c>
      <c r="AP2450" t="s">
        <v>433</v>
      </c>
      <c r="AQ2450" t="s">
        <v>82</v>
      </c>
      <c r="AR2450" t="s">
        <v>71</v>
      </c>
      <c r="AT2450" t="s">
        <v>52</v>
      </c>
      <c r="AU2450">
        <v>25000</v>
      </c>
      <c r="AW2450">
        <v>45378</v>
      </c>
      <c r="AX2450" t="s">
        <v>1013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1782154.4672897197</v>
      </c>
      <c r="BI2450">
        <v>1782154.4672897197</v>
      </c>
      <c r="BJ2450">
        <v>124750.8127102804</v>
      </c>
      <c r="BK2450">
        <v>1906905.28</v>
      </c>
      <c r="BL2450" t="s">
        <v>242</v>
      </c>
      <c r="BM2450">
        <v>12</v>
      </c>
      <c r="BN2450">
        <v>205165</v>
      </c>
      <c r="BO2450">
        <v>0</v>
      </c>
      <c r="BP2450">
        <v>0</v>
      </c>
      <c r="BQ2450">
        <v>13422.009345794393</v>
      </c>
      <c r="BR2450" t="s">
        <v>58</v>
      </c>
    </row>
    <row r="2451" spans="1:70" x14ac:dyDescent="0.3">
      <c r="A2451" t="s">
        <v>798</v>
      </c>
      <c r="B2451">
        <v>4312300012</v>
      </c>
      <c r="C2451" t="s">
        <v>61</v>
      </c>
      <c r="D2451" t="s">
        <v>963</v>
      </c>
      <c r="E2451" t="s">
        <v>448</v>
      </c>
      <c r="F2451" t="s">
        <v>433</v>
      </c>
      <c r="G2451" t="s">
        <v>82</v>
      </c>
      <c r="H2451" t="s">
        <v>71</v>
      </c>
      <c r="J2451" t="s">
        <v>52</v>
      </c>
      <c r="K2451" s="15">
        <v>25000</v>
      </c>
      <c r="M2451">
        <v>45378</v>
      </c>
      <c r="N2451" t="s">
        <v>1013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1782154.4672897197</v>
      </c>
      <c r="Y2451">
        <v>1782154.4672897197</v>
      </c>
      <c r="Z2451">
        <v>124750.8127102804</v>
      </c>
      <c r="AA2451">
        <v>1906905.28</v>
      </c>
      <c r="AB2451" t="s">
        <v>242</v>
      </c>
      <c r="AC2451">
        <v>12</v>
      </c>
      <c r="AD2451">
        <v>205165</v>
      </c>
      <c r="AE2451">
        <v>0</v>
      </c>
      <c r="AF2451">
        <v>0</v>
      </c>
      <c r="AG2451">
        <v>13422.009345794393</v>
      </c>
      <c r="AH2451" t="s">
        <v>58</v>
      </c>
      <c r="AK2451" t="s">
        <v>798</v>
      </c>
      <c r="AL2451">
        <v>62200025</v>
      </c>
      <c r="AM2451">
        <v>9001302</v>
      </c>
      <c r="AN2451" t="s">
        <v>79</v>
      </c>
      <c r="AO2451" t="s">
        <v>435</v>
      </c>
      <c r="AP2451" t="s">
        <v>432</v>
      </c>
      <c r="AQ2451" t="s">
        <v>82</v>
      </c>
      <c r="AR2451" t="s">
        <v>82</v>
      </c>
      <c r="AT2451" t="s">
        <v>52</v>
      </c>
      <c r="AU2451">
        <v>1000</v>
      </c>
      <c r="AW2451">
        <v>45378</v>
      </c>
      <c r="AX2451" t="s">
        <v>1013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11024.843263835617</v>
      </c>
      <c r="BG2451">
        <v>0</v>
      </c>
      <c r="BH2451">
        <v>0</v>
      </c>
      <c r="BI2451">
        <v>11024.843263835617</v>
      </c>
      <c r="BJ2451">
        <v>0</v>
      </c>
      <c r="BK2451">
        <v>11024.843263835617</v>
      </c>
      <c r="BL2451" t="s">
        <v>242</v>
      </c>
      <c r="BM2451">
        <v>19</v>
      </c>
      <c r="BN2451">
        <v>19170</v>
      </c>
      <c r="BO2451">
        <v>0</v>
      </c>
      <c r="BP2451">
        <v>0</v>
      </c>
      <c r="BQ2451">
        <v>0</v>
      </c>
      <c r="BR2451" t="s">
        <v>58</v>
      </c>
    </row>
    <row r="2452" spans="1:70" x14ac:dyDescent="0.3">
      <c r="A2452" t="s">
        <v>798</v>
      </c>
      <c r="B2452">
        <v>52200647</v>
      </c>
      <c r="C2452">
        <v>29594859</v>
      </c>
      <c r="D2452" t="s">
        <v>139</v>
      </c>
      <c r="E2452" t="s">
        <v>438</v>
      </c>
      <c r="F2452" t="s">
        <v>431</v>
      </c>
      <c r="G2452" t="s">
        <v>82</v>
      </c>
      <c r="H2452" t="s">
        <v>83</v>
      </c>
      <c r="J2452" t="s">
        <v>52</v>
      </c>
      <c r="K2452" s="15">
        <v>5000</v>
      </c>
      <c r="M2452">
        <v>45379</v>
      </c>
      <c r="N2452" t="s">
        <v>1013</v>
      </c>
      <c r="O2452">
        <v>0</v>
      </c>
      <c r="P2452">
        <v>0</v>
      </c>
      <c r="Q2452">
        <v>0</v>
      </c>
      <c r="R2452">
        <v>675.85008822858333</v>
      </c>
      <c r="S2452">
        <v>10935.860571748983</v>
      </c>
      <c r="T2452">
        <v>0</v>
      </c>
      <c r="U2452">
        <v>0</v>
      </c>
      <c r="V2452">
        <v>58470.824672897194</v>
      </c>
      <c r="W2452">
        <v>0</v>
      </c>
      <c r="X2452">
        <v>0</v>
      </c>
      <c r="Y2452">
        <v>70082.535332874759</v>
      </c>
      <c r="Z2452">
        <v>4858.4679671252325</v>
      </c>
      <c r="AA2452">
        <v>74941.003299999997</v>
      </c>
      <c r="AB2452" t="s">
        <v>242</v>
      </c>
      <c r="AC2452">
        <v>10</v>
      </c>
      <c r="AD2452">
        <v>37000</v>
      </c>
      <c r="AE2452">
        <v>0</v>
      </c>
      <c r="AF2452">
        <v>0</v>
      </c>
      <c r="AG2452">
        <v>2396.8032768000021</v>
      </c>
      <c r="AH2452" t="s">
        <v>58</v>
      </c>
      <c r="AK2452" t="s">
        <v>798</v>
      </c>
      <c r="AL2452">
        <v>4132301147</v>
      </c>
      <c r="AM2452">
        <v>3100025875</v>
      </c>
      <c r="AN2452" t="s">
        <v>180</v>
      </c>
      <c r="AO2452" t="s">
        <v>441</v>
      </c>
      <c r="AP2452" t="s">
        <v>430</v>
      </c>
      <c r="AQ2452" t="s">
        <v>419</v>
      </c>
      <c r="AR2452" t="s">
        <v>231</v>
      </c>
      <c r="AT2452" t="s">
        <v>52</v>
      </c>
      <c r="AU2452">
        <v>3800</v>
      </c>
      <c r="AW2452">
        <v>45379</v>
      </c>
      <c r="AX2452" t="s">
        <v>1018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0</v>
      </c>
      <c r="BK2452">
        <v>0</v>
      </c>
      <c r="BL2452" t="s">
        <v>242</v>
      </c>
      <c r="BM2452">
        <v>9</v>
      </c>
      <c r="BN2452">
        <v>11800</v>
      </c>
      <c r="BO2452">
        <v>0</v>
      </c>
      <c r="BP2452">
        <v>0</v>
      </c>
      <c r="BQ2452">
        <v>443.45645726374204</v>
      </c>
      <c r="BR2452" t="s">
        <v>58</v>
      </c>
    </row>
    <row r="2453" spans="1:70" x14ac:dyDescent="0.3">
      <c r="A2453" t="s">
        <v>798</v>
      </c>
      <c r="B2453">
        <v>52201479</v>
      </c>
      <c r="C2453">
        <v>26373941</v>
      </c>
      <c r="D2453" t="s">
        <v>159</v>
      </c>
      <c r="E2453" t="s">
        <v>438</v>
      </c>
      <c r="F2453" t="s">
        <v>431</v>
      </c>
      <c r="G2453" t="s">
        <v>82</v>
      </c>
      <c r="H2453" t="s">
        <v>83</v>
      </c>
      <c r="J2453" t="s">
        <v>52</v>
      </c>
      <c r="K2453" s="15">
        <v>3700</v>
      </c>
      <c r="M2453">
        <v>45379</v>
      </c>
      <c r="N2453" t="s">
        <v>1013</v>
      </c>
      <c r="O2453">
        <v>0</v>
      </c>
      <c r="P2453">
        <v>0</v>
      </c>
      <c r="Q2453">
        <v>0</v>
      </c>
      <c r="R2453">
        <v>174.2402907727469</v>
      </c>
      <c r="S2453">
        <v>0</v>
      </c>
      <c r="T2453">
        <v>0</v>
      </c>
      <c r="U2453">
        <v>0</v>
      </c>
      <c r="V2453">
        <v>14914.728779695311</v>
      </c>
      <c r="W2453">
        <v>0</v>
      </c>
      <c r="X2453">
        <v>0</v>
      </c>
      <c r="Y2453">
        <v>15088.969070468058</v>
      </c>
      <c r="Z2453">
        <v>1044.0310145786718</v>
      </c>
      <c r="AA2453">
        <v>16133.00008504673</v>
      </c>
      <c r="AB2453" t="s">
        <v>242</v>
      </c>
      <c r="AC2453">
        <v>13</v>
      </c>
      <c r="AD2453">
        <v>57500</v>
      </c>
      <c r="AE2453">
        <v>0</v>
      </c>
      <c r="AF2453">
        <v>0</v>
      </c>
      <c r="AG2453">
        <v>3714.7914208916754</v>
      </c>
      <c r="AH2453" t="s">
        <v>58</v>
      </c>
      <c r="AK2453" t="s">
        <v>798</v>
      </c>
      <c r="AL2453">
        <v>52200647</v>
      </c>
      <c r="AM2453">
        <v>29594859</v>
      </c>
      <c r="AN2453" t="s">
        <v>139</v>
      </c>
      <c r="AO2453" t="s">
        <v>438</v>
      </c>
      <c r="AP2453" t="s">
        <v>431</v>
      </c>
      <c r="AQ2453" t="s">
        <v>82</v>
      </c>
      <c r="AR2453" t="s">
        <v>83</v>
      </c>
      <c r="AT2453" t="s">
        <v>52</v>
      </c>
      <c r="AU2453">
        <v>5000</v>
      </c>
      <c r="AW2453">
        <v>45379</v>
      </c>
      <c r="AX2453" t="s">
        <v>1013</v>
      </c>
      <c r="AY2453">
        <v>0</v>
      </c>
      <c r="AZ2453">
        <v>0</v>
      </c>
      <c r="BA2453">
        <v>0</v>
      </c>
      <c r="BB2453">
        <v>675.85008822858333</v>
      </c>
      <c r="BC2453">
        <v>10935.860571748983</v>
      </c>
      <c r="BD2453">
        <v>0</v>
      </c>
      <c r="BE2453">
        <v>0</v>
      </c>
      <c r="BF2453">
        <v>58470.824672897194</v>
      </c>
      <c r="BG2453">
        <v>0</v>
      </c>
      <c r="BH2453">
        <v>0</v>
      </c>
      <c r="BI2453">
        <v>70082.535332874759</v>
      </c>
      <c r="BJ2453">
        <v>4858.4679671252325</v>
      </c>
      <c r="BK2453">
        <v>74941.003299999997</v>
      </c>
      <c r="BL2453" t="s">
        <v>242</v>
      </c>
      <c r="BM2453">
        <v>10</v>
      </c>
      <c r="BN2453">
        <v>37000</v>
      </c>
      <c r="BO2453">
        <v>0</v>
      </c>
      <c r="BP2453">
        <v>0</v>
      </c>
      <c r="BQ2453">
        <v>2396.8032768000021</v>
      </c>
      <c r="BR2453" t="s">
        <v>58</v>
      </c>
    </row>
    <row r="2454" spans="1:70" x14ac:dyDescent="0.3">
      <c r="A2454" t="s">
        <v>798</v>
      </c>
      <c r="B2454">
        <v>4132301147</v>
      </c>
      <c r="C2454">
        <v>3100025875</v>
      </c>
      <c r="D2454" t="s">
        <v>180</v>
      </c>
      <c r="E2454" t="s">
        <v>441</v>
      </c>
      <c r="F2454" t="s">
        <v>430</v>
      </c>
      <c r="G2454" t="s">
        <v>233</v>
      </c>
      <c r="H2454" t="s">
        <v>231</v>
      </c>
      <c r="J2454" t="s">
        <v>52</v>
      </c>
      <c r="K2454" s="15">
        <v>3800</v>
      </c>
      <c r="M2454">
        <v>45379</v>
      </c>
      <c r="N2454" t="s">
        <v>1018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 t="s">
        <v>242</v>
      </c>
      <c r="AC2454">
        <v>9</v>
      </c>
      <c r="AD2454">
        <v>11800</v>
      </c>
      <c r="AE2454">
        <v>0</v>
      </c>
      <c r="AF2454">
        <v>0</v>
      </c>
      <c r="AG2454">
        <v>443.45645726374204</v>
      </c>
      <c r="AH2454" t="s">
        <v>58</v>
      </c>
      <c r="AK2454" t="s">
        <v>798</v>
      </c>
      <c r="AL2454">
        <v>52201479</v>
      </c>
      <c r="AM2454">
        <v>26373941</v>
      </c>
      <c r="AN2454" t="s">
        <v>159</v>
      </c>
      <c r="AO2454" t="s">
        <v>438</v>
      </c>
      <c r="AP2454" t="s">
        <v>431</v>
      </c>
      <c r="AQ2454" t="s">
        <v>82</v>
      </c>
      <c r="AR2454" t="s">
        <v>83</v>
      </c>
      <c r="AT2454" t="s">
        <v>52</v>
      </c>
      <c r="AU2454">
        <v>3700</v>
      </c>
      <c r="AW2454">
        <v>45379</v>
      </c>
      <c r="AX2454" t="s">
        <v>1013</v>
      </c>
      <c r="AY2454">
        <v>0</v>
      </c>
      <c r="AZ2454">
        <v>0</v>
      </c>
      <c r="BA2454">
        <v>0</v>
      </c>
      <c r="BB2454">
        <v>174.2402907727469</v>
      </c>
      <c r="BC2454">
        <v>0</v>
      </c>
      <c r="BD2454">
        <v>0</v>
      </c>
      <c r="BE2454">
        <v>0</v>
      </c>
      <c r="BF2454">
        <v>14914.728779695311</v>
      </c>
      <c r="BG2454">
        <v>0</v>
      </c>
      <c r="BH2454">
        <v>0</v>
      </c>
      <c r="BI2454">
        <v>15088.969070468058</v>
      </c>
      <c r="BJ2454">
        <v>1044.0310145786718</v>
      </c>
      <c r="BK2454">
        <v>16133.00008504673</v>
      </c>
      <c r="BL2454" t="s">
        <v>242</v>
      </c>
      <c r="BM2454">
        <v>13</v>
      </c>
      <c r="BN2454">
        <v>57500</v>
      </c>
      <c r="BO2454">
        <v>0</v>
      </c>
      <c r="BP2454">
        <v>0</v>
      </c>
      <c r="BQ2454">
        <v>3714.7914208916754</v>
      </c>
      <c r="BR2454" t="s">
        <v>58</v>
      </c>
    </row>
    <row r="2455" spans="1:70" x14ac:dyDescent="0.3">
      <c r="A2455" t="s">
        <v>798</v>
      </c>
      <c r="B2455">
        <v>12200098</v>
      </c>
      <c r="C2455">
        <v>5900730015</v>
      </c>
      <c r="D2455" t="s">
        <v>788</v>
      </c>
      <c r="E2455" t="s">
        <v>437</v>
      </c>
      <c r="F2455" t="s">
        <v>427</v>
      </c>
      <c r="G2455" t="s">
        <v>230</v>
      </c>
      <c r="H2455" t="s">
        <v>230</v>
      </c>
      <c r="J2455" t="s">
        <v>52</v>
      </c>
      <c r="K2455" s="15">
        <v>2000</v>
      </c>
      <c r="M2455">
        <v>45380</v>
      </c>
      <c r="N2455" t="s">
        <v>1013</v>
      </c>
      <c r="O2455">
        <v>0</v>
      </c>
      <c r="P2455">
        <v>3600</v>
      </c>
      <c r="Q2455">
        <v>0</v>
      </c>
      <c r="R2455">
        <v>0</v>
      </c>
      <c r="S2455">
        <v>78480.237063013687</v>
      </c>
      <c r="T2455">
        <v>0</v>
      </c>
      <c r="U2455">
        <v>0</v>
      </c>
      <c r="V2455">
        <v>86858.91</v>
      </c>
      <c r="W2455">
        <v>0</v>
      </c>
      <c r="X2455">
        <v>0</v>
      </c>
      <c r="Y2455">
        <v>168939.14706301369</v>
      </c>
      <c r="Z2455">
        <v>0</v>
      </c>
      <c r="AA2455">
        <v>168939.14706301369</v>
      </c>
      <c r="AB2455" t="s">
        <v>242</v>
      </c>
      <c r="AC2455">
        <v>1</v>
      </c>
      <c r="AD2455">
        <v>2000</v>
      </c>
      <c r="AE2455">
        <v>0</v>
      </c>
      <c r="AF2455">
        <v>0</v>
      </c>
      <c r="AG2455">
        <v>0</v>
      </c>
      <c r="AH2455" t="s">
        <v>72</v>
      </c>
      <c r="AK2455" t="s">
        <v>798</v>
      </c>
      <c r="AL2455">
        <v>12200098</v>
      </c>
      <c r="AM2455">
        <v>5900730015</v>
      </c>
      <c r="AN2455" t="s">
        <v>788</v>
      </c>
      <c r="AO2455" t="s">
        <v>437</v>
      </c>
      <c r="AP2455" t="s">
        <v>427</v>
      </c>
      <c r="AQ2455" t="s">
        <v>230</v>
      </c>
      <c r="AR2455" t="s">
        <v>230</v>
      </c>
      <c r="AT2455" t="s">
        <v>52</v>
      </c>
      <c r="AU2455">
        <v>2000</v>
      </c>
      <c r="AW2455">
        <v>45380</v>
      </c>
      <c r="AX2455" t="s">
        <v>1013</v>
      </c>
      <c r="AY2455">
        <v>0</v>
      </c>
      <c r="AZ2455">
        <v>3600</v>
      </c>
      <c r="BA2455">
        <v>0</v>
      </c>
      <c r="BB2455">
        <v>0</v>
      </c>
      <c r="BC2455">
        <v>78480.237063013687</v>
      </c>
      <c r="BD2455">
        <v>0</v>
      </c>
      <c r="BE2455">
        <v>0</v>
      </c>
      <c r="BF2455">
        <v>86858.91</v>
      </c>
      <c r="BG2455">
        <v>0</v>
      </c>
      <c r="BH2455">
        <v>0</v>
      </c>
      <c r="BI2455">
        <v>168939.14706301369</v>
      </c>
      <c r="BJ2455">
        <v>0</v>
      </c>
      <c r="BK2455">
        <v>168939.14706301369</v>
      </c>
      <c r="BL2455" t="s">
        <v>242</v>
      </c>
      <c r="BM2455">
        <v>1</v>
      </c>
      <c r="BN2455">
        <v>2000</v>
      </c>
      <c r="BO2455">
        <v>0</v>
      </c>
      <c r="BP2455">
        <v>0</v>
      </c>
      <c r="BQ2455">
        <v>0</v>
      </c>
      <c r="BR2455" t="s">
        <v>72</v>
      </c>
    </row>
    <row r="2456" spans="1:70" x14ac:dyDescent="0.3">
      <c r="A2456" t="s">
        <v>798</v>
      </c>
      <c r="B2456">
        <v>42200240</v>
      </c>
      <c r="C2456">
        <v>2759049112</v>
      </c>
      <c r="D2456" t="s">
        <v>1001</v>
      </c>
      <c r="E2456" t="s">
        <v>439</v>
      </c>
      <c r="F2456" t="s">
        <v>430</v>
      </c>
      <c r="G2456" t="s">
        <v>232</v>
      </c>
      <c r="H2456" t="s">
        <v>71</v>
      </c>
      <c r="J2456" t="s">
        <v>52</v>
      </c>
      <c r="K2456" s="15">
        <v>2000</v>
      </c>
      <c r="M2456">
        <v>45380</v>
      </c>
      <c r="N2456" t="s">
        <v>1013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85313.504672897194</v>
      </c>
      <c r="Y2456">
        <v>85313.504672897194</v>
      </c>
      <c r="Z2456">
        <v>5971.9453271028042</v>
      </c>
      <c r="AA2456">
        <v>91285.45</v>
      </c>
      <c r="AB2456" t="s">
        <v>242</v>
      </c>
      <c r="AC2456">
        <v>1</v>
      </c>
      <c r="AD2456">
        <v>2000</v>
      </c>
      <c r="AE2456">
        <v>0</v>
      </c>
      <c r="AF2456">
        <v>0</v>
      </c>
      <c r="AG2456">
        <v>130.84112149532712</v>
      </c>
      <c r="AH2456" t="s">
        <v>72</v>
      </c>
      <c r="AK2456" t="s">
        <v>798</v>
      </c>
      <c r="AL2456">
        <v>42200240</v>
      </c>
      <c r="AM2456">
        <v>2759049112</v>
      </c>
      <c r="AN2456" t="s">
        <v>1001</v>
      </c>
      <c r="AO2456" t="s">
        <v>439</v>
      </c>
      <c r="AP2456" t="s">
        <v>430</v>
      </c>
      <c r="AQ2456" t="s">
        <v>232</v>
      </c>
      <c r="AR2456" t="s">
        <v>71</v>
      </c>
      <c r="AT2456" t="s">
        <v>52</v>
      </c>
      <c r="AU2456">
        <v>2000</v>
      </c>
      <c r="AW2456">
        <v>45380</v>
      </c>
      <c r="AX2456" t="s">
        <v>1013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85313.504672897194</v>
      </c>
      <c r="BI2456">
        <v>85313.504672897194</v>
      </c>
      <c r="BJ2456">
        <v>5971.9453271028042</v>
      </c>
      <c r="BK2456">
        <v>91285.45</v>
      </c>
      <c r="BL2456" t="s">
        <v>242</v>
      </c>
      <c r="BM2456">
        <v>1</v>
      </c>
      <c r="BN2456">
        <v>2000</v>
      </c>
      <c r="BO2456">
        <v>0</v>
      </c>
      <c r="BP2456">
        <v>0</v>
      </c>
      <c r="BQ2456">
        <v>130.84112149532712</v>
      </c>
      <c r="BR2456" t="s">
        <v>72</v>
      </c>
    </row>
    <row r="2457" spans="1:70" x14ac:dyDescent="0.3">
      <c r="A2457" t="s">
        <v>798</v>
      </c>
      <c r="B2457">
        <v>42201296</v>
      </c>
      <c r="C2457">
        <v>2756018038</v>
      </c>
      <c r="D2457" t="s">
        <v>1002</v>
      </c>
      <c r="E2457" t="s">
        <v>439</v>
      </c>
      <c r="F2457" t="s">
        <v>430</v>
      </c>
      <c r="G2457" t="s">
        <v>237</v>
      </c>
      <c r="H2457" t="s">
        <v>234</v>
      </c>
      <c r="J2457" t="s">
        <v>425</v>
      </c>
      <c r="K2457" s="15">
        <v>24000</v>
      </c>
      <c r="M2457">
        <v>45380</v>
      </c>
      <c r="N2457" t="s">
        <v>1023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280596.08411214955</v>
      </c>
      <c r="Y2457">
        <v>280596.08411214955</v>
      </c>
      <c r="Z2457">
        <v>19641.725887850469</v>
      </c>
      <c r="AA2457">
        <v>300237.81</v>
      </c>
      <c r="AB2457" t="s">
        <v>242</v>
      </c>
      <c r="AC2457">
        <v>0</v>
      </c>
      <c r="AD2457">
        <v>0</v>
      </c>
      <c r="AE2457">
        <v>0</v>
      </c>
      <c r="AF2457">
        <v>25680</v>
      </c>
      <c r="AG2457">
        <v>1680</v>
      </c>
      <c r="AH2457" t="s">
        <v>72</v>
      </c>
      <c r="AK2457" t="s">
        <v>798</v>
      </c>
      <c r="AL2457">
        <v>52200412</v>
      </c>
      <c r="AM2457">
        <v>25145601</v>
      </c>
      <c r="AN2457" t="s">
        <v>86</v>
      </c>
      <c r="AO2457" t="s">
        <v>436</v>
      </c>
      <c r="AP2457" t="s">
        <v>431</v>
      </c>
      <c r="AQ2457" t="s">
        <v>82</v>
      </c>
      <c r="AR2457" t="s">
        <v>83</v>
      </c>
      <c r="AT2457" t="s">
        <v>52</v>
      </c>
      <c r="AU2457">
        <v>1700</v>
      </c>
      <c r="AW2457">
        <v>45380</v>
      </c>
      <c r="AX2457" t="s">
        <v>1013</v>
      </c>
      <c r="AY2457">
        <v>0</v>
      </c>
      <c r="AZ2457">
        <v>0</v>
      </c>
      <c r="BA2457">
        <v>0</v>
      </c>
      <c r="BB2457">
        <v>670.06708938260419</v>
      </c>
      <c r="BC2457">
        <v>13213.580590759555</v>
      </c>
      <c r="BD2457">
        <v>0</v>
      </c>
      <c r="BE2457">
        <v>0</v>
      </c>
      <c r="BF2457">
        <v>52616.263104201244</v>
      </c>
      <c r="BG2457">
        <v>0</v>
      </c>
      <c r="BH2457">
        <v>0</v>
      </c>
      <c r="BI2457">
        <v>66499.910784343403</v>
      </c>
      <c r="BJ2457">
        <v>4608.089058647256</v>
      </c>
      <c r="BK2457">
        <v>71107.999842990655</v>
      </c>
      <c r="BL2457" t="s">
        <v>242</v>
      </c>
      <c r="BM2457">
        <v>17</v>
      </c>
      <c r="BN2457">
        <v>21700</v>
      </c>
      <c r="BO2457">
        <v>0</v>
      </c>
      <c r="BP2457">
        <v>0</v>
      </c>
      <c r="BQ2457">
        <v>1405.1726133240959</v>
      </c>
      <c r="BR2457" t="s">
        <v>58</v>
      </c>
    </row>
    <row r="2458" spans="1:70" x14ac:dyDescent="0.3">
      <c r="A2458" t="s">
        <v>798</v>
      </c>
      <c r="B2458">
        <v>52200412</v>
      </c>
      <c r="C2458">
        <v>25145601</v>
      </c>
      <c r="D2458" t="s">
        <v>86</v>
      </c>
      <c r="E2458" t="s">
        <v>436</v>
      </c>
      <c r="F2458" t="s">
        <v>431</v>
      </c>
      <c r="G2458" t="s">
        <v>82</v>
      </c>
      <c r="H2458" t="s">
        <v>83</v>
      </c>
      <c r="J2458" t="s">
        <v>52</v>
      </c>
      <c r="K2458" s="15">
        <v>1700</v>
      </c>
      <c r="M2458">
        <v>45380</v>
      </c>
      <c r="N2458" t="s">
        <v>1013</v>
      </c>
      <c r="O2458">
        <v>0</v>
      </c>
      <c r="P2458">
        <v>0</v>
      </c>
      <c r="Q2458">
        <v>0</v>
      </c>
      <c r="R2458">
        <v>670.06708938260419</v>
      </c>
      <c r="S2458">
        <v>13213.580590759555</v>
      </c>
      <c r="T2458">
        <v>0</v>
      </c>
      <c r="U2458">
        <v>0</v>
      </c>
      <c r="V2458">
        <v>52616.263104201244</v>
      </c>
      <c r="W2458">
        <v>0</v>
      </c>
      <c r="X2458">
        <v>0</v>
      </c>
      <c r="Y2458">
        <v>66499.910784343403</v>
      </c>
      <c r="Z2458">
        <v>4608.089058647256</v>
      </c>
      <c r="AA2458">
        <v>71107.999842990655</v>
      </c>
      <c r="AB2458" t="s">
        <v>242</v>
      </c>
      <c r="AC2458">
        <v>17</v>
      </c>
      <c r="AD2458">
        <v>21700</v>
      </c>
      <c r="AE2458">
        <v>0</v>
      </c>
      <c r="AF2458">
        <v>0</v>
      </c>
      <c r="AG2458">
        <v>1405.1726133240959</v>
      </c>
      <c r="AH2458" t="s">
        <v>58</v>
      </c>
      <c r="AK2458" t="s">
        <v>798</v>
      </c>
      <c r="AL2458">
        <v>52201809</v>
      </c>
      <c r="AM2458">
        <v>28380987</v>
      </c>
      <c r="AN2458" t="s">
        <v>164</v>
      </c>
      <c r="AO2458" t="s">
        <v>438</v>
      </c>
      <c r="AP2458" t="s">
        <v>431</v>
      </c>
      <c r="AQ2458" t="s">
        <v>82</v>
      </c>
      <c r="AR2458" t="s">
        <v>83</v>
      </c>
      <c r="AT2458" t="s">
        <v>52</v>
      </c>
      <c r="AU2458">
        <v>500</v>
      </c>
      <c r="AW2458">
        <v>45380</v>
      </c>
      <c r="AX2458" t="s">
        <v>1013</v>
      </c>
      <c r="AY2458">
        <v>0</v>
      </c>
      <c r="AZ2458">
        <v>0</v>
      </c>
      <c r="BA2458">
        <v>0</v>
      </c>
      <c r="BB2458">
        <v>920.01292965499886</v>
      </c>
      <c r="BC2458">
        <v>27204.349689303948</v>
      </c>
      <c r="BD2458">
        <v>0</v>
      </c>
      <c r="BE2458">
        <v>0</v>
      </c>
      <c r="BF2458">
        <v>51867.600635850336</v>
      </c>
      <c r="BG2458">
        <v>0</v>
      </c>
      <c r="BH2458">
        <v>0</v>
      </c>
      <c r="BI2458">
        <v>79991.963254809292</v>
      </c>
      <c r="BJ2458">
        <v>5535.0365227608008</v>
      </c>
      <c r="BK2458">
        <v>85526.99977757009</v>
      </c>
      <c r="BL2458" t="s">
        <v>242</v>
      </c>
      <c r="BM2458">
        <v>15</v>
      </c>
      <c r="BN2458">
        <v>10300</v>
      </c>
      <c r="BO2458">
        <v>0</v>
      </c>
      <c r="BP2458">
        <v>0</v>
      </c>
      <c r="BQ2458">
        <v>666.04757483724302</v>
      </c>
      <c r="BR2458" t="s">
        <v>58</v>
      </c>
    </row>
    <row r="2459" spans="1:70" x14ac:dyDescent="0.3">
      <c r="A2459" t="s">
        <v>798</v>
      </c>
      <c r="B2459">
        <v>52201809</v>
      </c>
      <c r="C2459">
        <v>28380987</v>
      </c>
      <c r="D2459" t="s">
        <v>164</v>
      </c>
      <c r="E2459" t="s">
        <v>438</v>
      </c>
      <c r="F2459" t="s">
        <v>431</v>
      </c>
      <c r="G2459" t="s">
        <v>82</v>
      </c>
      <c r="H2459" t="s">
        <v>83</v>
      </c>
      <c r="J2459" t="s">
        <v>52</v>
      </c>
      <c r="K2459" s="15">
        <v>500</v>
      </c>
      <c r="M2459">
        <v>45380</v>
      </c>
      <c r="N2459" t="s">
        <v>1013</v>
      </c>
      <c r="O2459">
        <v>0</v>
      </c>
      <c r="P2459">
        <v>0</v>
      </c>
      <c r="Q2459">
        <v>0</v>
      </c>
      <c r="R2459">
        <v>920.01292965499886</v>
      </c>
      <c r="S2459">
        <v>27204.349689303948</v>
      </c>
      <c r="T2459">
        <v>0</v>
      </c>
      <c r="U2459">
        <v>0</v>
      </c>
      <c r="V2459">
        <v>51867.600635850336</v>
      </c>
      <c r="W2459">
        <v>0</v>
      </c>
      <c r="X2459">
        <v>0</v>
      </c>
      <c r="Y2459">
        <v>79991.963254809292</v>
      </c>
      <c r="Z2459">
        <v>5535.0365227608008</v>
      </c>
      <c r="AA2459">
        <v>85526.99977757009</v>
      </c>
      <c r="AB2459" t="s">
        <v>242</v>
      </c>
      <c r="AC2459">
        <v>15</v>
      </c>
      <c r="AD2459">
        <v>10300</v>
      </c>
      <c r="AE2459">
        <v>0</v>
      </c>
      <c r="AF2459">
        <v>0</v>
      </c>
      <c r="AG2459">
        <v>666.04757483724302</v>
      </c>
      <c r="AH2459" t="s">
        <v>58</v>
      </c>
      <c r="AK2459" t="s">
        <v>798</v>
      </c>
      <c r="AL2459">
        <v>4132300091</v>
      </c>
      <c r="AM2459">
        <v>1050286564</v>
      </c>
      <c r="AN2459" t="s">
        <v>789</v>
      </c>
      <c r="AO2459" t="s">
        <v>441</v>
      </c>
      <c r="AP2459" t="s">
        <v>430</v>
      </c>
      <c r="AQ2459" t="s">
        <v>230</v>
      </c>
      <c r="AR2459" t="s">
        <v>231</v>
      </c>
      <c r="AT2459" t="s">
        <v>52</v>
      </c>
      <c r="AU2459">
        <v>2000</v>
      </c>
      <c r="AW2459">
        <v>45380</v>
      </c>
      <c r="AX2459" t="s">
        <v>1013</v>
      </c>
      <c r="AY2459">
        <v>0</v>
      </c>
      <c r="AZ2459">
        <v>3925.9991118817229</v>
      </c>
      <c r="BA2459">
        <v>0</v>
      </c>
      <c r="BB2459">
        <v>0</v>
      </c>
      <c r="BC2459">
        <v>4976.580821917808</v>
      </c>
      <c r="BD2459">
        <v>0</v>
      </c>
      <c r="BE2459">
        <v>0</v>
      </c>
      <c r="BF2459">
        <v>0</v>
      </c>
      <c r="BG2459">
        <v>93544.860643101187</v>
      </c>
      <c r="BH2459">
        <v>0</v>
      </c>
      <c r="BI2459">
        <v>102447.44057690071</v>
      </c>
      <c r="BJ2459">
        <v>6548.1402450170835</v>
      </c>
      <c r="BK2459">
        <v>108995.5808219178</v>
      </c>
      <c r="BL2459" t="s">
        <v>242</v>
      </c>
      <c r="BM2459">
        <v>1</v>
      </c>
      <c r="BN2459">
        <v>2000</v>
      </c>
      <c r="BO2459">
        <v>0</v>
      </c>
      <c r="BP2459">
        <v>0</v>
      </c>
      <c r="BQ2459">
        <v>119.45788582403793</v>
      </c>
      <c r="BR2459" t="s">
        <v>72</v>
      </c>
    </row>
    <row r="2460" spans="1:70" x14ac:dyDescent="0.3">
      <c r="A2460" t="s">
        <v>798</v>
      </c>
      <c r="B2460">
        <v>4132300091</v>
      </c>
      <c r="C2460">
        <v>1050286564</v>
      </c>
      <c r="D2460" t="s">
        <v>789</v>
      </c>
      <c r="E2460" t="s">
        <v>441</v>
      </c>
      <c r="F2460" t="s">
        <v>430</v>
      </c>
      <c r="G2460" t="s">
        <v>230</v>
      </c>
      <c r="H2460" t="s">
        <v>231</v>
      </c>
      <c r="J2460" t="s">
        <v>52</v>
      </c>
      <c r="K2460" s="15">
        <v>2000</v>
      </c>
      <c r="M2460">
        <v>45380</v>
      </c>
      <c r="N2460" t="s">
        <v>1013</v>
      </c>
      <c r="O2460">
        <v>0</v>
      </c>
      <c r="P2460">
        <v>3925.9991118817229</v>
      </c>
      <c r="Q2460">
        <v>0</v>
      </c>
      <c r="R2460">
        <v>0</v>
      </c>
      <c r="S2460">
        <v>4976.580821917808</v>
      </c>
      <c r="T2460">
        <v>0</v>
      </c>
      <c r="U2460">
        <v>0</v>
      </c>
      <c r="V2460">
        <v>0</v>
      </c>
      <c r="W2460">
        <v>93544.860643101187</v>
      </c>
      <c r="X2460">
        <v>0</v>
      </c>
      <c r="Y2460">
        <v>102447.44057690071</v>
      </c>
      <c r="Z2460">
        <v>6548.1402450170835</v>
      </c>
      <c r="AA2460">
        <v>108995.5808219178</v>
      </c>
      <c r="AB2460" t="s">
        <v>242</v>
      </c>
      <c r="AC2460">
        <v>1</v>
      </c>
      <c r="AD2460">
        <v>2000</v>
      </c>
      <c r="AE2460">
        <v>0</v>
      </c>
      <c r="AF2460">
        <v>0</v>
      </c>
      <c r="AG2460">
        <v>119.45788582403793</v>
      </c>
      <c r="AH2460" t="s">
        <v>72</v>
      </c>
      <c r="AK2460" t="s">
        <v>798</v>
      </c>
      <c r="AL2460">
        <v>4132301112</v>
      </c>
      <c r="AM2460">
        <v>3010184753</v>
      </c>
      <c r="AN2460" t="s">
        <v>179</v>
      </c>
      <c r="AO2460" t="s">
        <v>441</v>
      </c>
      <c r="AP2460" t="s">
        <v>430</v>
      </c>
      <c r="AQ2460" t="s">
        <v>233</v>
      </c>
      <c r="AR2460" t="s">
        <v>231</v>
      </c>
      <c r="AT2460" t="s">
        <v>52</v>
      </c>
      <c r="AU2460">
        <v>500</v>
      </c>
      <c r="AW2460">
        <v>45380</v>
      </c>
      <c r="AX2460" t="s">
        <v>1013</v>
      </c>
      <c r="AY2460">
        <v>0</v>
      </c>
      <c r="AZ2460">
        <v>3160.241989529904</v>
      </c>
      <c r="BA2460">
        <v>0</v>
      </c>
      <c r="BB2460">
        <v>0</v>
      </c>
      <c r="BC2460">
        <v>21290.753424657534</v>
      </c>
      <c r="BD2460">
        <v>53682.016832215035</v>
      </c>
      <c r="BE2460">
        <v>0</v>
      </c>
      <c r="BF2460">
        <v>0</v>
      </c>
      <c r="BG2460">
        <v>0</v>
      </c>
      <c r="BH2460">
        <v>0</v>
      </c>
      <c r="BI2460">
        <v>78133.012246402475</v>
      </c>
      <c r="BJ2460">
        <v>3757.741178255053</v>
      </c>
      <c r="BK2460">
        <v>81890.753424657523</v>
      </c>
      <c r="BL2460" t="s">
        <v>242</v>
      </c>
      <c r="BM2460">
        <v>6</v>
      </c>
      <c r="BN2460">
        <v>3000</v>
      </c>
      <c r="BO2460">
        <v>0</v>
      </c>
      <c r="BP2460">
        <v>0</v>
      </c>
      <c r="BQ2460">
        <v>134.78218623092829</v>
      </c>
      <c r="BR2460" t="s">
        <v>58</v>
      </c>
    </row>
    <row r="2461" spans="1:70" x14ac:dyDescent="0.3">
      <c r="A2461" t="s">
        <v>798</v>
      </c>
      <c r="B2461">
        <v>4132301112</v>
      </c>
      <c r="C2461">
        <v>3010184753</v>
      </c>
      <c r="D2461" t="s">
        <v>179</v>
      </c>
      <c r="E2461" t="s">
        <v>441</v>
      </c>
      <c r="F2461" t="s">
        <v>430</v>
      </c>
      <c r="G2461" t="s">
        <v>233</v>
      </c>
      <c r="H2461" t="s">
        <v>231</v>
      </c>
      <c r="J2461" t="s">
        <v>52</v>
      </c>
      <c r="K2461" s="15">
        <v>500</v>
      </c>
      <c r="M2461">
        <v>45380</v>
      </c>
      <c r="N2461" t="s">
        <v>1013</v>
      </c>
      <c r="O2461">
        <v>0</v>
      </c>
      <c r="P2461">
        <v>3160.241989529904</v>
      </c>
      <c r="Q2461">
        <v>0</v>
      </c>
      <c r="R2461">
        <v>0</v>
      </c>
      <c r="S2461">
        <v>21290.753424657534</v>
      </c>
      <c r="T2461">
        <v>53682.016832215035</v>
      </c>
      <c r="U2461">
        <v>0</v>
      </c>
      <c r="V2461">
        <v>0</v>
      </c>
      <c r="W2461">
        <v>0</v>
      </c>
      <c r="X2461">
        <v>0</v>
      </c>
      <c r="Y2461">
        <v>78133.012246402475</v>
      </c>
      <c r="Z2461">
        <v>3757.741178255053</v>
      </c>
      <c r="AA2461">
        <v>81890.753424657523</v>
      </c>
      <c r="AB2461" t="s">
        <v>242</v>
      </c>
      <c r="AC2461">
        <v>6</v>
      </c>
      <c r="AD2461">
        <v>3000</v>
      </c>
      <c r="AE2461">
        <v>0</v>
      </c>
      <c r="AF2461">
        <v>0</v>
      </c>
      <c r="AG2461">
        <v>134.78218623092829</v>
      </c>
      <c r="AH2461" t="s">
        <v>58</v>
      </c>
      <c r="AK2461" t="s">
        <v>798</v>
      </c>
      <c r="AL2461">
        <v>4132301231</v>
      </c>
      <c r="AM2461">
        <v>9110040013</v>
      </c>
      <c r="AN2461" t="s">
        <v>786</v>
      </c>
      <c r="AO2461" t="s">
        <v>441</v>
      </c>
      <c r="AP2461" t="s">
        <v>430</v>
      </c>
      <c r="AQ2461" t="s">
        <v>233</v>
      </c>
      <c r="AR2461" t="s">
        <v>231</v>
      </c>
      <c r="AT2461" t="s">
        <v>52</v>
      </c>
      <c r="AU2461">
        <v>11200</v>
      </c>
      <c r="AW2461">
        <v>45380</v>
      </c>
      <c r="AX2461" t="s">
        <v>1013</v>
      </c>
      <c r="AY2461">
        <v>0</v>
      </c>
      <c r="AZ2461">
        <v>745.22124649512034</v>
      </c>
      <c r="BA2461">
        <v>0</v>
      </c>
      <c r="BB2461">
        <v>0</v>
      </c>
      <c r="BC2461">
        <v>30429.369863013697</v>
      </c>
      <c r="BD2461">
        <v>73415.681078041947</v>
      </c>
      <c r="BE2461">
        <v>0</v>
      </c>
      <c r="BF2461">
        <v>0</v>
      </c>
      <c r="BG2461">
        <v>0</v>
      </c>
      <c r="BH2461">
        <v>0</v>
      </c>
      <c r="BI2461">
        <v>104590.27218755076</v>
      </c>
      <c r="BJ2461">
        <v>5139.0976754629364</v>
      </c>
      <c r="BK2461">
        <v>109729.36986301369</v>
      </c>
      <c r="BL2461" t="s">
        <v>242</v>
      </c>
      <c r="BM2461">
        <v>1</v>
      </c>
      <c r="BN2461">
        <v>11200</v>
      </c>
      <c r="BO2461">
        <v>0</v>
      </c>
      <c r="BP2461">
        <v>0</v>
      </c>
      <c r="BQ2461">
        <v>513.23877313519461</v>
      </c>
      <c r="BR2461" t="s">
        <v>72</v>
      </c>
    </row>
    <row r="2462" spans="1:70" x14ac:dyDescent="0.3">
      <c r="A2462" t="s">
        <v>798</v>
      </c>
      <c r="B2462">
        <v>4132301231</v>
      </c>
      <c r="C2462">
        <v>9110040013</v>
      </c>
      <c r="D2462" t="s">
        <v>786</v>
      </c>
      <c r="E2462" t="s">
        <v>441</v>
      </c>
      <c r="F2462" t="s">
        <v>430</v>
      </c>
      <c r="G2462" t="s">
        <v>233</v>
      </c>
      <c r="H2462" t="s">
        <v>231</v>
      </c>
      <c r="J2462" t="s">
        <v>52</v>
      </c>
      <c r="K2462" s="15">
        <v>11200</v>
      </c>
      <c r="M2462">
        <v>45380</v>
      </c>
      <c r="N2462" t="s">
        <v>1013</v>
      </c>
      <c r="O2462">
        <v>0</v>
      </c>
      <c r="P2462">
        <v>745.22124649512034</v>
      </c>
      <c r="Q2462">
        <v>0</v>
      </c>
      <c r="R2462">
        <v>0</v>
      </c>
      <c r="S2462">
        <v>30429.369863013697</v>
      </c>
      <c r="T2462">
        <v>73415.681078041947</v>
      </c>
      <c r="U2462">
        <v>0</v>
      </c>
      <c r="V2462">
        <v>0</v>
      </c>
      <c r="W2462">
        <v>0</v>
      </c>
      <c r="X2462">
        <v>0</v>
      </c>
      <c r="Y2462">
        <v>104590.27218755076</v>
      </c>
      <c r="Z2462">
        <v>5139.0976754629364</v>
      </c>
      <c r="AA2462">
        <v>109729.36986301369</v>
      </c>
      <c r="AB2462" t="s">
        <v>242</v>
      </c>
      <c r="AC2462">
        <v>1</v>
      </c>
      <c r="AD2462">
        <v>11200</v>
      </c>
      <c r="AE2462">
        <v>0</v>
      </c>
      <c r="AF2462">
        <v>0</v>
      </c>
      <c r="AG2462">
        <v>513.23877313519461</v>
      </c>
      <c r="AH2462" t="s">
        <v>72</v>
      </c>
      <c r="AK2462" t="s">
        <v>798</v>
      </c>
      <c r="AL2462">
        <v>4132301517</v>
      </c>
      <c r="AM2462" t="s">
        <v>98</v>
      </c>
      <c r="AN2462" t="s">
        <v>962</v>
      </c>
      <c r="AO2462" t="s">
        <v>442</v>
      </c>
      <c r="AP2462" t="s">
        <v>430</v>
      </c>
      <c r="AQ2462" t="s">
        <v>230</v>
      </c>
      <c r="AR2462" t="s">
        <v>231</v>
      </c>
      <c r="AT2462" t="s">
        <v>52</v>
      </c>
      <c r="AU2462">
        <v>100</v>
      </c>
      <c r="AW2462">
        <v>45380</v>
      </c>
      <c r="AX2462" t="s">
        <v>1013</v>
      </c>
      <c r="AY2462">
        <v>0</v>
      </c>
      <c r="AZ2462">
        <v>3503.2397389700955</v>
      </c>
      <c r="BA2462">
        <v>0</v>
      </c>
      <c r="BB2462">
        <v>0</v>
      </c>
      <c r="BC2462">
        <v>138975.37</v>
      </c>
      <c r="BD2462">
        <v>0</v>
      </c>
      <c r="BE2462">
        <v>0</v>
      </c>
      <c r="BF2462">
        <v>0</v>
      </c>
      <c r="BG2462">
        <v>212506.31800096252</v>
      </c>
      <c r="BH2462">
        <v>0</v>
      </c>
      <c r="BI2462">
        <v>354984.92773993261</v>
      </c>
      <c r="BJ2462">
        <v>14875.442260067377</v>
      </c>
      <c r="BK2462">
        <v>369860.37</v>
      </c>
      <c r="BL2462" t="s">
        <v>242</v>
      </c>
      <c r="BM2462">
        <v>4</v>
      </c>
      <c r="BN2462">
        <v>21100</v>
      </c>
      <c r="BO2462">
        <v>0</v>
      </c>
      <c r="BP2462">
        <v>0</v>
      </c>
      <c r="BQ2462">
        <v>825.49231937187551</v>
      </c>
      <c r="BR2462" t="s">
        <v>58</v>
      </c>
    </row>
    <row r="2463" spans="1:70" x14ac:dyDescent="0.3">
      <c r="A2463" t="s">
        <v>798</v>
      </c>
      <c r="B2463">
        <v>4132301517</v>
      </c>
      <c r="C2463" t="s">
        <v>98</v>
      </c>
      <c r="D2463" t="s">
        <v>962</v>
      </c>
      <c r="E2463" t="s">
        <v>442</v>
      </c>
      <c r="F2463" t="s">
        <v>430</v>
      </c>
      <c r="G2463" t="s">
        <v>230</v>
      </c>
      <c r="H2463" t="s">
        <v>231</v>
      </c>
      <c r="J2463" t="s">
        <v>52</v>
      </c>
      <c r="K2463" s="15">
        <v>100</v>
      </c>
      <c r="M2463">
        <v>45380</v>
      </c>
      <c r="N2463" t="s">
        <v>1013</v>
      </c>
      <c r="O2463">
        <v>0</v>
      </c>
      <c r="P2463">
        <v>3503.2397389700955</v>
      </c>
      <c r="Q2463">
        <v>0</v>
      </c>
      <c r="R2463">
        <v>0</v>
      </c>
      <c r="S2463">
        <v>138975.37</v>
      </c>
      <c r="T2463">
        <v>0</v>
      </c>
      <c r="U2463">
        <v>0</v>
      </c>
      <c r="V2463">
        <v>0</v>
      </c>
      <c r="W2463">
        <v>212506.31800096252</v>
      </c>
      <c r="X2463">
        <v>0</v>
      </c>
      <c r="Y2463">
        <v>354984.92773993261</v>
      </c>
      <c r="Z2463">
        <v>14875.442260067377</v>
      </c>
      <c r="AA2463">
        <v>369860.37</v>
      </c>
      <c r="AB2463" t="s">
        <v>242</v>
      </c>
      <c r="AC2463">
        <v>4</v>
      </c>
      <c r="AD2463">
        <v>21100</v>
      </c>
      <c r="AE2463">
        <v>0</v>
      </c>
      <c r="AF2463">
        <v>0</v>
      </c>
      <c r="AG2463">
        <v>825.49231937187551</v>
      </c>
      <c r="AH2463" t="s">
        <v>58</v>
      </c>
      <c r="AK2463" t="s">
        <v>798</v>
      </c>
      <c r="AL2463">
        <v>4132301517</v>
      </c>
      <c r="AM2463" t="s">
        <v>98</v>
      </c>
      <c r="AN2463" t="s">
        <v>962</v>
      </c>
      <c r="AO2463" t="s">
        <v>442</v>
      </c>
      <c r="AP2463" t="s">
        <v>430</v>
      </c>
      <c r="AQ2463" t="s">
        <v>230</v>
      </c>
      <c r="AR2463" t="s">
        <v>231</v>
      </c>
      <c r="AT2463" t="s">
        <v>52</v>
      </c>
      <c r="AU2463">
        <v>6900</v>
      </c>
      <c r="AW2463">
        <v>45380</v>
      </c>
      <c r="AX2463" t="s">
        <v>1013</v>
      </c>
      <c r="AY2463">
        <v>0</v>
      </c>
      <c r="AZ2463">
        <v>733.81960201394395</v>
      </c>
      <c r="BA2463">
        <v>0</v>
      </c>
      <c r="BB2463">
        <v>0</v>
      </c>
      <c r="BC2463">
        <v>138975.37</v>
      </c>
      <c r="BD2463">
        <v>0</v>
      </c>
      <c r="BE2463">
        <v>0</v>
      </c>
      <c r="BF2463">
        <v>0</v>
      </c>
      <c r="BG2463">
        <v>208645.96298877202</v>
      </c>
      <c r="BH2463">
        <v>0</v>
      </c>
      <c r="BI2463">
        <v>348355.15259078599</v>
      </c>
      <c r="BJ2463">
        <v>14605.217409214043</v>
      </c>
      <c r="BK2463">
        <v>362960.37000000005</v>
      </c>
      <c r="BL2463" t="s">
        <v>242</v>
      </c>
      <c r="BM2463">
        <v>5</v>
      </c>
      <c r="BN2463">
        <v>28000</v>
      </c>
      <c r="BO2463">
        <v>0</v>
      </c>
      <c r="BP2463">
        <v>0</v>
      </c>
      <c r="BQ2463">
        <v>1095.7171702252112</v>
      </c>
      <c r="BR2463" t="s">
        <v>58</v>
      </c>
    </row>
    <row r="2464" spans="1:70" x14ac:dyDescent="0.3">
      <c r="A2464" t="s">
        <v>798</v>
      </c>
      <c r="B2464">
        <v>4132301517</v>
      </c>
      <c r="C2464" t="s">
        <v>98</v>
      </c>
      <c r="D2464" t="s">
        <v>962</v>
      </c>
      <c r="E2464" t="s">
        <v>442</v>
      </c>
      <c r="F2464" t="s">
        <v>430</v>
      </c>
      <c r="G2464" t="s">
        <v>230</v>
      </c>
      <c r="H2464" t="s">
        <v>231</v>
      </c>
      <c r="J2464" t="s">
        <v>52</v>
      </c>
      <c r="K2464" s="15">
        <v>6900</v>
      </c>
      <c r="M2464">
        <v>45380</v>
      </c>
      <c r="N2464" t="s">
        <v>1013</v>
      </c>
      <c r="O2464">
        <v>0</v>
      </c>
      <c r="P2464">
        <v>733.81960201394395</v>
      </c>
      <c r="Q2464">
        <v>0</v>
      </c>
      <c r="R2464">
        <v>0</v>
      </c>
      <c r="S2464">
        <v>138975.37</v>
      </c>
      <c r="T2464">
        <v>0</v>
      </c>
      <c r="U2464">
        <v>0</v>
      </c>
      <c r="V2464">
        <v>0</v>
      </c>
      <c r="W2464">
        <v>208645.96298877202</v>
      </c>
      <c r="X2464">
        <v>0</v>
      </c>
      <c r="Y2464">
        <v>348355.15259078599</v>
      </c>
      <c r="Z2464">
        <v>14605.217409214043</v>
      </c>
      <c r="AA2464">
        <v>362960.37000000005</v>
      </c>
      <c r="AB2464" t="s">
        <v>242</v>
      </c>
      <c r="AC2464">
        <v>5</v>
      </c>
      <c r="AD2464">
        <v>28000</v>
      </c>
      <c r="AE2464">
        <v>0</v>
      </c>
      <c r="AF2464">
        <v>0</v>
      </c>
      <c r="AG2464">
        <v>1095.7171702252112</v>
      </c>
      <c r="AH2464" t="s">
        <v>58</v>
      </c>
      <c r="AK2464" t="s">
        <v>798</v>
      </c>
      <c r="AL2464">
        <v>4132301665</v>
      </c>
      <c r="AM2464" t="s">
        <v>99</v>
      </c>
      <c r="AN2464" t="s">
        <v>941</v>
      </c>
      <c r="AO2464" t="s">
        <v>442</v>
      </c>
      <c r="AP2464" t="s">
        <v>430</v>
      </c>
      <c r="AQ2464" t="s">
        <v>230</v>
      </c>
      <c r="AR2464" t="s">
        <v>231</v>
      </c>
      <c r="AT2464" t="s">
        <v>52</v>
      </c>
      <c r="AU2464">
        <v>1000</v>
      </c>
      <c r="AW2464">
        <v>45380</v>
      </c>
      <c r="AX2464" t="s">
        <v>1013</v>
      </c>
      <c r="AY2464">
        <v>0</v>
      </c>
      <c r="AZ2464">
        <v>26015.855774769087</v>
      </c>
      <c r="BA2464">
        <v>0</v>
      </c>
      <c r="BB2464">
        <v>0</v>
      </c>
      <c r="BC2464">
        <v>492316.5</v>
      </c>
      <c r="BD2464">
        <v>9670.2282478793604</v>
      </c>
      <c r="BE2464">
        <v>67289.719626168226</v>
      </c>
      <c r="BF2464">
        <v>0</v>
      </c>
      <c r="BG2464">
        <v>794392.52336448594</v>
      </c>
      <c r="BH2464">
        <v>0</v>
      </c>
      <c r="BI2464">
        <v>1389684.8270133026</v>
      </c>
      <c r="BJ2464">
        <v>60994.672986697347</v>
      </c>
      <c r="BK2464">
        <v>1450679.5</v>
      </c>
      <c r="BL2464" t="s">
        <v>242</v>
      </c>
      <c r="BM2464">
        <v>6</v>
      </c>
      <c r="BN2464">
        <v>6000</v>
      </c>
      <c r="BO2464">
        <v>0</v>
      </c>
      <c r="BP2464">
        <v>0</v>
      </c>
      <c r="BQ2464">
        <v>246.10271423722997</v>
      </c>
      <c r="BR2464" t="s">
        <v>58</v>
      </c>
    </row>
    <row r="2465" spans="1:70" x14ac:dyDescent="0.3">
      <c r="A2465" t="s">
        <v>798</v>
      </c>
      <c r="B2465">
        <v>4132301665</v>
      </c>
      <c r="C2465" t="s">
        <v>99</v>
      </c>
      <c r="D2465" t="s">
        <v>941</v>
      </c>
      <c r="E2465" t="s">
        <v>442</v>
      </c>
      <c r="F2465" t="s">
        <v>430</v>
      </c>
      <c r="G2465" t="s">
        <v>230</v>
      </c>
      <c r="H2465" t="s">
        <v>231</v>
      </c>
      <c r="J2465" t="s">
        <v>52</v>
      </c>
      <c r="K2465" s="15">
        <v>1000</v>
      </c>
      <c r="M2465">
        <v>45380</v>
      </c>
      <c r="N2465" t="s">
        <v>1013</v>
      </c>
      <c r="O2465">
        <v>0</v>
      </c>
      <c r="P2465">
        <v>26015.855774769087</v>
      </c>
      <c r="Q2465">
        <v>0</v>
      </c>
      <c r="R2465">
        <v>0</v>
      </c>
      <c r="S2465">
        <v>492316.5</v>
      </c>
      <c r="T2465">
        <v>9670.2282478793604</v>
      </c>
      <c r="U2465">
        <v>67289.719626168226</v>
      </c>
      <c r="V2465">
        <v>0</v>
      </c>
      <c r="W2465">
        <v>794392.52336448594</v>
      </c>
      <c r="X2465">
        <v>0</v>
      </c>
      <c r="Y2465">
        <v>1389684.8270133026</v>
      </c>
      <c r="Z2465">
        <v>60994.672986697347</v>
      </c>
      <c r="AA2465">
        <v>1450679.5</v>
      </c>
      <c r="AB2465" t="s">
        <v>242</v>
      </c>
      <c r="AC2465">
        <v>6</v>
      </c>
      <c r="AD2465">
        <v>6000</v>
      </c>
      <c r="AE2465">
        <v>0</v>
      </c>
      <c r="AF2465">
        <v>0</v>
      </c>
      <c r="AG2465">
        <v>246.10271423722997</v>
      </c>
      <c r="AH2465" t="s">
        <v>58</v>
      </c>
      <c r="AK2465" t="s">
        <v>798</v>
      </c>
      <c r="AL2465">
        <v>4142300192</v>
      </c>
      <c r="AM2465">
        <v>10067571</v>
      </c>
      <c r="AN2465" t="s">
        <v>192</v>
      </c>
      <c r="AO2465" t="s">
        <v>445</v>
      </c>
      <c r="AP2465" t="s">
        <v>430</v>
      </c>
      <c r="AQ2465" t="s">
        <v>233</v>
      </c>
      <c r="AR2465" t="s">
        <v>234</v>
      </c>
      <c r="AT2465" t="s">
        <v>52</v>
      </c>
      <c r="AU2465">
        <v>5000</v>
      </c>
      <c r="AW2465">
        <v>45380</v>
      </c>
      <c r="AX2465" t="s">
        <v>1013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256562.55140186916</v>
      </c>
      <c r="BI2465">
        <v>256562.55140186916</v>
      </c>
      <c r="BJ2465">
        <v>17959.378598130843</v>
      </c>
      <c r="BK2465">
        <v>274521.93</v>
      </c>
      <c r="BL2465" t="s">
        <v>242</v>
      </c>
      <c r="BM2465">
        <v>8</v>
      </c>
      <c r="BN2465">
        <v>40000</v>
      </c>
      <c r="BO2465">
        <v>0</v>
      </c>
      <c r="BP2465">
        <v>0</v>
      </c>
      <c r="BQ2465">
        <v>2616.8224299065405</v>
      </c>
      <c r="BR2465" t="s">
        <v>58</v>
      </c>
    </row>
    <row r="2466" spans="1:70" x14ac:dyDescent="0.3">
      <c r="A2466" t="s">
        <v>798</v>
      </c>
      <c r="B2466">
        <v>4142300192</v>
      </c>
      <c r="C2466">
        <v>10067571</v>
      </c>
      <c r="D2466" t="s">
        <v>192</v>
      </c>
      <c r="E2466" t="s">
        <v>445</v>
      </c>
      <c r="F2466" t="s">
        <v>430</v>
      </c>
      <c r="G2466" t="s">
        <v>233</v>
      </c>
      <c r="H2466" t="s">
        <v>234</v>
      </c>
      <c r="J2466" t="s">
        <v>52</v>
      </c>
      <c r="K2466" s="15">
        <v>5000</v>
      </c>
      <c r="M2466">
        <v>45380</v>
      </c>
      <c r="N2466" t="s">
        <v>1013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256562.55140186916</v>
      </c>
      <c r="Y2466">
        <v>256562.55140186916</v>
      </c>
      <c r="Z2466">
        <v>17959.378598130843</v>
      </c>
      <c r="AA2466">
        <v>274521.93</v>
      </c>
      <c r="AB2466" t="s">
        <v>242</v>
      </c>
      <c r="AC2466">
        <v>8</v>
      </c>
      <c r="AD2466">
        <v>40000</v>
      </c>
      <c r="AE2466">
        <v>0</v>
      </c>
      <c r="AF2466">
        <v>0</v>
      </c>
      <c r="AG2466">
        <v>2616.8224299065405</v>
      </c>
      <c r="AH2466" t="s">
        <v>58</v>
      </c>
      <c r="AK2466" t="s">
        <v>798</v>
      </c>
      <c r="AL2466">
        <v>4142300254</v>
      </c>
      <c r="AM2466">
        <v>10153969</v>
      </c>
      <c r="AN2466" t="s">
        <v>195</v>
      </c>
      <c r="AO2466" t="s">
        <v>445</v>
      </c>
      <c r="AP2466" t="s">
        <v>430</v>
      </c>
      <c r="AQ2466" t="s">
        <v>237</v>
      </c>
      <c r="AR2466" t="s">
        <v>234</v>
      </c>
      <c r="AT2466" t="s">
        <v>52</v>
      </c>
      <c r="AU2466">
        <v>5000</v>
      </c>
      <c r="AW2466">
        <v>45380</v>
      </c>
      <c r="AX2466" t="s">
        <v>1013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48233.850467289725</v>
      </c>
      <c r="BI2466">
        <v>48233.850467289725</v>
      </c>
      <c r="BJ2466">
        <v>3376.369532710281</v>
      </c>
      <c r="BK2466">
        <v>51610.220000000008</v>
      </c>
      <c r="BL2466" t="s">
        <v>242</v>
      </c>
      <c r="BM2466">
        <v>8</v>
      </c>
      <c r="BN2466">
        <v>40000</v>
      </c>
      <c r="BO2466">
        <v>0</v>
      </c>
      <c r="BP2466">
        <v>0</v>
      </c>
      <c r="BQ2466">
        <v>2616.8224299065405</v>
      </c>
      <c r="BR2466" t="s">
        <v>58</v>
      </c>
    </row>
    <row r="2467" spans="1:70" x14ac:dyDescent="0.3">
      <c r="A2467" t="s">
        <v>798</v>
      </c>
      <c r="B2467">
        <v>4142300254</v>
      </c>
      <c r="C2467">
        <v>10153969</v>
      </c>
      <c r="D2467" t="s">
        <v>195</v>
      </c>
      <c r="E2467" t="s">
        <v>445</v>
      </c>
      <c r="F2467" t="s">
        <v>430</v>
      </c>
      <c r="G2467" t="s">
        <v>237</v>
      </c>
      <c r="H2467" t="s">
        <v>234</v>
      </c>
      <c r="J2467" t="s">
        <v>52</v>
      </c>
      <c r="K2467" s="15">
        <v>5000</v>
      </c>
      <c r="M2467">
        <v>45380</v>
      </c>
      <c r="N2467" t="s">
        <v>1013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48233.850467289725</v>
      </c>
      <c r="Y2467">
        <v>48233.850467289725</v>
      </c>
      <c r="Z2467">
        <v>3376.369532710281</v>
      </c>
      <c r="AA2467">
        <v>51610.220000000008</v>
      </c>
      <c r="AB2467" t="s">
        <v>242</v>
      </c>
      <c r="AC2467">
        <v>8</v>
      </c>
      <c r="AD2467">
        <v>40000</v>
      </c>
      <c r="AE2467">
        <v>0</v>
      </c>
      <c r="AF2467">
        <v>0</v>
      </c>
      <c r="AG2467">
        <v>2616.8224299065405</v>
      </c>
      <c r="AH2467" t="s">
        <v>58</v>
      </c>
      <c r="AK2467" t="s">
        <v>798</v>
      </c>
      <c r="AL2467">
        <v>4142300425</v>
      </c>
      <c r="AM2467">
        <v>10188307</v>
      </c>
      <c r="AN2467" t="s">
        <v>199</v>
      </c>
      <c r="AO2467" t="s">
        <v>445</v>
      </c>
      <c r="AP2467" t="s">
        <v>430</v>
      </c>
      <c r="AQ2467" t="s">
        <v>230</v>
      </c>
      <c r="AR2467" t="s">
        <v>234</v>
      </c>
      <c r="AT2467" t="s">
        <v>52</v>
      </c>
      <c r="AU2467">
        <v>10000</v>
      </c>
      <c r="AW2467">
        <v>45380</v>
      </c>
      <c r="AX2467" t="s">
        <v>1013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242622.45794392534</v>
      </c>
      <c r="BI2467">
        <v>242622.45794392534</v>
      </c>
      <c r="BJ2467">
        <v>16983.572056074776</v>
      </c>
      <c r="BK2467">
        <v>259606.03000000012</v>
      </c>
      <c r="BL2467" t="s">
        <v>242</v>
      </c>
      <c r="BM2467">
        <v>6</v>
      </c>
      <c r="BN2467">
        <v>81000</v>
      </c>
      <c r="BO2467">
        <v>0</v>
      </c>
      <c r="BP2467">
        <v>0</v>
      </c>
      <c r="BQ2467">
        <v>5299.0654205607461</v>
      </c>
      <c r="BR2467" t="s">
        <v>58</v>
      </c>
    </row>
    <row r="2468" spans="1:70" x14ac:dyDescent="0.3">
      <c r="A2468" t="s">
        <v>798</v>
      </c>
      <c r="B2468">
        <v>4142300425</v>
      </c>
      <c r="C2468">
        <v>10188307</v>
      </c>
      <c r="D2468" t="s">
        <v>199</v>
      </c>
      <c r="E2468" t="s">
        <v>445</v>
      </c>
      <c r="F2468" t="s">
        <v>430</v>
      </c>
      <c r="G2468" t="s">
        <v>230</v>
      </c>
      <c r="H2468" t="s">
        <v>234</v>
      </c>
      <c r="J2468" t="s">
        <v>52</v>
      </c>
      <c r="K2468" s="15">
        <v>10000</v>
      </c>
      <c r="M2468">
        <v>45380</v>
      </c>
      <c r="N2468" t="s">
        <v>1013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242622.45794392534</v>
      </c>
      <c r="Y2468">
        <v>242622.45794392534</v>
      </c>
      <c r="Z2468">
        <v>16983.572056074776</v>
      </c>
      <c r="AA2468">
        <v>259606.03000000012</v>
      </c>
      <c r="AB2468" t="s">
        <v>242</v>
      </c>
      <c r="AC2468">
        <v>6</v>
      </c>
      <c r="AD2468">
        <v>81000</v>
      </c>
      <c r="AE2468">
        <v>0</v>
      </c>
      <c r="AF2468">
        <v>0</v>
      </c>
      <c r="AG2468">
        <v>5299.0654205607461</v>
      </c>
      <c r="AH2468" t="s">
        <v>58</v>
      </c>
      <c r="AK2468" t="s">
        <v>798</v>
      </c>
      <c r="AL2468">
        <v>4142301414</v>
      </c>
      <c r="AM2468">
        <v>10460887</v>
      </c>
      <c r="AN2468" t="s">
        <v>787</v>
      </c>
      <c r="AO2468" t="s">
        <v>446</v>
      </c>
      <c r="AP2468" t="s">
        <v>430</v>
      </c>
      <c r="AQ2468" t="s">
        <v>230</v>
      </c>
      <c r="AR2468" t="s">
        <v>234</v>
      </c>
      <c r="AT2468" t="s">
        <v>52</v>
      </c>
      <c r="AU2468">
        <v>4000</v>
      </c>
      <c r="AW2468">
        <v>45380</v>
      </c>
      <c r="AX2468" t="s">
        <v>1013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201680.97516323131</v>
      </c>
      <c r="BI2468">
        <v>201680.97516323131</v>
      </c>
      <c r="BJ2468">
        <v>14117.668261426194</v>
      </c>
      <c r="BK2468">
        <v>215798.64342465749</v>
      </c>
      <c r="BL2468" t="s">
        <v>242</v>
      </c>
      <c r="BM2468">
        <v>1</v>
      </c>
      <c r="BN2468">
        <v>4000</v>
      </c>
      <c r="BO2468">
        <v>0</v>
      </c>
      <c r="BP2468">
        <v>0</v>
      </c>
      <c r="BQ2468">
        <v>261.68224299065423</v>
      </c>
      <c r="BR2468" t="s">
        <v>72</v>
      </c>
    </row>
    <row r="2469" spans="1:70" x14ac:dyDescent="0.3">
      <c r="A2469" t="s">
        <v>798</v>
      </c>
      <c r="B2469">
        <v>4142300562</v>
      </c>
      <c r="C2469">
        <v>10244381</v>
      </c>
      <c r="D2469" t="s">
        <v>791</v>
      </c>
      <c r="E2469" t="s">
        <v>445</v>
      </c>
      <c r="F2469" t="s">
        <v>430</v>
      </c>
      <c r="G2469" t="s">
        <v>237</v>
      </c>
      <c r="H2469" t="s">
        <v>234</v>
      </c>
      <c r="J2469" t="s">
        <v>425</v>
      </c>
      <c r="K2469" s="15">
        <v>55000</v>
      </c>
      <c r="M2469">
        <v>45380</v>
      </c>
      <c r="N2469" t="s">
        <v>1023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210738.31775700935</v>
      </c>
      <c r="Y2469">
        <v>210738.31775700935</v>
      </c>
      <c r="Z2469">
        <v>14751.682242990657</v>
      </c>
      <c r="AA2469">
        <v>225490</v>
      </c>
      <c r="AB2469" t="s">
        <v>242</v>
      </c>
      <c r="AC2469">
        <v>0</v>
      </c>
      <c r="AD2469">
        <v>0</v>
      </c>
      <c r="AE2469">
        <v>0</v>
      </c>
      <c r="AF2469">
        <v>58850</v>
      </c>
      <c r="AG2469">
        <v>3850</v>
      </c>
      <c r="AH2469" t="s">
        <v>72</v>
      </c>
      <c r="AK2469" t="s">
        <v>798</v>
      </c>
      <c r="AL2469">
        <v>42201296</v>
      </c>
      <c r="AM2469">
        <v>2756018038</v>
      </c>
      <c r="AN2469" t="s">
        <v>1002</v>
      </c>
      <c r="AO2469" t="s">
        <v>439</v>
      </c>
      <c r="AP2469" t="s">
        <v>430</v>
      </c>
      <c r="AQ2469" t="s">
        <v>237</v>
      </c>
      <c r="AR2469" t="s">
        <v>234</v>
      </c>
      <c r="AT2469" t="s">
        <v>425</v>
      </c>
      <c r="AU2469">
        <v>24000</v>
      </c>
      <c r="AW2469">
        <v>45380</v>
      </c>
      <c r="AX2469" t="s">
        <v>1023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280596.08411214955</v>
      </c>
      <c r="BI2469">
        <v>280596.08411214955</v>
      </c>
      <c r="BJ2469">
        <v>19641.725887850469</v>
      </c>
      <c r="BK2469">
        <v>300237.81</v>
      </c>
      <c r="BL2469" t="s">
        <v>242</v>
      </c>
      <c r="BM2469">
        <v>0</v>
      </c>
      <c r="BN2469">
        <v>0</v>
      </c>
      <c r="BO2469">
        <v>0</v>
      </c>
      <c r="BP2469">
        <v>25680</v>
      </c>
      <c r="BQ2469">
        <v>1680</v>
      </c>
      <c r="BR2469" t="s">
        <v>72</v>
      </c>
    </row>
    <row r="2470" spans="1:70" x14ac:dyDescent="0.3">
      <c r="A2470" t="s">
        <v>798</v>
      </c>
      <c r="B2470">
        <v>4142300788</v>
      </c>
      <c r="C2470">
        <v>10363055</v>
      </c>
      <c r="D2470" t="s">
        <v>792</v>
      </c>
      <c r="E2470" t="s">
        <v>445</v>
      </c>
      <c r="F2470" t="s">
        <v>430</v>
      </c>
      <c r="G2470" t="s">
        <v>237</v>
      </c>
      <c r="H2470" t="s">
        <v>234</v>
      </c>
      <c r="J2470" t="s">
        <v>425</v>
      </c>
      <c r="K2470" s="15">
        <v>450000</v>
      </c>
      <c r="M2470">
        <v>45380</v>
      </c>
      <c r="N2470" t="s">
        <v>1023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449752.27102803742</v>
      </c>
      <c r="Y2470">
        <v>449752.27102803742</v>
      </c>
      <c r="Z2470">
        <v>31482.658971962621</v>
      </c>
      <c r="AA2470">
        <v>481234.93000000005</v>
      </c>
      <c r="AB2470" t="s">
        <v>242</v>
      </c>
      <c r="AC2470">
        <v>0</v>
      </c>
      <c r="AD2470">
        <v>0</v>
      </c>
      <c r="AE2470">
        <v>0</v>
      </c>
      <c r="AF2470">
        <v>481500</v>
      </c>
      <c r="AG2470">
        <v>31500</v>
      </c>
      <c r="AH2470" t="s">
        <v>72</v>
      </c>
      <c r="AK2470" t="s">
        <v>798</v>
      </c>
      <c r="AL2470">
        <v>4142300562</v>
      </c>
      <c r="AM2470">
        <v>10244381</v>
      </c>
      <c r="AN2470" t="s">
        <v>791</v>
      </c>
      <c r="AO2470" t="s">
        <v>445</v>
      </c>
      <c r="AP2470" t="s">
        <v>430</v>
      </c>
      <c r="AQ2470" t="s">
        <v>237</v>
      </c>
      <c r="AR2470" t="s">
        <v>234</v>
      </c>
      <c r="AT2470" t="s">
        <v>425</v>
      </c>
      <c r="AU2470">
        <v>55000</v>
      </c>
      <c r="AW2470">
        <v>45380</v>
      </c>
      <c r="AX2470" t="s">
        <v>1023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210738.31775700935</v>
      </c>
      <c r="BI2470">
        <v>210738.31775700935</v>
      </c>
      <c r="BJ2470">
        <v>14751.682242990657</v>
      </c>
      <c r="BK2470">
        <v>225490</v>
      </c>
      <c r="BL2470" t="s">
        <v>242</v>
      </c>
      <c r="BM2470">
        <v>0</v>
      </c>
      <c r="BN2470">
        <v>0</v>
      </c>
      <c r="BO2470">
        <v>0</v>
      </c>
      <c r="BP2470">
        <v>58850</v>
      </c>
      <c r="BQ2470">
        <v>3850</v>
      </c>
      <c r="BR2470" t="s">
        <v>72</v>
      </c>
    </row>
    <row r="2471" spans="1:70" x14ac:dyDescent="0.3">
      <c r="A2471" t="s">
        <v>798</v>
      </c>
      <c r="B2471">
        <v>4142301414</v>
      </c>
      <c r="C2471">
        <v>10460887</v>
      </c>
      <c r="D2471" t="s">
        <v>787</v>
      </c>
      <c r="E2471" t="s">
        <v>446</v>
      </c>
      <c r="F2471" t="s">
        <v>430</v>
      </c>
      <c r="G2471" t="s">
        <v>230</v>
      </c>
      <c r="H2471" t="s">
        <v>234</v>
      </c>
      <c r="J2471" t="s">
        <v>52</v>
      </c>
      <c r="K2471" s="15">
        <v>4000</v>
      </c>
      <c r="M2471">
        <v>45380</v>
      </c>
      <c r="N2471" t="s">
        <v>1013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201680.97516323131</v>
      </c>
      <c r="Y2471">
        <v>201680.97516323131</v>
      </c>
      <c r="Z2471">
        <v>14117.668261426194</v>
      </c>
      <c r="AA2471">
        <v>215798.64342465749</v>
      </c>
      <c r="AB2471" t="s">
        <v>242</v>
      </c>
      <c r="AC2471">
        <v>1</v>
      </c>
      <c r="AD2471">
        <v>4000</v>
      </c>
      <c r="AE2471">
        <v>0</v>
      </c>
      <c r="AF2471">
        <v>0</v>
      </c>
      <c r="AG2471">
        <v>261.68224299065423</v>
      </c>
      <c r="AH2471" t="s">
        <v>72</v>
      </c>
      <c r="AK2471" t="s">
        <v>798</v>
      </c>
      <c r="AL2471">
        <v>4142300788</v>
      </c>
      <c r="AM2471">
        <v>10363055</v>
      </c>
      <c r="AN2471" t="s">
        <v>792</v>
      </c>
      <c r="AO2471" t="s">
        <v>445</v>
      </c>
      <c r="AP2471" t="s">
        <v>430</v>
      </c>
      <c r="AQ2471" t="s">
        <v>237</v>
      </c>
      <c r="AR2471" t="s">
        <v>234</v>
      </c>
      <c r="AT2471" t="s">
        <v>425</v>
      </c>
      <c r="AU2471">
        <v>450000</v>
      </c>
      <c r="AW2471">
        <v>45380</v>
      </c>
      <c r="AX2471" t="s">
        <v>1023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449752.27102803742</v>
      </c>
      <c r="BI2471">
        <v>449752.27102803742</v>
      </c>
      <c r="BJ2471">
        <v>31482.658971962621</v>
      </c>
      <c r="BK2471">
        <v>481234.93000000005</v>
      </c>
      <c r="BL2471" t="s">
        <v>242</v>
      </c>
      <c r="BM2471">
        <v>0</v>
      </c>
      <c r="BN2471">
        <v>0</v>
      </c>
      <c r="BO2471">
        <v>0</v>
      </c>
      <c r="BP2471">
        <v>481500</v>
      </c>
      <c r="BQ2471">
        <v>31500</v>
      </c>
      <c r="BR2471" t="s">
        <v>72</v>
      </c>
    </row>
    <row r="2472" spans="1:70" x14ac:dyDescent="0.3">
      <c r="A2472" t="s">
        <v>798</v>
      </c>
      <c r="B2472">
        <v>12200042</v>
      </c>
      <c r="C2472">
        <v>23526321</v>
      </c>
      <c r="D2472" t="s">
        <v>624</v>
      </c>
      <c r="E2472" t="s">
        <v>435</v>
      </c>
      <c r="F2472" t="s">
        <v>427</v>
      </c>
      <c r="G2472" t="s">
        <v>230</v>
      </c>
      <c r="H2472" t="s">
        <v>230</v>
      </c>
      <c r="J2472" t="s">
        <v>52</v>
      </c>
      <c r="K2472" s="15">
        <v>3000</v>
      </c>
      <c r="M2472">
        <v>45381</v>
      </c>
      <c r="N2472" t="s">
        <v>1013</v>
      </c>
      <c r="O2472">
        <v>0</v>
      </c>
      <c r="P2472">
        <v>0</v>
      </c>
      <c r="Q2472">
        <v>0</v>
      </c>
      <c r="R2472">
        <v>0</v>
      </c>
      <c r="S2472">
        <v>10173.699999999997</v>
      </c>
      <c r="T2472">
        <v>0</v>
      </c>
      <c r="U2472">
        <v>0</v>
      </c>
      <c r="V2472">
        <v>80000</v>
      </c>
      <c r="W2472">
        <v>0</v>
      </c>
      <c r="X2472">
        <v>0</v>
      </c>
      <c r="Y2472">
        <v>90173.7</v>
      </c>
      <c r="Z2472">
        <v>0</v>
      </c>
      <c r="AA2472">
        <v>90173.7</v>
      </c>
      <c r="AB2472" t="s">
        <v>242</v>
      </c>
      <c r="AC2472">
        <v>14</v>
      </c>
      <c r="AD2472">
        <v>30600</v>
      </c>
      <c r="AE2472">
        <v>0</v>
      </c>
      <c r="AF2472">
        <v>0</v>
      </c>
      <c r="AG2472">
        <v>0</v>
      </c>
      <c r="AH2472" t="s">
        <v>58</v>
      </c>
      <c r="AK2472" t="s">
        <v>798</v>
      </c>
      <c r="AL2472">
        <v>42201112</v>
      </c>
      <c r="AM2472">
        <v>2756020075</v>
      </c>
      <c r="AN2472" t="s">
        <v>929</v>
      </c>
      <c r="AO2472" t="s">
        <v>439</v>
      </c>
      <c r="AP2472" t="s">
        <v>430</v>
      </c>
      <c r="AQ2472" t="s">
        <v>233</v>
      </c>
      <c r="AR2472" t="s">
        <v>234</v>
      </c>
      <c r="AT2472" t="s">
        <v>52</v>
      </c>
      <c r="AU2472">
        <v>2000</v>
      </c>
      <c r="AW2472">
        <v>45381</v>
      </c>
      <c r="AX2472" t="s">
        <v>1051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30878.887850467276</v>
      </c>
      <c r="BI2472">
        <v>30878.887850467276</v>
      </c>
      <c r="BJ2472">
        <v>2161.5221495327096</v>
      </c>
      <c r="BK2472">
        <v>33040.409999999989</v>
      </c>
      <c r="BL2472" t="s">
        <v>242</v>
      </c>
      <c r="BM2472">
        <v>11</v>
      </c>
      <c r="BN2472">
        <v>94000</v>
      </c>
      <c r="BO2472">
        <v>0</v>
      </c>
      <c r="BP2472">
        <v>0</v>
      </c>
      <c r="BQ2472">
        <v>6149.5327102803712</v>
      </c>
      <c r="BR2472" t="s">
        <v>58</v>
      </c>
    </row>
    <row r="2473" spans="1:70" x14ac:dyDescent="0.3">
      <c r="A2473" t="s">
        <v>798</v>
      </c>
      <c r="B2473">
        <v>42200856</v>
      </c>
      <c r="C2473">
        <v>2757002330</v>
      </c>
      <c r="D2473" t="s">
        <v>934</v>
      </c>
      <c r="E2473" t="s">
        <v>439</v>
      </c>
      <c r="F2473" t="s">
        <v>430</v>
      </c>
      <c r="G2473" t="s">
        <v>233</v>
      </c>
      <c r="H2473" t="s">
        <v>234</v>
      </c>
      <c r="J2473" t="s">
        <v>52</v>
      </c>
      <c r="K2473" s="15">
        <v>500</v>
      </c>
      <c r="M2473">
        <v>45381</v>
      </c>
      <c r="N2473" t="s">
        <v>1013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33031.280373831767</v>
      </c>
      <c r="Y2473">
        <v>33031.280373831767</v>
      </c>
      <c r="Z2473">
        <v>2312.1896261682241</v>
      </c>
      <c r="AA2473">
        <v>35343.469999999994</v>
      </c>
      <c r="AB2473" t="s">
        <v>242</v>
      </c>
      <c r="AC2473">
        <v>10</v>
      </c>
      <c r="AD2473">
        <v>5000</v>
      </c>
      <c r="AE2473">
        <v>0</v>
      </c>
      <c r="AF2473">
        <v>0</v>
      </c>
      <c r="AG2473">
        <v>327.10280373831779</v>
      </c>
      <c r="AH2473" t="s">
        <v>58</v>
      </c>
      <c r="AK2473" t="s">
        <v>798</v>
      </c>
      <c r="AL2473">
        <v>12200042</v>
      </c>
      <c r="AM2473">
        <v>23526321</v>
      </c>
      <c r="AN2473" t="s">
        <v>624</v>
      </c>
      <c r="AO2473" t="s">
        <v>435</v>
      </c>
      <c r="AP2473" t="s">
        <v>427</v>
      </c>
      <c r="AQ2473" t="s">
        <v>230</v>
      </c>
      <c r="AR2473" t="s">
        <v>230</v>
      </c>
      <c r="AT2473" t="s">
        <v>52</v>
      </c>
      <c r="AU2473">
        <v>3000</v>
      </c>
      <c r="AW2473">
        <v>45381</v>
      </c>
      <c r="AX2473" t="s">
        <v>1013</v>
      </c>
      <c r="AY2473">
        <v>0</v>
      </c>
      <c r="AZ2473">
        <v>0</v>
      </c>
      <c r="BA2473">
        <v>0</v>
      </c>
      <c r="BB2473">
        <v>0</v>
      </c>
      <c r="BC2473">
        <v>10173.699999999997</v>
      </c>
      <c r="BD2473">
        <v>0</v>
      </c>
      <c r="BE2473">
        <v>0</v>
      </c>
      <c r="BF2473">
        <v>80000</v>
      </c>
      <c r="BG2473">
        <v>0</v>
      </c>
      <c r="BH2473">
        <v>0</v>
      </c>
      <c r="BI2473">
        <v>90173.7</v>
      </c>
      <c r="BJ2473">
        <v>0</v>
      </c>
      <c r="BK2473">
        <v>90173.7</v>
      </c>
      <c r="BL2473" t="s">
        <v>242</v>
      </c>
      <c r="BM2473">
        <v>14</v>
      </c>
      <c r="BN2473">
        <v>30600</v>
      </c>
      <c r="BO2473">
        <v>0</v>
      </c>
      <c r="BP2473">
        <v>0</v>
      </c>
      <c r="BQ2473">
        <v>0</v>
      </c>
      <c r="BR2473" t="s">
        <v>58</v>
      </c>
    </row>
    <row r="2474" spans="1:70" x14ac:dyDescent="0.3">
      <c r="A2474" t="s">
        <v>798</v>
      </c>
      <c r="B2474">
        <v>42201112</v>
      </c>
      <c r="C2474">
        <v>2756020075</v>
      </c>
      <c r="D2474" t="s">
        <v>929</v>
      </c>
      <c r="E2474" t="s">
        <v>439</v>
      </c>
      <c r="F2474" t="s">
        <v>430</v>
      </c>
      <c r="G2474" t="s">
        <v>233</v>
      </c>
      <c r="H2474" t="s">
        <v>234</v>
      </c>
      <c r="J2474" t="s">
        <v>52</v>
      </c>
      <c r="K2474" s="15">
        <v>2000</v>
      </c>
      <c r="M2474">
        <v>45381</v>
      </c>
      <c r="N2474" t="s">
        <v>1051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30878.887850467276</v>
      </c>
      <c r="Y2474">
        <v>30878.887850467276</v>
      </c>
      <c r="Z2474">
        <v>2161.5221495327096</v>
      </c>
      <c r="AA2474">
        <v>33040.409999999989</v>
      </c>
      <c r="AB2474" t="s">
        <v>242</v>
      </c>
      <c r="AC2474">
        <v>11</v>
      </c>
      <c r="AD2474">
        <v>94000</v>
      </c>
      <c r="AE2474">
        <v>0</v>
      </c>
      <c r="AF2474">
        <v>0</v>
      </c>
      <c r="AG2474">
        <v>6149.5327102803712</v>
      </c>
      <c r="AH2474" t="s">
        <v>58</v>
      </c>
      <c r="AK2474" t="s">
        <v>798</v>
      </c>
      <c r="AL2474">
        <v>42200856</v>
      </c>
      <c r="AM2474">
        <v>2757002330</v>
      </c>
      <c r="AN2474" t="s">
        <v>934</v>
      </c>
      <c r="AO2474" t="s">
        <v>439</v>
      </c>
      <c r="AP2474" t="s">
        <v>430</v>
      </c>
      <c r="AQ2474" t="s">
        <v>233</v>
      </c>
      <c r="AR2474" t="s">
        <v>234</v>
      </c>
      <c r="AT2474" t="s">
        <v>52</v>
      </c>
      <c r="AU2474">
        <v>500</v>
      </c>
      <c r="AW2474">
        <v>45381</v>
      </c>
      <c r="AX2474" t="s">
        <v>1013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33031.280373831767</v>
      </c>
      <c r="BI2474">
        <v>33031.280373831767</v>
      </c>
      <c r="BJ2474">
        <v>2312.1896261682241</v>
      </c>
      <c r="BK2474">
        <v>35343.469999999994</v>
      </c>
      <c r="BL2474" t="s">
        <v>242</v>
      </c>
      <c r="BM2474">
        <v>10</v>
      </c>
      <c r="BN2474">
        <v>5000</v>
      </c>
      <c r="BO2474">
        <v>0</v>
      </c>
      <c r="BP2474">
        <v>0</v>
      </c>
      <c r="BQ2474">
        <v>327.10280373831779</v>
      </c>
      <c r="BR2474" t="s">
        <v>58</v>
      </c>
    </row>
    <row r="2475" spans="1:70" x14ac:dyDescent="0.3">
      <c r="A2475" t="s">
        <v>798</v>
      </c>
      <c r="B2475">
        <v>42201414</v>
      </c>
      <c r="C2475">
        <v>2759011778</v>
      </c>
      <c r="D2475" t="s">
        <v>1003</v>
      </c>
      <c r="E2475" t="s">
        <v>439</v>
      </c>
      <c r="F2475" t="s">
        <v>430</v>
      </c>
      <c r="G2475" t="s">
        <v>230</v>
      </c>
      <c r="H2475" t="s">
        <v>234</v>
      </c>
      <c r="J2475" t="s">
        <v>52</v>
      </c>
      <c r="K2475" s="15">
        <v>1000</v>
      </c>
      <c r="M2475">
        <v>45381</v>
      </c>
      <c r="N2475" t="s">
        <v>1013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122769.49532710279</v>
      </c>
      <c r="Y2475">
        <v>122769.49532710279</v>
      </c>
      <c r="Z2475">
        <v>8593.8646728971962</v>
      </c>
      <c r="AA2475">
        <v>131363.35999999999</v>
      </c>
      <c r="AB2475" t="s">
        <v>242</v>
      </c>
      <c r="AC2475">
        <v>2</v>
      </c>
      <c r="AD2475">
        <v>3000</v>
      </c>
      <c r="AE2475">
        <v>0</v>
      </c>
      <c r="AF2475">
        <v>0</v>
      </c>
      <c r="AG2475">
        <v>196.26168224299067</v>
      </c>
      <c r="AH2475" t="s">
        <v>58</v>
      </c>
      <c r="AK2475" t="s">
        <v>798</v>
      </c>
      <c r="AL2475">
        <v>52201065</v>
      </c>
      <c r="AM2475">
        <v>26216751</v>
      </c>
      <c r="AN2475" t="s">
        <v>148</v>
      </c>
      <c r="AO2475" t="s">
        <v>438</v>
      </c>
      <c r="AP2475" t="s">
        <v>431</v>
      </c>
      <c r="AQ2475" t="s">
        <v>82</v>
      </c>
      <c r="AR2475" t="s">
        <v>83</v>
      </c>
      <c r="AT2475" t="s">
        <v>52</v>
      </c>
      <c r="AU2475">
        <v>3500</v>
      </c>
      <c r="AW2475">
        <v>45381</v>
      </c>
      <c r="AX2475" t="s">
        <v>1013</v>
      </c>
      <c r="AY2475">
        <v>0</v>
      </c>
      <c r="AZ2475">
        <v>0</v>
      </c>
      <c r="BA2475">
        <v>0</v>
      </c>
      <c r="BB2475">
        <v>830.85907185291785</v>
      </c>
      <c r="BC2475">
        <v>11966.630819989758</v>
      </c>
      <c r="BD2475">
        <v>0</v>
      </c>
      <c r="BE2475">
        <v>0</v>
      </c>
      <c r="BF2475">
        <v>43621.351324133189</v>
      </c>
      <c r="BG2475">
        <v>0</v>
      </c>
      <c r="BH2475">
        <v>0</v>
      </c>
      <c r="BI2475">
        <v>56418.841215975866</v>
      </c>
      <c r="BJ2475">
        <v>3891.1587500886062</v>
      </c>
      <c r="BK2475">
        <v>60309.999966064475</v>
      </c>
      <c r="BL2475" t="s">
        <v>242</v>
      </c>
      <c r="BM2475">
        <v>4</v>
      </c>
      <c r="BN2475">
        <v>14000</v>
      </c>
      <c r="BO2475">
        <v>0</v>
      </c>
      <c r="BP2475">
        <v>0</v>
      </c>
      <c r="BQ2475">
        <v>902.27115423336818</v>
      </c>
      <c r="BR2475" t="s">
        <v>58</v>
      </c>
    </row>
    <row r="2476" spans="1:70" x14ac:dyDescent="0.3">
      <c r="A2476" t="s">
        <v>798</v>
      </c>
      <c r="B2476">
        <v>52200258</v>
      </c>
      <c r="C2476">
        <v>24848292</v>
      </c>
      <c r="D2476" t="s">
        <v>660</v>
      </c>
      <c r="E2476" t="s">
        <v>436</v>
      </c>
      <c r="F2476" t="s">
        <v>431</v>
      </c>
      <c r="G2476" t="s">
        <v>235</v>
      </c>
      <c r="H2476" t="s">
        <v>236</v>
      </c>
      <c r="J2476" t="s">
        <v>52</v>
      </c>
      <c r="K2476" s="15">
        <v>3000</v>
      </c>
      <c r="M2476">
        <v>45381</v>
      </c>
      <c r="N2476" t="s">
        <v>1013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210828.03738317758</v>
      </c>
      <c r="W2476">
        <v>0</v>
      </c>
      <c r="X2476">
        <v>0</v>
      </c>
      <c r="Y2476">
        <v>210828.03738317758</v>
      </c>
      <c r="Z2476">
        <v>14757.962616822431</v>
      </c>
      <c r="AA2476">
        <v>225586</v>
      </c>
      <c r="AB2476" t="s">
        <v>242</v>
      </c>
      <c r="AC2476">
        <v>4</v>
      </c>
      <c r="AD2476">
        <v>8000</v>
      </c>
      <c r="AE2476">
        <v>0</v>
      </c>
      <c r="AF2476">
        <v>0</v>
      </c>
      <c r="AG2476">
        <v>521.0193838922844</v>
      </c>
      <c r="AH2476" t="s">
        <v>58</v>
      </c>
      <c r="AK2476" t="s">
        <v>798</v>
      </c>
      <c r="AL2476">
        <v>42201414</v>
      </c>
      <c r="AM2476">
        <v>2759011778</v>
      </c>
      <c r="AN2476" t="s">
        <v>1003</v>
      </c>
      <c r="AO2476" t="s">
        <v>439</v>
      </c>
      <c r="AP2476" t="s">
        <v>430</v>
      </c>
      <c r="AQ2476" t="s">
        <v>230</v>
      </c>
      <c r="AR2476" t="s">
        <v>234</v>
      </c>
      <c r="AT2476" t="s">
        <v>52</v>
      </c>
      <c r="AU2476">
        <v>1000</v>
      </c>
      <c r="AW2476">
        <v>45381</v>
      </c>
      <c r="AX2476" t="s">
        <v>1013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122769.49532710279</v>
      </c>
      <c r="BI2476">
        <v>122769.49532710279</v>
      </c>
      <c r="BJ2476">
        <v>8593.8646728971962</v>
      </c>
      <c r="BK2476">
        <v>131363.35999999999</v>
      </c>
      <c r="BL2476" t="s">
        <v>242</v>
      </c>
      <c r="BM2476">
        <v>2</v>
      </c>
      <c r="BN2476">
        <v>3000</v>
      </c>
      <c r="BO2476">
        <v>0</v>
      </c>
      <c r="BP2476">
        <v>0</v>
      </c>
      <c r="BQ2476">
        <v>196.26168224299067</v>
      </c>
      <c r="BR2476" t="s">
        <v>58</v>
      </c>
    </row>
    <row r="2477" spans="1:70" x14ac:dyDescent="0.3">
      <c r="A2477" t="s">
        <v>798</v>
      </c>
      <c r="B2477">
        <v>52201065</v>
      </c>
      <c r="C2477">
        <v>26216751</v>
      </c>
      <c r="D2477" t="s">
        <v>148</v>
      </c>
      <c r="E2477" t="s">
        <v>438</v>
      </c>
      <c r="F2477" t="s">
        <v>431</v>
      </c>
      <c r="G2477" t="s">
        <v>82</v>
      </c>
      <c r="H2477" t="s">
        <v>83</v>
      </c>
      <c r="J2477" t="s">
        <v>52</v>
      </c>
      <c r="K2477" s="15">
        <v>3500</v>
      </c>
      <c r="M2477">
        <v>45381</v>
      </c>
      <c r="N2477" t="s">
        <v>1013</v>
      </c>
      <c r="O2477">
        <v>0</v>
      </c>
      <c r="P2477">
        <v>0</v>
      </c>
      <c r="Q2477">
        <v>0</v>
      </c>
      <c r="R2477">
        <v>830.85907185291785</v>
      </c>
      <c r="S2477">
        <v>11966.630819989758</v>
      </c>
      <c r="T2477">
        <v>0</v>
      </c>
      <c r="U2477">
        <v>0</v>
      </c>
      <c r="V2477">
        <v>43621.351324133189</v>
      </c>
      <c r="W2477">
        <v>0</v>
      </c>
      <c r="X2477">
        <v>0</v>
      </c>
      <c r="Y2477">
        <v>56418.841215975866</v>
      </c>
      <c r="Z2477">
        <v>3891.1587500886062</v>
      </c>
      <c r="AA2477">
        <v>60309.999966064475</v>
      </c>
      <c r="AB2477" t="s">
        <v>242</v>
      </c>
      <c r="AC2477">
        <v>4</v>
      </c>
      <c r="AD2477">
        <v>14000</v>
      </c>
      <c r="AE2477">
        <v>0</v>
      </c>
      <c r="AF2477">
        <v>0</v>
      </c>
      <c r="AG2477">
        <v>902.27115423336818</v>
      </c>
      <c r="AH2477" t="s">
        <v>58</v>
      </c>
      <c r="AK2477" t="s">
        <v>798</v>
      </c>
      <c r="AL2477">
        <v>52200258</v>
      </c>
      <c r="AM2477">
        <v>24848292</v>
      </c>
      <c r="AN2477" t="s">
        <v>660</v>
      </c>
      <c r="AO2477" t="s">
        <v>436</v>
      </c>
      <c r="AP2477" t="s">
        <v>431</v>
      </c>
      <c r="AQ2477" t="s">
        <v>235</v>
      </c>
      <c r="AR2477" t="s">
        <v>236</v>
      </c>
      <c r="AT2477" t="s">
        <v>52</v>
      </c>
      <c r="AU2477">
        <v>3000</v>
      </c>
      <c r="AW2477">
        <v>45381</v>
      </c>
      <c r="AX2477" t="s">
        <v>1013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210828.03738317758</v>
      </c>
      <c r="BG2477">
        <v>0</v>
      </c>
      <c r="BH2477">
        <v>0</v>
      </c>
      <c r="BI2477">
        <v>210828.03738317758</v>
      </c>
      <c r="BJ2477">
        <v>14757.962616822431</v>
      </c>
      <c r="BK2477">
        <v>225586</v>
      </c>
      <c r="BL2477" t="s">
        <v>242</v>
      </c>
      <c r="BM2477">
        <v>4</v>
      </c>
      <c r="BN2477">
        <v>8000</v>
      </c>
      <c r="BO2477">
        <v>0</v>
      </c>
      <c r="BP2477">
        <v>0</v>
      </c>
      <c r="BQ2477">
        <v>521.0193838922844</v>
      </c>
      <c r="BR2477" t="s">
        <v>58</v>
      </c>
    </row>
    <row r="2478" spans="1:70" x14ac:dyDescent="0.3">
      <c r="A2478" t="s">
        <v>798</v>
      </c>
      <c r="B2478">
        <v>52201352</v>
      </c>
      <c r="C2478">
        <v>26584588</v>
      </c>
      <c r="D2478" t="s">
        <v>156</v>
      </c>
      <c r="E2478" t="s">
        <v>438</v>
      </c>
      <c r="F2478" t="s">
        <v>431</v>
      </c>
      <c r="G2478" t="s">
        <v>82</v>
      </c>
      <c r="H2478" t="s">
        <v>83</v>
      </c>
      <c r="J2478" t="s">
        <v>52</v>
      </c>
      <c r="K2478" s="15">
        <v>2000</v>
      </c>
      <c r="M2478">
        <v>45381</v>
      </c>
      <c r="N2478" t="s">
        <v>1013</v>
      </c>
      <c r="O2478">
        <v>0</v>
      </c>
      <c r="P2478">
        <v>0</v>
      </c>
      <c r="Q2478">
        <v>0</v>
      </c>
      <c r="R2478">
        <v>893.45871299131272</v>
      </c>
      <c r="S2478">
        <v>33790.642349311587</v>
      </c>
      <c r="T2478">
        <v>0</v>
      </c>
      <c r="U2478">
        <v>0</v>
      </c>
      <c r="V2478">
        <v>58235.096694359752</v>
      </c>
      <c r="W2478">
        <v>0</v>
      </c>
      <c r="X2478">
        <v>0</v>
      </c>
      <c r="Y2478">
        <v>92919.197756662645</v>
      </c>
      <c r="Z2478">
        <v>6441.8017330569946</v>
      </c>
      <c r="AA2478">
        <v>99360.999489719645</v>
      </c>
      <c r="AB2478" t="s">
        <v>242</v>
      </c>
      <c r="AC2478">
        <v>6</v>
      </c>
      <c r="AD2478">
        <v>10000</v>
      </c>
      <c r="AE2478">
        <v>0</v>
      </c>
      <c r="AF2478">
        <v>0</v>
      </c>
      <c r="AG2478">
        <v>647.88982234522643</v>
      </c>
      <c r="AH2478" t="s">
        <v>58</v>
      </c>
      <c r="AK2478" t="s">
        <v>798</v>
      </c>
      <c r="AL2478">
        <v>52201352</v>
      </c>
      <c r="AM2478">
        <v>26584588</v>
      </c>
      <c r="AN2478" t="s">
        <v>156</v>
      </c>
      <c r="AO2478" t="s">
        <v>438</v>
      </c>
      <c r="AP2478" t="s">
        <v>431</v>
      </c>
      <c r="AQ2478" t="s">
        <v>82</v>
      </c>
      <c r="AR2478" t="s">
        <v>83</v>
      </c>
      <c r="AT2478" t="s">
        <v>52</v>
      </c>
      <c r="AU2478">
        <v>2000</v>
      </c>
      <c r="AW2478">
        <v>45381</v>
      </c>
      <c r="AX2478" t="s">
        <v>1013</v>
      </c>
      <c r="AY2478">
        <v>0</v>
      </c>
      <c r="AZ2478">
        <v>0</v>
      </c>
      <c r="BA2478">
        <v>0</v>
      </c>
      <c r="BB2478">
        <v>893.45871299131272</v>
      </c>
      <c r="BC2478">
        <v>33790.642349311587</v>
      </c>
      <c r="BD2478">
        <v>0</v>
      </c>
      <c r="BE2478">
        <v>0</v>
      </c>
      <c r="BF2478">
        <v>58235.096694359752</v>
      </c>
      <c r="BG2478">
        <v>0</v>
      </c>
      <c r="BH2478">
        <v>0</v>
      </c>
      <c r="BI2478">
        <v>92919.197756662645</v>
      </c>
      <c r="BJ2478">
        <v>6441.8017330569946</v>
      </c>
      <c r="BK2478">
        <v>99360.999489719645</v>
      </c>
      <c r="BL2478" t="s">
        <v>242</v>
      </c>
      <c r="BM2478">
        <v>6</v>
      </c>
      <c r="BN2478">
        <v>10000</v>
      </c>
      <c r="BO2478">
        <v>0</v>
      </c>
      <c r="BP2478">
        <v>0</v>
      </c>
      <c r="BQ2478">
        <v>647.88982234522643</v>
      </c>
      <c r="BR2478" t="s">
        <v>58</v>
      </c>
    </row>
    <row r="2479" spans="1:70" x14ac:dyDescent="0.3">
      <c r="A2479" t="s">
        <v>798</v>
      </c>
      <c r="B2479">
        <v>52201384</v>
      </c>
      <c r="C2479">
        <v>25169091</v>
      </c>
      <c r="D2479" t="s">
        <v>157</v>
      </c>
      <c r="E2479" t="s">
        <v>438</v>
      </c>
      <c r="F2479" t="s">
        <v>431</v>
      </c>
      <c r="G2479" t="s">
        <v>82</v>
      </c>
      <c r="H2479" t="s">
        <v>83</v>
      </c>
      <c r="J2479" t="s">
        <v>52</v>
      </c>
      <c r="K2479" s="15">
        <v>1000</v>
      </c>
      <c r="M2479">
        <v>45381</v>
      </c>
      <c r="N2479" t="s">
        <v>1013</v>
      </c>
      <c r="O2479">
        <v>0</v>
      </c>
      <c r="P2479">
        <v>0</v>
      </c>
      <c r="Q2479">
        <v>0</v>
      </c>
      <c r="R2479">
        <v>924.59333427502872</v>
      </c>
      <c r="S2479">
        <v>8482.6676349792197</v>
      </c>
      <c r="T2479">
        <v>0</v>
      </c>
      <c r="U2479">
        <v>0</v>
      </c>
      <c r="V2479">
        <v>44175.65693863044</v>
      </c>
      <c r="W2479">
        <v>0</v>
      </c>
      <c r="X2479">
        <v>0</v>
      </c>
      <c r="Y2479">
        <v>53582.917907884686</v>
      </c>
      <c r="Z2479">
        <v>3686.0827201526763</v>
      </c>
      <c r="AA2479">
        <v>57269.000628037364</v>
      </c>
      <c r="AB2479" t="s">
        <v>242</v>
      </c>
      <c r="AC2479">
        <v>3</v>
      </c>
      <c r="AD2479">
        <v>3779</v>
      </c>
      <c r="AE2479">
        <v>0</v>
      </c>
      <c r="AF2479">
        <v>0</v>
      </c>
      <c r="AG2479">
        <v>242.94535831705798</v>
      </c>
      <c r="AH2479" t="s">
        <v>58</v>
      </c>
      <c r="AK2479" t="s">
        <v>798</v>
      </c>
      <c r="AL2479">
        <v>52201384</v>
      </c>
      <c r="AM2479">
        <v>25169091</v>
      </c>
      <c r="AN2479" t="s">
        <v>157</v>
      </c>
      <c r="AO2479" t="s">
        <v>438</v>
      </c>
      <c r="AP2479" t="s">
        <v>431</v>
      </c>
      <c r="AQ2479" t="s">
        <v>82</v>
      </c>
      <c r="AR2479" t="s">
        <v>83</v>
      </c>
      <c r="AT2479" t="s">
        <v>52</v>
      </c>
      <c r="AU2479">
        <v>1000</v>
      </c>
      <c r="AW2479">
        <v>45381</v>
      </c>
      <c r="AX2479" t="s">
        <v>1013</v>
      </c>
      <c r="AY2479">
        <v>0</v>
      </c>
      <c r="AZ2479">
        <v>0</v>
      </c>
      <c r="BA2479">
        <v>0</v>
      </c>
      <c r="BB2479">
        <v>924.59333427502872</v>
      </c>
      <c r="BC2479">
        <v>8482.6676349792197</v>
      </c>
      <c r="BD2479">
        <v>0</v>
      </c>
      <c r="BE2479">
        <v>0</v>
      </c>
      <c r="BF2479">
        <v>44175.65693863044</v>
      </c>
      <c r="BG2479">
        <v>0</v>
      </c>
      <c r="BH2479">
        <v>0</v>
      </c>
      <c r="BI2479">
        <v>53582.917907884686</v>
      </c>
      <c r="BJ2479">
        <v>3686.0827201526763</v>
      </c>
      <c r="BK2479">
        <v>57269.000628037364</v>
      </c>
      <c r="BL2479" t="s">
        <v>242</v>
      </c>
      <c r="BM2479">
        <v>3</v>
      </c>
      <c r="BN2479">
        <v>3779</v>
      </c>
      <c r="BO2479">
        <v>0</v>
      </c>
      <c r="BP2479">
        <v>0</v>
      </c>
      <c r="BQ2479">
        <v>242.94535831705798</v>
      </c>
      <c r="BR2479" t="s">
        <v>58</v>
      </c>
    </row>
    <row r="2480" spans="1:70" x14ac:dyDescent="0.3">
      <c r="A2480" t="s">
        <v>798</v>
      </c>
      <c r="B2480">
        <v>52201823</v>
      </c>
      <c r="C2480">
        <v>26207055</v>
      </c>
      <c r="D2480" t="s">
        <v>165</v>
      </c>
      <c r="E2480" t="s">
        <v>438</v>
      </c>
      <c r="F2480" t="s">
        <v>431</v>
      </c>
      <c r="G2480" t="s">
        <v>82</v>
      </c>
      <c r="H2480" t="s">
        <v>83</v>
      </c>
      <c r="J2480" t="s">
        <v>52</v>
      </c>
      <c r="K2480" s="15">
        <v>500</v>
      </c>
      <c r="M2480">
        <v>45381</v>
      </c>
      <c r="N2480" t="s">
        <v>1013</v>
      </c>
      <c r="O2480">
        <v>0</v>
      </c>
      <c r="P2480">
        <v>0</v>
      </c>
      <c r="Q2480">
        <v>0</v>
      </c>
      <c r="R2480">
        <v>831.75279076346499</v>
      </c>
      <c r="S2480">
        <v>29155.634409523089</v>
      </c>
      <c r="T2480">
        <v>0</v>
      </c>
      <c r="U2480">
        <v>0</v>
      </c>
      <c r="V2480">
        <v>82604.409809083882</v>
      </c>
      <c r="W2480">
        <v>0</v>
      </c>
      <c r="X2480">
        <v>0</v>
      </c>
      <c r="Y2480">
        <v>112591.79700937044</v>
      </c>
      <c r="Z2480">
        <v>7823.2030953024887</v>
      </c>
      <c r="AA2480">
        <v>120415.00010467293</v>
      </c>
      <c r="AB2480" t="s">
        <v>242</v>
      </c>
      <c r="AC2480">
        <v>10</v>
      </c>
      <c r="AD2480">
        <v>8000</v>
      </c>
      <c r="AE2480">
        <v>0</v>
      </c>
      <c r="AF2480">
        <v>0</v>
      </c>
      <c r="AG2480">
        <v>519.48850033032022</v>
      </c>
      <c r="AH2480" t="s">
        <v>58</v>
      </c>
      <c r="AK2480" t="s">
        <v>798</v>
      </c>
      <c r="AL2480">
        <v>62200043</v>
      </c>
      <c r="AM2480">
        <v>26069838</v>
      </c>
      <c r="AN2480" t="s">
        <v>769</v>
      </c>
      <c r="AO2480" t="s">
        <v>435</v>
      </c>
      <c r="AP2480" t="s">
        <v>432</v>
      </c>
      <c r="AQ2480" t="s">
        <v>82</v>
      </c>
      <c r="AR2480" t="s">
        <v>82</v>
      </c>
      <c r="AT2480" t="s">
        <v>52</v>
      </c>
      <c r="AU2480">
        <v>4500</v>
      </c>
      <c r="AW2480">
        <v>45381</v>
      </c>
      <c r="AX2480" t="s">
        <v>1013</v>
      </c>
      <c r="AY2480">
        <v>0</v>
      </c>
      <c r="AZ2480">
        <v>0</v>
      </c>
      <c r="BA2480">
        <v>0</v>
      </c>
      <c r="BB2480">
        <v>0</v>
      </c>
      <c r="BC2480">
        <v>3794.4657534246571</v>
      </c>
      <c r="BD2480">
        <v>0</v>
      </c>
      <c r="BE2480">
        <v>0</v>
      </c>
      <c r="BF2480">
        <v>30000</v>
      </c>
      <c r="BG2480">
        <v>0</v>
      </c>
      <c r="BH2480">
        <v>0</v>
      </c>
      <c r="BI2480">
        <v>33794.465753424658</v>
      </c>
      <c r="BJ2480">
        <v>0</v>
      </c>
      <c r="BK2480">
        <v>33794.465753424658</v>
      </c>
      <c r="BL2480" t="s">
        <v>242</v>
      </c>
      <c r="BM2480">
        <v>1</v>
      </c>
      <c r="BN2480">
        <v>4500</v>
      </c>
      <c r="BO2480">
        <v>0</v>
      </c>
      <c r="BP2480">
        <v>0</v>
      </c>
      <c r="BQ2480">
        <v>0</v>
      </c>
      <c r="BR2480" t="s">
        <v>72</v>
      </c>
    </row>
    <row r="2481" spans="1:70" x14ac:dyDescent="0.3">
      <c r="A2481" t="s">
        <v>798</v>
      </c>
      <c r="B2481">
        <v>62200043</v>
      </c>
      <c r="C2481">
        <v>26069838</v>
      </c>
      <c r="D2481" t="s">
        <v>769</v>
      </c>
      <c r="E2481" t="s">
        <v>435</v>
      </c>
      <c r="F2481" t="s">
        <v>432</v>
      </c>
      <c r="G2481" t="s">
        <v>82</v>
      </c>
      <c r="H2481" t="s">
        <v>82</v>
      </c>
      <c r="J2481" t="s">
        <v>52</v>
      </c>
      <c r="K2481" s="15">
        <v>4500</v>
      </c>
      <c r="M2481">
        <v>45381</v>
      </c>
      <c r="N2481" t="s">
        <v>1013</v>
      </c>
      <c r="O2481">
        <v>0</v>
      </c>
      <c r="P2481">
        <v>0</v>
      </c>
      <c r="Q2481">
        <v>0</v>
      </c>
      <c r="R2481">
        <v>0</v>
      </c>
      <c r="S2481">
        <v>3794.4657534246571</v>
      </c>
      <c r="T2481">
        <v>0</v>
      </c>
      <c r="U2481">
        <v>0</v>
      </c>
      <c r="V2481">
        <v>30000</v>
      </c>
      <c r="W2481">
        <v>0</v>
      </c>
      <c r="X2481">
        <v>0</v>
      </c>
      <c r="Y2481">
        <v>33794.465753424658</v>
      </c>
      <c r="Z2481">
        <v>0</v>
      </c>
      <c r="AA2481">
        <v>33794.465753424658</v>
      </c>
      <c r="AB2481" t="s">
        <v>242</v>
      </c>
      <c r="AC2481">
        <v>1</v>
      </c>
      <c r="AD2481">
        <v>4500</v>
      </c>
      <c r="AE2481">
        <v>0</v>
      </c>
      <c r="AF2481">
        <v>0</v>
      </c>
      <c r="AG2481">
        <v>0</v>
      </c>
      <c r="AH2481" t="s">
        <v>72</v>
      </c>
      <c r="AK2481" t="s">
        <v>798</v>
      </c>
      <c r="AL2481">
        <v>52201823</v>
      </c>
      <c r="AM2481">
        <v>26207055</v>
      </c>
      <c r="AN2481" t="s">
        <v>165</v>
      </c>
      <c r="AO2481" t="s">
        <v>438</v>
      </c>
      <c r="AP2481" t="s">
        <v>431</v>
      </c>
      <c r="AQ2481" t="s">
        <v>82</v>
      </c>
      <c r="AR2481" t="s">
        <v>83</v>
      </c>
      <c r="AT2481" t="s">
        <v>52</v>
      </c>
      <c r="AU2481">
        <v>500</v>
      </c>
      <c r="AW2481">
        <v>45381</v>
      </c>
      <c r="AX2481" t="s">
        <v>1013</v>
      </c>
      <c r="AY2481">
        <v>0</v>
      </c>
      <c r="AZ2481">
        <v>0</v>
      </c>
      <c r="BA2481">
        <v>0</v>
      </c>
      <c r="BB2481">
        <v>831.75279076346499</v>
      </c>
      <c r="BC2481">
        <v>29155.634409523089</v>
      </c>
      <c r="BD2481">
        <v>0</v>
      </c>
      <c r="BE2481">
        <v>0</v>
      </c>
      <c r="BF2481">
        <v>82604.409809083882</v>
      </c>
      <c r="BG2481">
        <v>0</v>
      </c>
      <c r="BH2481">
        <v>0</v>
      </c>
      <c r="BI2481">
        <v>112591.79700937044</v>
      </c>
      <c r="BJ2481">
        <v>7823.2030953024887</v>
      </c>
      <c r="BK2481">
        <v>120415.00010467293</v>
      </c>
      <c r="BL2481" t="s">
        <v>242</v>
      </c>
      <c r="BM2481">
        <v>10</v>
      </c>
      <c r="BN2481">
        <v>8000</v>
      </c>
      <c r="BO2481">
        <v>0</v>
      </c>
      <c r="BP2481">
        <v>0</v>
      </c>
      <c r="BQ2481">
        <v>519.48850033032022</v>
      </c>
      <c r="BR2481" t="s">
        <v>58</v>
      </c>
    </row>
    <row r="2482" spans="1:70" x14ac:dyDescent="0.3">
      <c r="A2482" t="s">
        <v>798</v>
      </c>
      <c r="B2482">
        <v>4132300176</v>
      </c>
      <c r="C2482">
        <v>9060005726</v>
      </c>
      <c r="D2482" t="s">
        <v>172</v>
      </c>
      <c r="E2482" t="s">
        <v>441</v>
      </c>
      <c r="F2482" t="s">
        <v>430</v>
      </c>
      <c r="G2482" t="s">
        <v>230</v>
      </c>
      <c r="H2482" t="s">
        <v>231</v>
      </c>
      <c r="J2482" t="s">
        <v>52</v>
      </c>
      <c r="K2482" s="15">
        <v>1000</v>
      </c>
      <c r="M2482">
        <v>45381</v>
      </c>
      <c r="N2482" t="s">
        <v>1013</v>
      </c>
      <c r="O2482">
        <v>0</v>
      </c>
      <c r="P2482">
        <v>3742.206035363437</v>
      </c>
      <c r="Q2482">
        <v>0</v>
      </c>
      <c r="R2482">
        <v>0</v>
      </c>
      <c r="S2482">
        <v>4144.1917808219177</v>
      </c>
      <c r="T2482">
        <v>18745.601836108937</v>
      </c>
      <c r="U2482">
        <v>0</v>
      </c>
      <c r="V2482">
        <v>0</v>
      </c>
      <c r="W2482">
        <v>61682.242990654209</v>
      </c>
      <c r="X2482">
        <v>0</v>
      </c>
      <c r="Y2482">
        <v>88314.242642948506</v>
      </c>
      <c r="Z2482">
        <v>5629.949137873421</v>
      </c>
      <c r="AA2482">
        <v>93944.19178082193</v>
      </c>
      <c r="AB2482" t="s">
        <v>242</v>
      </c>
      <c r="AC2482">
        <v>4</v>
      </c>
      <c r="AD2482">
        <v>4000</v>
      </c>
      <c r="AE2482">
        <v>0</v>
      </c>
      <c r="AF2482">
        <v>0</v>
      </c>
      <c r="AG2482">
        <v>238.2751611920005</v>
      </c>
      <c r="AH2482" t="s">
        <v>58</v>
      </c>
      <c r="AK2482" t="s">
        <v>798</v>
      </c>
      <c r="AL2482">
        <v>4132300176</v>
      </c>
      <c r="AM2482">
        <v>9060005726</v>
      </c>
      <c r="AN2482" t="s">
        <v>172</v>
      </c>
      <c r="AO2482" t="s">
        <v>441</v>
      </c>
      <c r="AP2482" t="s">
        <v>430</v>
      </c>
      <c r="AQ2482" t="s">
        <v>230</v>
      </c>
      <c r="AR2482" t="s">
        <v>231</v>
      </c>
      <c r="AT2482" t="s">
        <v>52</v>
      </c>
      <c r="AU2482">
        <v>1000</v>
      </c>
      <c r="AW2482">
        <v>45381</v>
      </c>
      <c r="AX2482" t="s">
        <v>1013</v>
      </c>
      <c r="AY2482">
        <v>0</v>
      </c>
      <c r="AZ2482">
        <v>3742.206035363437</v>
      </c>
      <c r="BA2482">
        <v>0</v>
      </c>
      <c r="BB2482">
        <v>0</v>
      </c>
      <c r="BC2482">
        <v>4144.1917808219177</v>
      </c>
      <c r="BD2482">
        <v>18745.601836108937</v>
      </c>
      <c r="BE2482">
        <v>0</v>
      </c>
      <c r="BF2482">
        <v>0</v>
      </c>
      <c r="BG2482">
        <v>61682.242990654209</v>
      </c>
      <c r="BH2482">
        <v>0</v>
      </c>
      <c r="BI2482">
        <v>88314.242642948506</v>
      </c>
      <c r="BJ2482">
        <v>5629.949137873421</v>
      </c>
      <c r="BK2482">
        <v>93944.19178082193</v>
      </c>
      <c r="BL2482" t="s">
        <v>242</v>
      </c>
      <c r="BM2482">
        <v>4</v>
      </c>
      <c r="BN2482">
        <v>4000</v>
      </c>
      <c r="BO2482">
        <v>0</v>
      </c>
      <c r="BP2482">
        <v>0</v>
      </c>
      <c r="BQ2482">
        <v>238.2751611920005</v>
      </c>
      <c r="BR2482" t="s">
        <v>58</v>
      </c>
    </row>
    <row r="2483" spans="1:70" x14ac:dyDescent="0.3">
      <c r="A2483" t="s">
        <v>798</v>
      </c>
      <c r="B2483">
        <v>4132300824</v>
      </c>
      <c r="C2483">
        <v>9070041828</v>
      </c>
      <c r="D2483" t="s">
        <v>177</v>
      </c>
      <c r="E2483" t="s">
        <v>441</v>
      </c>
      <c r="F2483" t="s">
        <v>430</v>
      </c>
      <c r="G2483" t="s">
        <v>233</v>
      </c>
      <c r="H2483" t="s">
        <v>231</v>
      </c>
      <c r="J2483" t="s">
        <v>52</v>
      </c>
      <c r="K2483" s="15">
        <v>1500</v>
      </c>
      <c r="M2483">
        <v>45381</v>
      </c>
      <c r="N2483" t="s">
        <v>1013</v>
      </c>
      <c r="O2483">
        <v>0</v>
      </c>
      <c r="P2483">
        <v>1861.4145449663954</v>
      </c>
      <c r="Q2483">
        <v>0</v>
      </c>
      <c r="R2483">
        <v>0</v>
      </c>
      <c r="S2483">
        <v>10431.390410958904</v>
      </c>
      <c r="T2483">
        <v>15269.706032741686</v>
      </c>
      <c r="U2483">
        <v>0</v>
      </c>
      <c r="V2483">
        <v>0</v>
      </c>
      <c r="W2483">
        <v>0</v>
      </c>
      <c r="X2483">
        <v>0</v>
      </c>
      <c r="Y2483">
        <v>27562.510988666985</v>
      </c>
      <c r="Z2483">
        <v>1068.879422291918</v>
      </c>
      <c r="AA2483">
        <v>28631.390410958902</v>
      </c>
      <c r="AB2483" t="s">
        <v>242</v>
      </c>
      <c r="AC2483">
        <v>5</v>
      </c>
      <c r="AD2483">
        <v>5000</v>
      </c>
      <c r="AE2483">
        <v>0</v>
      </c>
      <c r="AF2483">
        <v>0</v>
      </c>
      <c r="AG2483">
        <v>180.65328798845582</v>
      </c>
      <c r="AH2483" t="s">
        <v>58</v>
      </c>
      <c r="AK2483" t="s">
        <v>798</v>
      </c>
      <c r="AL2483">
        <v>4132300824</v>
      </c>
      <c r="AM2483">
        <v>9070041828</v>
      </c>
      <c r="AN2483" t="s">
        <v>177</v>
      </c>
      <c r="AO2483" t="s">
        <v>441</v>
      </c>
      <c r="AP2483" t="s">
        <v>430</v>
      </c>
      <c r="AQ2483" t="s">
        <v>233</v>
      </c>
      <c r="AR2483" t="s">
        <v>231</v>
      </c>
      <c r="AT2483" t="s">
        <v>52</v>
      </c>
      <c r="AU2483">
        <v>1500</v>
      </c>
      <c r="AW2483">
        <v>45381</v>
      </c>
      <c r="AX2483" t="s">
        <v>1013</v>
      </c>
      <c r="AY2483">
        <v>0</v>
      </c>
      <c r="AZ2483">
        <v>1861.4145449663954</v>
      </c>
      <c r="BA2483">
        <v>0</v>
      </c>
      <c r="BB2483">
        <v>0</v>
      </c>
      <c r="BC2483">
        <v>10431.390410958904</v>
      </c>
      <c r="BD2483">
        <v>15269.706032741686</v>
      </c>
      <c r="BE2483">
        <v>0</v>
      </c>
      <c r="BF2483">
        <v>0</v>
      </c>
      <c r="BG2483">
        <v>0</v>
      </c>
      <c r="BH2483">
        <v>0</v>
      </c>
      <c r="BI2483">
        <v>27562.510988666985</v>
      </c>
      <c r="BJ2483">
        <v>1068.879422291918</v>
      </c>
      <c r="BK2483">
        <v>28631.390410958902</v>
      </c>
      <c r="BL2483" t="s">
        <v>242</v>
      </c>
      <c r="BM2483">
        <v>5</v>
      </c>
      <c r="BN2483">
        <v>5000</v>
      </c>
      <c r="BO2483">
        <v>0</v>
      </c>
      <c r="BP2483">
        <v>0</v>
      </c>
      <c r="BQ2483">
        <v>180.65328798845582</v>
      </c>
      <c r="BR2483" t="s">
        <v>58</v>
      </c>
    </row>
    <row r="2484" spans="1:70" x14ac:dyDescent="0.3">
      <c r="A2484" t="s">
        <v>798</v>
      </c>
      <c r="B2484">
        <v>4132301004</v>
      </c>
      <c r="C2484">
        <v>1070022920</v>
      </c>
      <c r="D2484" t="s">
        <v>790</v>
      </c>
      <c r="E2484" t="s">
        <v>441</v>
      </c>
      <c r="F2484" t="s">
        <v>430</v>
      </c>
      <c r="G2484" t="s">
        <v>233</v>
      </c>
      <c r="H2484" t="s">
        <v>231</v>
      </c>
      <c r="J2484" t="s">
        <v>52</v>
      </c>
      <c r="K2484" s="15">
        <v>10000</v>
      </c>
      <c r="M2484">
        <v>45381</v>
      </c>
      <c r="N2484" t="s">
        <v>1013</v>
      </c>
      <c r="O2484">
        <v>0</v>
      </c>
      <c r="P2484">
        <v>1905.748773579644</v>
      </c>
      <c r="Q2484">
        <v>0</v>
      </c>
      <c r="R2484">
        <v>0</v>
      </c>
      <c r="S2484">
        <v>11663.013698630137</v>
      </c>
      <c r="T2484">
        <v>48779.674043383508</v>
      </c>
      <c r="U2484">
        <v>0</v>
      </c>
      <c r="V2484">
        <v>0</v>
      </c>
      <c r="W2484">
        <v>0</v>
      </c>
      <c r="X2484">
        <v>0</v>
      </c>
      <c r="Y2484">
        <v>62348.43651559329</v>
      </c>
      <c r="Z2484">
        <v>3414.5771830368458</v>
      </c>
      <c r="AA2484">
        <v>65763.013698630137</v>
      </c>
      <c r="AB2484" t="s">
        <v>242</v>
      </c>
      <c r="AC2484">
        <v>1</v>
      </c>
      <c r="AD2484">
        <v>10000</v>
      </c>
      <c r="AE2484">
        <v>0</v>
      </c>
      <c r="AF2484">
        <v>0</v>
      </c>
      <c r="AG2484">
        <v>510.65646182296769</v>
      </c>
      <c r="AH2484" t="s">
        <v>72</v>
      </c>
      <c r="AK2484" t="s">
        <v>798</v>
      </c>
      <c r="AL2484">
        <v>4132301004</v>
      </c>
      <c r="AM2484">
        <v>1070022920</v>
      </c>
      <c r="AN2484" t="s">
        <v>790</v>
      </c>
      <c r="AO2484" t="s">
        <v>441</v>
      </c>
      <c r="AP2484" t="s">
        <v>430</v>
      </c>
      <c r="AQ2484" t="s">
        <v>233</v>
      </c>
      <c r="AR2484" t="s">
        <v>231</v>
      </c>
      <c r="AT2484" t="s">
        <v>52</v>
      </c>
      <c r="AU2484">
        <v>10000</v>
      </c>
      <c r="AW2484">
        <v>45381</v>
      </c>
      <c r="AX2484" t="s">
        <v>1013</v>
      </c>
      <c r="AY2484">
        <v>0</v>
      </c>
      <c r="AZ2484">
        <v>1905.748773579644</v>
      </c>
      <c r="BA2484">
        <v>0</v>
      </c>
      <c r="BB2484">
        <v>0</v>
      </c>
      <c r="BC2484">
        <v>11663.013698630137</v>
      </c>
      <c r="BD2484">
        <v>48779.674043383508</v>
      </c>
      <c r="BE2484">
        <v>0</v>
      </c>
      <c r="BF2484">
        <v>0</v>
      </c>
      <c r="BG2484">
        <v>0</v>
      </c>
      <c r="BH2484">
        <v>0</v>
      </c>
      <c r="BI2484">
        <v>62348.43651559329</v>
      </c>
      <c r="BJ2484">
        <v>3414.5771830368458</v>
      </c>
      <c r="BK2484">
        <v>65763.013698630137</v>
      </c>
      <c r="BL2484" t="s">
        <v>242</v>
      </c>
      <c r="BM2484">
        <v>1</v>
      </c>
      <c r="BN2484">
        <v>10000</v>
      </c>
      <c r="BO2484">
        <v>0</v>
      </c>
      <c r="BP2484">
        <v>0</v>
      </c>
      <c r="BQ2484">
        <v>510.65646182296769</v>
      </c>
      <c r="BR2484" t="s">
        <v>72</v>
      </c>
    </row>
    <row r="2485" spans="1:70" x14ac:dyDescent="0.3">
      <c r="A2485" t="s">
        <v>798</v>
      </c>
      <c r="B2485">
        <v>4132301724</v>
      </c>
      <c r="C2485" t="s">
        <v>684</v>
      </c>
      <c r="D2485" t="s">
        <v>967</v>
      </c>
      <c r="E2485" t="s">
        <v>442</v>
      </c>
      <c r="F2485" t="s">
        <v>430</v>
      </c>
      <c r="G2485" t="s">
        <v>230</v>
      </c>
      <c r="H2485" t="s">
        <v>231</v>
      </c>
      <c r="J2485" t="s">
        <v>52</v>
      </c>
      <c r="K2485" s="15">
        <v>2000</v>
      </c>
      <c r="M2485">
        <v>45381</v>
      </c>
      <c r="N2485" t="s">
        <v>1013</v>
      </c>
      <c r="O2485">
        <v>0</v>
      </c>
      <c r="P2485">
        <v>21589.41607673683</v>
      </c>
      <c r="Q2485">
        <v>0</v>
      </c>
      <c r="R2485">
        <v>0</v>
      </c>
      <c r="S2485">
        <v>270738.90999999997</v>
      </c>
      <c r="T2485">
        <v>0</v>
      </c>
      <c r="U2485">
        <v>0</v>
      </c>
      <c r="V2485">
        <v>0</v>
      </c>
      <c r="W2485">
        <v>631680.9195544516</v>
      </c>
      <c r="X2485">
        <v>0</v>
      </c>
      <c r="Y2485">
        <v>924009.24563118839</v>
      </c>
      <c r="Z2485">
        <v>44217.664368811616</v>
      </c>
      <c r="AA2485">
        <v>968226.91</v>
      </c>
      <c r="AB2485" t="s">
        <v>242</v>
      </c>
      <c r="AC2485">
        <v>3</v>
      </c>
      <c r="AD2485">
        <v>6000</v>
      </c>
      <c r="AE2485">
        <v>0</v>
      </c>
      <c r="AF2485">
        <v>0</v>
      </c>
      <c r="AG2485">
        <v>268.31693959960558</v>
      </c>
      <c r="AH2485" t="s">
        <v>58</v>
      </c>
      <c r="AK2485" t="s">
        <v>798</v>
      </c>
      <c r="AL2485">
        <v>4142300044</v>
      </c>
      <c r="AM2485">
        <v>120810</v>
      </c>
      <c r="AN2485" t="s">
        <v>955</v>
      </c>
      <c r="AO2485" t="s">
        <v>444</v>
      </c>
      <c r="AP2485" t="s">
        <v>430</v>
      </c>
      <c r="AQ2485" t="s">
        <v>233</v>
      </c>
      <c r="AR2485" t="s">
        <v>231</v>
      </c>
      <c r="AT2485" t="s">
        <v>52</v>
      </c>
      <c r="AU2485">
        <v>1637</v>
      </c>
      <c r="AW2485">
        <v>45381</v>
      </c>
      <c r="AX2485" t="s">
        <v>1013</v>
      </c>
      <c r="AY2485">
        <v>0</v>
      </c>
      <c r="AZ2485">
        <v>0</v>
      </c>
      <c r="BA2485">
        <v>9678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9678</v>
      </c>
      <c r="BJ2485">
        <v>0</v>
      </c>
      <c r="BK2485">
        <v>9678</v>
      </c>
      <c r="BL2485" t="s">
        <v>242</v>
      </c>
      <c r="BM2485">
        <v>8</v>
      </c>
      <c r="BN2485">
        <v>16322</v>
      </c>
      <c r="BO2485">
        <v>0</v>
      </c>
      <c r="BP2485">
        <v>0</v>
      </c>
      <c r="BQ2485">
        <v>0</v>
      </c>
      <c r="BR2485" t="s">
        <v>58</v>
      </c>
    </row>
    <row r="2486" spans="1:70" x14ac:dyDescent="0.3">
      <c r="A2486" t="s">
        <v>798</v>
      </c>
      <c r="B2486">
        <v>4132301734</v>
      </c>
      <c r="C2486" t="s">
        <v>685</v>
      </c>
      <c r="D2486" t="s">
        <v>937</v>
      </c>
      <c r="E2486" t="s">
        <v>442</v>
      </c>
      <c r="F2486" t="s">
        <v>430</v>
      </c>
      <c r="G2486" t="s">
        <v>230</v>
      </c>
      <c r="H2486" t="s">
        <v>231</v>
      </c>
      <c r="J2486" t="s">
        <v>52</v>
      </c>
      <c r="K2486" s="15">
        <v>3000</v>
      </c>
      <c r="M2486">
        <v>45381</v>
      </c>
      <c r="N2486" t="s">
        <v>1013</v>
      </c>
      <c r="O2486">
        <v>0</v>
      </c>
      <c r="P2486">
        <v>15509.408128598085</v>
      </c>
      <c r="Q2486">
        <v>0</v>
      </c>
      <c r="R2486">
        <v>0</v>
      </c>
      <c r="S2486">
        <v>28938.33</v>
      </c>
      <c r="T2486">
        <v>49090.272777011138</v>
      </c>
      <c r="U2486">
        <v>33644.859813084113</v>
      </c>
      <c r="V2486">
        <v>0</v>
      </c>
      <c r="W2486">
        <v>548442.05607476633</v>
      </c>
      <c r="X2486">
        <v>0</v>
      </c>
      <c r="Y2486">
        <v>675624.92679345969</v>
      </c>
      <c r="Z2486">
        <v>44182.403206540315</v>
      </c>
      <c r="AA2486">
        <v>719807.33</v>
      </c>
      <c r="AB2486" t="s">
        <v>242</v>
      </c>
      <c r="AC2486">
        <v>2</v>
      </c>
      <c r="AD2486">
        <v>8000</v>
      </c>
      <c r="AE2486">
        <v>0</v>
      </c>
      <c r="AF2486">
        <v>0</v>
      </c>
      <c r="AG2486">
        <v>488.91455046903366</v>
      </c>
      <c r="AH2486" t="s">
        <v>58</v>
      </c>
      <c r="AK2486" t="s">
        <v>798</v>
      </c>
      <c r="AL2486">
        <v>4132301724</v>
      </c>
      <c r="AM2486" t="s">
        <v>684</v>
      </c>
      <c r="AN2486" t="s">
        <v>967</v>
      </c>
      <c r="AO2486" t="s">
        <v>442</v>
      </c>
      <c r="AP2486" t="s">
        <v>430</v>
      </c>
      <c r="AQ2486" t="s">
        <v>230</v>
      </c>
      <c r="AR2486" t="s">
        <v>231</v>
      </c>
      <c r="AT2486" t="s">
        <v>52</v>
      </c>
      <c r="AU2486">
        <v>2000</v>
      </c>
      <c r="AW2486">
        <v>45381</v>
      </c>
      <c r="AX2486" t="s">
        <v>1013</v>
      </c>
      <c r="AY2486">
        <v>0</v>
      </c>
      <c r="AZ2486">
        <v>21589.41607673683</v>
      </c>
      <c r="BA2486">
        <v>0</v>
      </c>
      <c r="BB2486">
        <v>0</v>
      </c>
      <c r="BC2486">
        <v>270738.90999999997</v>
      </c>
      <c r="BD2486">
        <v>0</v>
      </c>
      <c r="BE2486">
        <v>0</v>
      </c>
      <c r="BF2486">
        <v>0</v>
      </c>
      <c r="BG2486">
        <v>631680.9195544516</v>
      </c>
      <c r="BH2486">
        <v>0</v>
      </c>
      <c r="BI2486">
        <v>924009.24563118839</v>
      </c>
      <c r="BJ2486">
        <v>44217.664368811616</v>
      </c>
      <c r="BK2486">
        <v>968226.91</v>
      </c>
      <c r="BL2486" t="s">
        <v>242</v>
      </c>
      <c r="BM2486">
        <v>3</v>
      </c>
      <c r="BN2486">
        <v>6000</v>
      </c>
      <c r="BO2486">
        <v>0</v>
      </c>
      <c r="BP2486">
        <v>0</v>
      </c>
      <c r="BQ2486">
        <v>268.31693959960558</v>
      </c>
      <c r="BR2486" t="s">
        <v>58</v>
      </c>
    </row>
    <row r="2487" spans="1:70" x14ac:dyDescent="0.3">
      <c r="A2487" t="s">
        <v>798</v>
      </c>
      <c r="B2487">
        <v>4142300044</v>
      </c>
      <c r="C2487">
        <v>120810</v>
      </c>
      <c r="D2487" t="s">
        <v>955</v>
      </c>
      <c r="E2487" t="s">
        <v>444</v>
      </c>
      <c r="F2487" t="s">
        <v>430</v>
      </c>
      <c r="G2487" t="s">
        <v>233</v>
      </c>
      <c r="H2487" t="s">
        <v>231</v>
      </c>
      <c r="J2487" t="s">
        <v>52</v>
      </c>
      <c r="K2487" s="15">
        <v>1637</v>
      </c>
      <c r="M2487">
        <v>45381</v>
      </c>
      <c r="N2487" t="s">
        <v>1013</v>
      </c>
      <c r="O2487">
        <v>0</v>
      </c>
      <c r="P2487">
        <v>0</v>
      </c>
      <c r="Q2487">
        <v>9678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9678</v>
      </c>
      <c r="Z2487">
        <v>0</v>
      </c>
      <c r="AA2487">
        <v>9678</v>
      </c>
      <c r="AB2487" t="s">
        <v>242</v>
      </c>
      <c r="AC2487">
        <v>8</v>
      </c>
      <c r="AD2487">
        <v>16322</v>
      </c>
      <c r="AE2487">
        <v>0</v>
      </c>
      <c r="AF2487">
        <v>0</v>
      </c>
      <c r="AG2487">
        <v>0</v>
      </c>
      <c r="AH2487" t="s">
        <v>58</v>
      </c>
      <c r="AK2487" t="s">
        <v>798</v>
      </c>
      <c r="AL2487">
        <v>4132301734</v>
      </c>
      <c r="AM2487" t="s">
        <v>685</v>
      </c>
      <c r="AN2487" t="s">
        <v>937</v>
      </c>
      <c r="AO2487" t="s">
        <v>442</v>
      </c>
      <c r="AP2487" t="s">
        <v>430</v>
      </c>
      <c r="AQ2487" t="s">
        <v>230</v>
      </c>
      <c r="AR2487" t="s">
        <v>231</v>
      </c>
      <c r="AT2487" t="s">
        <v>52</v>
      </c>
      <c r="AU2487">
        <v>3000</v>
      </c>
      <c r="AW2487">
        <v>45381</v>
      </c>
      <c r="AX2487" t="s">
        <v>1013</v>
      </c>
      <c r="AY2487">
        <v>0</v>
      </c>
      <c r="AZ2487">
        <v>15509.408128598085</v>
      </c>
      <c r="BA2487">
        <v>0</v>
      </c>
      <c r="BB2487">
        <v>0</v>
      </c>
      <c r="BC2487">
        <v>28938.33</v>
      </c>
      <c r="BD2487">
        <v>49090.272777011138</v>
      </c>
      <c r="BE2487">
        <v>33644.859813084113</v>
      </c>
      <c r="BF2487">
        <v>0</v>
      </c>
      <c r="BG2487">
        <v>548442.05607476633</v>
      </c>
      <c r="BH2487">
        <v>0</v>
      </c>
      <c r="BI2487">
        <v>675624.92679345969</v>
      </c>
      <c r="BJ2487">
        <v>44182.403206540315</v>
      </c>
      <c r="BK2487">
        <v>719807.33</v>
      </c>
      <c r="BL2487" t="s">
        <v>242</v>
      </c>
      <c r="BM2487">
        <v>2</v>
      </c>
      <c r="BN2487">
        <v>8000</v>
      </c>
      <c r="BO2487">
        <v>0</v>
      </c>
      <c r="BP2487">
        <v>0</v>
      </c>
      <c r="BQ2487">
        <v>488.91455046903366</v>
      </c>
      <c r="BR2487" t="s">
        <v>58</v>
      </c>
    </row>
    <row r="2488" spans="1:70" x14ac:dyDescent="0.3">
      <c r="A2488" t="s">
        <v>798</v>
      </c>
      <c r="B2488">
        <v>4142300107</v>
      </c>
      <c r="C2488">
        <v>96093</v>
      </c>
      <c r="D2488" t="s">
        <v>931</v>
      </c>
      <c r="E2488" t="s">
        <v>444</v>
      </c>
      <c r="F2488" t="s">
        <v>430</v>
      </c>
      <c r="G2488" t="s">
        <v>230</v>
      </c>
      <c r="H2488" t="s">
        <v>231</v>
      </c>
      <c r="J2488" t="s">
        <v>52</v>
      </c>
      <c r="K2488" s="15">
        <v>32000</v>
      </c>
      <c r="M2488">
        <v>45381</v>
      </c>
      <c r="N2488" t="s">
        <v>1013</v>
      </c>
      <c r="O2488">
        <v>0</v>
      </c>
      <c r="P2488">
        <v>612.90501725676518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26872.051385741353</v>
      </c>
      <c r="X2488">
        <v>0</v>
      </c>
      <c r="Y2488">
        <v>27484.956402998119</v>
      </c>
      <c r="Z2488">
        <v>1881.043597001895</v>
      </c>
      <c r="AA2488">
        <v>29366.000000000015</v>
      </c>
      <c r="AB2488" t="s">
        <v>242</v>
      </c>
      <c r="AC2488">
        <v>5</v>
      </c>
      <c r="AD2488">
        <v>208320</v>
      </c>
      <c r="AE2488">
        <v>0</v>
      </c>
      <c r="AF2488">
        <v>0</v>
      </c>
      <c r="AG2488">
        <v>13275.984440381289</v>
      </c>
      <c r="AH2488" t="s">
        <v>58</v>
      </c>
      <c r="AK2488" t="s">
        <v>798</v>
      </c>
      <c r="AL2488">
        <v>4142300107</v>
      </c>
      <c r="AM2488">
        <v>96093</v>
      </c>
      <c r="AN2488" t="s">
        <v>931</v>
      </c>
      <c r="AO2488" t="s">
        <v>444</v>
      </c>
      <c r="AP2488" t="s">
        <v>430</v>
      </c>
      <c r="AQ2488" t="s">
        <v>230</v>
      </c>
      <c r="AR2488" t="s">
        <v>231</v>
      </c>
      <c r="AT2488" t="s">
        <v>52</v>
      </c>
      <c r="AU2488">
        <v>32000</v>
      </c>
      <c r="AW2488">
        <v>45381</v>
      </c>
      <c r="AX2488" t="s">
        <v>1013</v>
      </c>
      <c r="AY2488">
        <v>0</v>
      </c>
      <c r="AZ2488">
        <v>612.90501725676518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26872.051385741353</v>
      </c>
      <c r="BH2488">
        <v>0</v>
      </c>
      <c r="BI2488">
        <v>27484.956402998119</v>
      </c>
      <c r="BJ2488">
        <v>1881.043597001895</v>
      </c>
      <c r="BK2488">
        <v>29366.000000000015</v>
      </c>
      <c r="BL2488" t="s">
        <v>242</v>
      </c>
      <c r="BM2488">
        <v>5</v>
      </c>
      <c r="BN2488">
        <v>208320</v>
      </c>
      <c r="BO2488">
        <v>0</v>
      </c>
      <c r="BP2488">
        <v>0</v>
      </c>
      <c r="BQ2488">
        <v>13275.984440381289</v>
      </c>
      <c r="BR2488" t="s">
        <v>58</v>
      </c>
    </row>
    <row r="2489" spans="1:70" x14ac:dyDescent="0.3">
      <c r="A2489" t="s">
        <v>798</v>
      </c>
      <c r="B2489">
        <v>4142300416</v>
      </c>
      <c r="C2489">
        <v>10179898</v>
      </c>
      <c r="D2489" t="s">
        <v>198</v>
      </c>
      <c r="E2489" t="s">
        <v>445</v>
      </c>
      <c r="F2489" t="s">
        <v>430</v>
      </c>
      <c r="G2489" t="s">
        <v>230</v>
      </c>
      <c r="H2489" t="s">
        <v>234</v>
      </c>
      <c r="J2489" t="s">
        <v>52</v>
      </c>
      <c r="K2489" s="15">
        <v>3200</v>
      </c>
      <c r="M2489">
        <v>45381</v>
      </c>
      <c r="N2489" t="s">
        <v>1013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289679.42990654201</v>
      </c>
      <c r="Y2489">
        <v>289679.42990654201</v>
      </c>
      <c r="Z2489">
        <v>20277.560093457942</v>
      </c>
      <c r="AA2489">
        <v>309956.98999999993</v>
      </c>
      <c r="AB2489" t="s">
        <v>242</v>
      </c>
      <c r="AC2489">
        <v>17</v>
      </c>
      <c r="AD2489">
        <v>66800</v>
      </c>
      <c r="AE2489">
        <v>0</v>
      </c>
      <c r="AF2489">
        <v>0</v>
      </c>
      <c r="AG2489">
        <v>4370.0934579439245</v>
      </c>
      <c r="AH2489" t="s">
        <v>58</v>
      </c>
      <c r="AK2489" t="s">
        <v>798</v>
      </c>
      <c r="AL2489">
        <v>4242300005</v>
      </c>
      <c r="AM2489">
        <v>123246</v>
      </c>
      <c r="AN2489" t="s">
        <v>939</v>
      </c>
      <c r="AO2489" t="s">
        <v>444</v>
      </c>
      <c r="AP2489" t="s">
        <v>431</v>
      </c>
      <c r="AQ2489" t="s">
        <v>237</v>
      </c>
      <c r="AR2489" t="s">
        <v>231</v>
      </c>
      <c r="AT2489" t="s">
        <v>52</v>
      </c>
      <c r="AU2489">
        <v>5000</v>
      </c>
      <c r="AW2489">
        <v>45381</v>
      </c>
      <c r="AX2489" t="s">
        <v>1013</v>
      </c>
      <c r="AY2489">
        <v>0</v>
      </c>
      <c r="AZ2489">
        <v>5243.8648630599973</v>
      </c>
      <c r="BA2489">
        <v>0</v>
      </c>
      <c r="BB2489">
        <v>0</v>
      </c>
      <c r="BC2489">
        <v>0</v>
      </c>
      <c r="BD2489">
        <v>0</v>
      </c>
      <c r="BE2489">
        <v>18465.238445738316</v>
      </c>
      <c r="BF2489">
        <v>0</v>
      </c>
      <c r="BG2489">
        <v>0</v>
      </c>
      <c r="BH2489">
        <v>0</v>
      </c>
      <c r="BI2489">
        <v>23709.103308798312</v>
      </c>
      <c r="BJ2489">
        <v>1292.5666912016823</v>
      </c>
      <c r="BK2489">
        <v>25001.669999999995</v>
      </c>
      <c r="BL2489" t="s">
        <v>242</v>
      </c>
      <c r="BM2489">
        <v>7</v>
      </c>
      <c r="BN2489">
        <v>42200</v>
      </c>
      <c r="BO2489">
        <v>0</v>
      </c>
      <c r="BP2489">
        <v>0</v>
      </c>
      <c r="BQ2489">
        <v>2126.7481686114006</v>
      </c>
      <c r="BR2489" t="s">
        <v>58</v>
      </c>
    </row>
    <row r="2490" spans="1:70" x14ac:dyDescent="0.3">
      <c r="A2490" t="s">
        <v>798</v>
      </c>
      <c r="B2490">
        <v>4142300720</v>
      </c>
      <c r="C2490">
        <v>10326408</v>
      </c>
      <c r="D2490" t="s">
        <v>205</v>
      </c>
      <c r="E2490" t="s">
        <v>445</v>
      </c>
      <c r="F2490" t="s">
        <v>430</v>
      </c>
      <c r="G2490" t="s">
        <v>230</v>
      </c>
      <c r="H2490" t="s">
        <v>234</v>
      </c>
      <c r="J2490" t="s">
        <v>52</v>
      </c>
      <c r="K2490" s="15">
        <v>5000</v>
      </c>
      <c r="M2490">
        <v>45381</v>
      </c>
      <c r="N2490" t="s">
        <v>1013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492348.22429906542</v>
      </c>
      <c r="Y2490">
        <v>492348.22429906542</v>
      </c>
      <c r="Z2490">
        <v>34464.375700934579</v>
      </c>
      <c r="AA2490">
        <v>526812.6</v>
      </c>
      <c r="AB2490" t="s">
        <v>242</v>
      </c>
      <c r="AC2490">
        <v>8</v>
      </c>
      <c r="AD2490">
        <v>40000</v>
      </c>
      <c r="AE2490">
        <v>0</v>
      </c>
      <c r="AF2490">
        <v>0</v>
      </c>
      <c r="AG2490">
        <v>2616.8224299065405</v>
      </c>
      <c r="AH2490" t="s">
        <v>58</v>
      </c>
      <c r="AK2490" t="s">
        <v>798</v>
      </c>
      <c r="AL2490">
        <v>4142300416</v>
      </c>
      <c r="AM2490">
        <v>10179898</v>
      </c>
      <c r="AN2490" t="s">
        <v>198</v>
      </c>
      <c r="AO2490" t="s">
        <v>445</v>
      </c>
      <c r="AP2490" t="s">
        <v>430</v>
      </c>
      <c r="AQ2490" t="s">
        <v>230</v>
      </c>
      <c r="AR2490" t="s">
        <v>234</v>
      </c>
      <c r="AT2490" t="s">
        <v>52</v>
      </c>
      <c r="AU2490">
        <v>3200</v>
      </c>
      <c r="AW2490">
        <v>45381</v>
      </c>
      <c r="AX2490" t="s">
        <v>1013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289679.42990654201</v>
      </c>
      <c r="BI2490">
        <v>289679.42990654201</v>
      </c>
      <c r="BJ2490">
        <v>20277.560093457942</v>
      </c>
      <c r="BK2490">
        <v>309956.98999999993</v>
      </c>
      <c r="BL2490" t="s">
        <v>242</v>
      </c>
      <c r="BM2490">
        <v>17</v>
      </c>
      <c r="BN2490">
        <v>66800</v>
      </c>
      <c r="BO2490">
        <v>0</v>
      </c>
      <c r="BP2490">
        <v>0</v>
      </c>
      <c r="BQ2490">
        <v>4370.0934579439245</v>
      </c>
      <c r="BR2490" t="s">
        <v>58</v>
      </c>
    </row>
    <row r="2491" spans="1:70" x14ac:dyDescent="0.3">
      <c r="A2491" t="s">
        <v>798</v>
      </c>
      <c r="B2491">
        <v>4142300798</v>
      </c>
      <c r="C2491">
        <v>10364170</v>
      </c>
      <c r="D2491" t="s">
        <v>210</v>
      </c>
      <c r="E2491" t="s">
        <v>445</v>
      </c>
      <c r="F2491" t="s">
        <v>430</v>
      </c>
      <c r="G2491" t="s">
        <v>230</v>
      </c>
      <c r="H2491" t="s">
        <v>234</v>
      </c>
      <c r="J2491" t="s">
        <v>52</v>
      </c>
      <c r="K2491" s="15">
        <v>10000</v>
      </c>
      <c r="M2491">
        <v>45381</v>
      </c>
      <c r="N2491" t="s">
        <v>1013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718885.05850723351</v>
      </c>
      <c r="Y2491">
        <v>718885.05850723351</v>
      </c>
      <c r="Z2491">
        <v>50321.954095506349</v>
      </c>
      <c r="AA2491">
        <v>769207.01260273985</v>
      </c>
      <c r="AB2491" t="s">
        <v>242</v>
      </c>
      <c r="AC2491">
        <v>7</v>
      </c>
      <c r="AD2491">
        <v>202000</v>
      </c>
      <c r="AE2491">
        <v>0</v>
      </c>
      <c r="AF2491">
        <v>0</v>
      </c>
      <c r="AG2491">
        <v>13214.953271028042</v>
      </c>
      <c r="AH2491" t="s">
        <v>58</v>
      </c>
      <c r="AK2491" t="s">
        <v>798</v>
      </c>
      <c r="AL2491">
        <v>4142300720</v>
      </c>
      <c r="AM2491">
        <v>10326408</v>
      </c>
      <c r="AN2491" t="s">
        <v>205</v>
      </c>
      <c r="AO2491" t="s">
        <v>445</v>
      </c>
      <c r="AP2491" t="s">
        <v>430</v>
      </c>
      <c r="AQ2491" t="s">
        <v>230</v>
      </c>
      <c r="AR2491" t="s">
        <v>234</v>
      </c>
      <c r="AT2491" t="s">
        <v>52</v>
      </c>
      <c r="AU2491">
        <v>5000</v>
      </c>
      <c r="AW2491">
        <v>45381</v>
      </c>
      <c r="AX2491" t="s">
        <v>1013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492348.22429906542</v>
      </c>
      <c r="BI2491">
        <v>492348.22429906542</v>
      </c>
      <c r="BJ2491">
        <v>34464.375700934579</v>
      </c>
      <c r="BK2491">
        <v>526812.6</v>
      </c>
      <c r="BL2491" t="s">
        <v>242</v>
      </c>
      <c r="BM2491">
        <v>8</v>
      </c>
      <c r="BN2491">
        <v>40000</v>
      </c>
      <c r="BO2491">
        <v>0</v>
      </c>
      <c r="BP2491">
        <v>0</v>
      </c>
      <c r="BQ2491">
        <v>2616.8224299065405</v>
      </c>
      <c r="BR2491" t="s">
        <v>58</v>
      </c>
    </row>
    <row r="2492" spans="1:70" x14ac:dyDescent="0.3">
      <c r="A2492" t="s">
        <v>798</v>
      </c>
      <c r="B2492">
        <v>4142300842</v>
      </c>
      <c r="C2492">
        <v>10382588</v>
      </c>
      <c r="D2492" t="s">
        <v>211</v>
      </c>
      <c r="E2492" t="s">
        <v>445</v>
      </c>
      <c r="F2492" t="s">
        <v>430</v>
      </c>
      <c r="G2492" t="s">
        <v>230</v>
      </c>
      <c r="H2492" t="s">
        <v>234</v>
      </c>
      <c r="J2492" t="s">
        <v>52</v>
      </c>
      <c r="K2492" s="15">
        <v>2000</v>
      </c>
      <c r="M2492">
        <v>45381</v>
      </c>
      <c r="N2492" t="s">
        <v>1013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115918.83177570091</v>
      </c>
      <c r="Y2492">
        <v>115918.83177570091</v>
      </c>
      <c r="Z2492">
        <v>8114.3182242990642</v>
      </c>
      <c r="AA2492">
        <v>124033.14999999997</v>
      </c>
      <c r="AB2492" t="s">
        <v>242</v>
      </c>
      <c r="AC2492">
        <v>8</v>
      </c>
      <c r="AD2492">
        <v>12500</v>
      </c>
      <c r="AE2492">
        <v>0</v>
      </c>
      <c r="AF2492">
        <v>0</v>
      </c>
      <c r="AG2492">
        <v>817.75700934579459</v>
      </c>
      <c r="AH2492" t="s">
        <v>58</v>
      </c>
      <c r="AK2492" t="s">
        <v>798</v>
      </c>
      <c r="AL2492">
        <v>4142300798</v>
      </c>
      <c r="AM2492">
        <v>10364170</v>
      </c>
      <c r="AN2492" t="s">
        <v>210</v>
      </c>
      <c r="AO2492" t="s">
        <v>445</v>
      </c>
      <c r="AP2492" t="s">
        <v>430</v>
      </c>
      <c r="AQ2492" t="s">
        <v>230</v>
      </c>
      <c r="AR2492" t="s">
        <v>234</v>
      </c>
      <c r="AT2492" t="s">
        <v>52</v>
      </c>
      <c r="AU2492">
        <v>10000</v>
      </c>
      <c r="AW2492">
        <v>45381</v>
      </c>
      <c r="AX2492" t="s">
        <v>1013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718885.05850723351</v>
      </c>
      <c r="BI2492">
        <v>718885.05850723351</v>
      </c>
      <c r="BJ2492">
        <v>50321.954095506349</v>
      </c>
      <c r="BK2492">
        <v>769207.01260273985</v>
      </c>
      <c r="BL2492" t="s">
        <v>242</v>
      </c>
      <c r="BM2492">
        <v>7</v>
      </c>
      <c r="BN2492">
        <v>202000</v>
      </c>
      <c r="BO2492">
        <v>0</v>
      </c>
      <c r="BP2492">
        <v>0</v>
      </c>
      <c r="BQ2492">
        <v>13214.953271028042</v>
      </c>
      <c r="BR2492" t="s">
        <v>58</v>
      </c>
    </row>
    <row r="2493" spans="1:70" x14ac:dyDescent="0.3">
      <c r="A2493" t="s">
        <v>798</v>
      </c>
      <c r="B2493">
        <v>4142301175</v>
      </c>
      <c r="C2493">
        <v>10038577</v>
      </c>
      <c r="D2493" t="s">
        <v>746</v>
      </c>
      <c r="E2493" t="s">
        <v>446</v>
      </c>
      <c r="F2493" t="s">
        <v>430</v>
      </c>
      <c r="G2493" t="s">
        <v>237</v>
      </c>
      <c r="H2493" t="s">
        <v>234</v>
      </c>
      <c r="J2493" t="s">
        <v>52</v>
      </c>
      <c r="K2493" s="15">
        <v>2000</v>
      </c>
      <c r="M2493">
        <v>45381</v>
      </c>
      <c r="N2493" t="s">
        <v>1029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25984.88785046729</v>
      </c>
      <c r="Y2493">
        <v>25984.88785046729</v>
      </c>
      <c r="Z2493">
        <v>1818.9421495327106</v>
      </c>
      <c r="AA2493">
        <v>27803.83</v>
      </c>
      <c r="AB2493" t="s">
        <v>242</v>
      </c>
      <c r="AC2493">
        <v>2</v>
      </c>
      <c r="AD2493">
        <v>7000</v>
      </c>
      <c r="AE2493">
        <v>0</v>
      </c>
      <c r="AF2493">
        <v>0</v>
      </c>
      <c r="AG2493">
        <v>457.94392523364468</v>
      </c>
      <c r="AH2493" t="s">
        <v>58</v>
      </c>
      <c r="AK2493" t="s">
        <v>798</v>
      </c>
      <c r="AL2493">
        <v>4142300842</v>
      </c>
      <c r="AM2493">
        <v>10382588</v>
      </c>
      <c r="AN2493" t="s">
        <v>211</v>
      </c>
      <c r="AO2493" t="s">
        <v>445</v>
      </c>
      <c r="AP2493" t="s">
        <v>430</v>
      </c>
      <c r="AQ2493" t="s">
        <v>230</v>
      </c>
      <c r="AR2493" t="s">
        <v>234</v>
      </c>
      <c r="AT2493" t="s">
        <v>52</v>
      </c>
      <c r="AU2493">
        <v>2000</v>
      </c>
      <c r="AW2493">
        <v>45381</v>
      </c>
      <c r="AX2493" t="s">
        <v>1013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115918.83177570091</v>
      </c>
      <c r="BI2493">
        <v>115918.83177570091</v>
      </c>
      <c r="BJ2493">
        <v>8114.3182242990642</v>
      </c>
      <c r="BK2493">
        <v>124033.14999999997</v>
      </c>
      <c r="BL2493" t="s">
        <v>242</v>
      </c>
      <c r="BM2493">
        <v>8</v>
      </c>
      <c r="BN2493">
        <v>12500</v>
      </c>
      <c r="BO2493">
        <v>0</v>
      </c>
      <c r="BP2493">
        <v>0</v>
      </c>
      <c r="BQ2493">
        <v>817.75700934579459</v>
      </c>
      <c r="BR2493" t="s">
        <v>58</v>
      </c>
    </row>
    <row r="2494" spans="1:70" x14ac:dyDescent="0.3">
      <c r="A2494" t="s">
        <v>798</v>
      </c>
      <c r="B2494">
        <v>4142301569</v>
      </c>
      <c r="C2494">
        <v>10625781</v>
      </c>
      <c r="D2494" t="s">
        <v>761</v>
      </c>
      <c r="E2494" t="s">
        <v>446</v>
      </c>
      <c r="F2494" t="s">
        <v>430</v>
      </c>
      <c r="G2494" t="s">
        <v>230</v>
      </c>
      <c r="H2494" t="s">
        <v>234</v>
      </c>
      <c r="J2494" t="s">
        <v>52</v>
      </c>
      <c r="K2494" s="15">
        <v>2000</v>
      </c>
      <c r="M2494">
        <v>45381</v>
      </c>
      <c r="N2494" t="s">
        <v>1013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789373</v>
      </c>
      <c r="Y2494">
        <v>789373</v>
      </c>
      <c r="Z2494">
        <v>55256.110000000008</v>
      </c>
      <c r="AA2494">
        <v>844629.11</v>
      </c>
      <c r="AB2494" t="s">
        <v>242</v>
      </c>
      <c r="AC2494">
        <v>2</v>
      </c>
      <c r="AD2494">
        <v>4000</v>
      </c>
      <c r="AE2494">
        <v>0</v>
      </c>
      <c r="AF2494">
        <v>0</v>
      </c>
      <c r="AG2494">
        <v>261.68224299065423</v>
      </c>
      <c r="AH2494" t="s">
        <v>58</v>
      </c>
      <c r="AK2494" t="s">
        <v>798</v>
      </c>
      <c r="AL2494">
        <v>4142301569</v>
      </c>
      <c r="AM2494">
        <v>10625781</v>
      </c>
      <c r="AN2494" t="s">
        <v>761</v>
      </c>
      <c r="AO2494" t="s">
        <v>446</v>
      </c>
      <c r="AP2494" t="s">
        <v>430</v>
      </c>
      <c r="AQ2494" t="s">
        <v>230</v>
      </c>
      <c r="AR2494" t="s">
        <v>234</v>
      </c>
      <c r="AT2494" t="s">
        <v>52</v>
      </c>
      <c r="AU2494">
        <v>2000</v>
      </c>
      <c r="AW2494">
        <v>45381</v>
      </c>
      <c r="AX2494" t="s">
        <v>1013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789373</v>
      </c>
      <c r="BI2494">
        <v>789373</v>
      </c>
      <c r="BJ2494">
        <v>55256.110000000008</v>
      </c>
      <c r="BK2494">
        <v>844629.11</v>
      </c>
      <c r="BL2494" t="s">
        <v>242</v>
      </c>
      <c r="BM2494">
        <v>2</v>
      </c>
      <c r="BN2494">
        <v>4000</v>
      </c>
      <c r="BO2494">
        <v>0</v>
      </c>
      <c r="BP2494">
        <v>0</v>
      </c>
      <c r="BQ2494">
        <v>261.68224299065423</v>
      </c>
      <c r="BR2494" t="s">
        <v>58</v>
      </c>
    </row>
    <row r="2495" spans="1:70" x14ac:dyDescent="0.3">
      <c r="A2495" t="s">
        <v>798</v>
      </c>
      <c r="B2495">
        <v>4242300005</v>
      </c>
      <c r="C2495">
        <v>123246</v>
      </c>
      <c r="D2495" t="s">
        <v>939</v>
      </c>
      <c r="E2495" t="s">
        <v>444</v>
      </c>
      <c r="F2495" t="s">
        <v>431</v>
      </c>
      <c r="G2495" t="s">
        <v>237</v>
      </c>
      <c r="H2495" t="s">
        <v>231</v>
      </c>
      <c r="J2495" t="s">
        <v>52</v>
      </c>
      <c r="K2495" s="15">
        <v>5000</v>
      </c>
      <c r="M2495">
        <v>45381</v>
      </c>
      <c r="N2495" t="s">
        <v>1013</v>
      </c>
      <c r="O2495">
        <v>0</v>
      </c>
      <c r="P2495">
        <v>5243.8648630599973</v>
      </c>
      <c r="Q2495">
        <v>0</v>
      </c>
      <c r="R2495">
        <v>0</v>
      </c>
      <c r="S2495">
        <v>0</v>
      </c>
      <c r="T2495">
        <v>0</v>
      </c>
      <c r="U2495">
        <v>18465.238445738316</v>
      </c>
      <c r="V2495">
        <v>0</v>
      </c>
      <c r="W2495">
        <v>0</v>
      </c>
      <c r="X2495">
        <v>0</v>
      </c>
      <c r="Y2495">
        <v>23709.103308798312</v>
      </c>
      <c r="Z2495">
        <v>1292.5666912016823</v>
      </c>
      <c r="AA2495">
        <v>25001.669999999995</v>
      </c>
      <c r="AB2495" t="s">
        <v>242</v>
      </c>
      <c r="AC2495">
        <v>7</v>
      </c>
      <c r="AD2495">
        <v>42200</v>
      </c>
      <c r="AE2495">
        <v>0</v>
      </c>
      <c r="AF2495">
        <v>0</v>
      </c>
      <c r="AG2495">
        <v>2126.7481686114006</v>
      </c>
      <c r="AH2495" t="s">
        <v>58</v>
      </c>
      <c r="AK2495" t="s">
        <v>798</v>
      </c>
      <c r="AL2495">
        <v>4312300009</v>
      </c>
      <c r="AM2495" t="s">
        <v>694</v>
      </c>
      <c r="AN2495" t="s">
        <v>970</v>
      </c>
      <c r="AO2495" t="s">
        <v>448</v>
      </c>
      <c r="AP2495" t="s">
        <v>433</v>
      </c>
      <c r="AQ2495" t="s">
        <v>82</v>
      </c>
      <c r="AR2495" t="s">
        <v>71</v>
      </c>
      <c r="AT2495" t="s">
        <v>52</v>
      </c>
      <c r="AU2495">
        <v>25000</v>
      </c>
      <c r="AW2495">
        <v>45381</v>
      </c>
      <c r="AX2495" t="s">
        <v>1029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505942.54205607483</v>
      </c>
      <c r="BI2495">
        <v>505942.54205607483</v>
      </c>
      <c r="BJ2495">
        <v>35415.977943925245</v>
      </c>
      <c r="BK2495">
        <v>541358.52</v>
      </c>
      <c r="BL2495" t="s">
        <v>242</v>
      </c>
      <c r="BM2495">
        <v>3</v>
      </c>
      <c r="BN2495">
        <v>75000</v>
      </c>
      <c r="BO2495">
        <v>0</v>
      </c>
      <c r="BP2495">
        <v>0</v>
      </c>
      <c r="BQ2495">
        <v>4906.5420560747662</v>
      </c>
      <c r="BR2495" t="s">
        <v>58</v>
      </c>
    </row>
    <row r="2496" spans="1:70" x14ac:dyDescent="0.3">
      <c r="A2496" t="s">
        <v>798</v>
      </c>
      <c r="B2496">
        <v>4312300009</v>
      </c>
      <c r="C2496" t="s">
        <v>694</v>
      </c>
      <c r="D2496" t="s">
        <v>970</v>
      </c>
      <c r="E2496" t="s">
        <v>448</v>
      </c>
      <c r="F2496" t="s">
        <v>433</v>
      </c>
      <c r="G2496" t="s">
        <v>82</v>
      </c>
      <c r="H2496" t="s">
        <v>71</v>
      </c>
      <c r="J2496" t="s">
        <v>52</v>
      </c>
      <c r="K2496" s="15">
        <v>25000</v>
      </c>
      <c r="M2496">
        <v>45381</v>
      </c>
      <c r="N2496" t="s">
        <v>1029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505942.54205607483</v>
      </c>
      <c r="Y2496">
        <v>505942.54205607483</v>
      </c>
      <c r="Z2496">
        <v>35415.977943925245</v>
      </c>
      <c r="AA2496">
        <v>541358.52</v>
      </c>
      <c r="AB2496" t="s">
        <v>242</v>
      </c>
      <c r="AC2496">
        <v>3</v>
      </c>
      <c r="AD2496">
        <v>75000</v>
      </c>
      <c r="AE2496">
        <v>0</v>
      </c>
      <c r="AF2496">
        <v>0</v>
      </c>
      <c r="AG2496">
        <v>4906.5420560747662</v>
      </c>
      <c r="AH2496" t="s">
        <v>58</v>
      </c>
      <c r="AK2496" t="s">
        <v>798</v>
      </c>
      <c r="AL2496">
        <v>4142301175</v>
      </c>
      <c r="AM2496">
        <v>10038577</v>
      </c>
      <c r="AN2496" t="s">
        <v>746</v>
      </c>
      <c r="AO2496" t="s">
        <v>446</v>
      </c>
      <c r="AP2496" t="s">
        <v>430</v>
      </c>
      <c r="AQ2496" t="s">
        <v>237</v>
      </c>
      <c r="AR2496" t="s">
        <v>234</v>
      </c>
      <c r="AT2496" t="s">
        <v>52</v>
      </c>
      <c r="AU2496">
        <v>2000</v>
      </c>
      <c r="AW2496">
        <v>45381</v>
      </c>
      <c r="AX2496" t="s">
        <v>1029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25984.88785046729</v>
      </c>
      <c r="BI2496">
        <v>25984.88785046729</v>
      </c>
      <c r="BJ2496">
        <v>1818.9421495327106</v>
      </c>
      <c r="BK2496">
        <v>27803.83</v>
      </c>
      <c r="BL2496" t="s">
        <v>242</v>
      </c>
      <c r="BM2496">
        <v>2</v>
      </c>
      <c r="BN2496">
        <v>7000</v>
      </c>
      <c r="BO2496">
        <v>0</v>
      </c>
      <c r="BP2496">
        <v>0</v>
      </c>
      <c r="BQ2496">
        <v>457.94392523364468</v>
      </c>
      <c r="BR2496" t="s">
        <v>58</v>
      </c>
    </row>
    <row r="2497" spans="1:70" x14ac:dyDescent="0.3">
      <c r="A2497" t="s">
        <v>798</v>
      </c>
      <c r="B2497">
        <v>12200001</v>
      </c>
      <c r="C2497">
        <v>11371109</v>
      </c>
      <c r="D2497" t="s">
        <v>111</v>
      </c>
      <c r="E2497" t="s">
        <v>435</v>
      </c>
      <c r="F2497" t="s">
        <v>427</v>
      </c>
      <c r="G2497" t="s">
        <v>82</v>
      </c>
      <c r="H2497" t="s">
        <v>82</v>
      </c>
      <c r="J2497" t="s">
        <v>52</v>
      </c>
      <c r="K2497" s="15">
        <v>1500</v>
      </c>
      <c r="M2497">
        <v>45382</v>
      </c>
      <c r="N2497" t="s">
        <v>1013</v>
      </c>
      <c r="O2497">
        <v>0</v>
      </c>
      <c r="P2497">
        <v>0</v>
      </c>
      <c r="Q2497">
        <v>0</v>
      </c>
      <c r="R2497">
        <v>0</v>
      </c>
      <c r="S2497">
        <v>25774.413513237239</v>
      </c>
      <c r="T2497">
        <v>0</v>
      </c>
      <c r="U2497">
        <v>0</v>
      </c>
      <c r="V2497">
        <v>107144.0766813306</v>
      </c>
      <c r="W2497">
        <v>0</v>
      </c>
      <c r="X2497">
        <v>0</v>
      </c>
      <c r="Y2497">
        <v>132918.49019456783</v>
      </c>
      <c r="Z2497">
        <v>0</v>
      </c>
      <c r="AA2497">
        <v>132918.49019456783</v>
      </c>
      <c r="AB2497" t="s">
        <v>242</v>
      </c>
      <c r="AC2497">
        <v>10</v>
      </c>
      <c r="AD2497">
        <v>17500</v>
      </c>
      <c r="AE2497">
        <v>0</v>
      </c>
      <c r="AF2497">
        <v>0</v>
      </c>
      <c r="AG2497">
        <v>0</v>
      </c>
      <c r="AH2497" t="s">
        <v>58</v>
      </c>
      <c r="AK2497" t="s">
        <v>798</v>
      </c>
      <c r="AL2497">
        <v>12200122</v>
      </c>
      <c r="AM2497">
        <v>5900440096</v>
      </c>
      <c r="AN2497" t="s">
        <v>113</v>
      </c>
      <c r="AO2497" t="s">
        <v>437</v>
      </c>
      <c r="AP2497" t="s">
        <v>427</v>
      </c>
      <c r="AQ2497" t="s">
        <v>82</v>
      </c>
      <c r="AR2497" t="s">
        <v>82</v>
      </c>
      <c r="AT2497" t="s">
        <v>52</v>
      </c>
      <c r="AU2497">
        <v>2000</v>
      </c>
      <c r="AW2497">
        <v>45382</v>
      </c>
      <c r="AX2497" t="s">
        <v>1013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7999.4900000000016</v>
      </c>
      <c r="BG2497">
        <v>0</v>
      </c>
      <c r="BH2497">
        <v>0</v>
      </c>
      <c r="BI2497">
        <v>7999.4900000000016</v>
      </c>
      <c r="BJ2497">
        <v>0</v>
      </c>
      <c r="BK2497">
        <v>7999.4900000000016</v>
      </c>
      <c r="BL2497" t="s">
        <v>242</v>
      </c>
      <c r="BM2497">
        <v>11</v>
      </c>
      <c r="BN2497">
        <v>13276</v>
      </c>
      <c r="BO2497">
        <v>0</v>
      </c>
      <c r="BP2497">
        <v>0</v>
      </c>
      <c r="BQ2497">
        <v>0</v>
      </c>
      <c r="BR2497" t="s">
        <v>58</v>
      </c>
    </row>
    <row r="2498" spans="1:70" x14ac:dyDescent="0.3">
      <c r="A2498" t="s">
        <v>798</v>
      </c>
      <c r="B2498">
        <v>12200122</v>
      </c>
      <c r="C2498">
        <v>5900440096</v>
      </c>
      <c r="D2498" t="s">
        <v>113</v>
      </c>
      <c r="E2498" t="s">
        <v>437</v>
      </c>
      <c r="F2498" t="s">
        <v>427</v>
      </c>
      <c r="G2498" t="s">
        <v>82</v>
      </c>
      <c r="H2498" t="s">
        <v>82</v>
      </c>
      <c r="J2498" t="s">
        <v>52</v>
      </c>
      <c r="K2498" s="15">
        <v>2000</v>
      </c>
      <c r="M2498">
        <v>45382</v>
      </c>
      <c r="N2498" t="s">
        <v>1013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7999.4900000000016</v>
      </c>
      <c r="W2498">
        <v>0</v>
      </c>
      <c r="X2498">
        <v>0</v>
      </c>
      <c r="Y2498">
        <v>7999.4900000000016</v>
      </c>
      <c r="Z2498">
        <v>0</v>
      </c>
      <c r="AA2498">
        <v>7999.4900000000016</v>
      </c>
      <c r="AB2498" t="s">
        <v>242</v>
      </c>
      <c r="AC2498">
        <v>11</v>
      </c>
      <c r="AD2498">
        <v>13276</v>
      </c>
      <c r="AE2498">
        <v>0</v>
      </c>
      <c r="AF2498">
        <v>0</v>
      </c>
      <c r="AG2498">
        <v>0</v>
      </c>
      <c r="AH2498" t="s">
        <v>58</v>
      </c>
      <c r="AK2498" t="s">
        <v>798</v>
      </c>
      <c r="AL2498">
        <v>42200172</v>
      </c>
      <c r="AM2498">
        <v>2756017295</v>
      </c>
      <c r="AN2498" t="s">
        <v>972</v>
      </c>
      <c r="AO2498" t="s">
        <v>439</v>
      </c>
      <c r="AP2498" t="s">
        <v>430</v>
      </c>
      <c r="AQ2498" t="s">
        <v>232</v>
      </c>
      <c r="AR2498" t="s">
        <v>71</v>
      </c>
      <c r="AT2498" t="s">
        <v>52</v>
      </c>
      <c r="AU2498">
        <v>300</v>
      </c>
      <c r="AW2498">
        <v>45382</v>
      </c>
      <c r="AX2498" t="s">
        <v>1013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92542.336448598144</v>
      </c>
      <c r="BI2498">
        <v>92542.336448598144</v>
      </c>
      <c r="BJ2498">
        <v>6477.963551401871</v>
      </c>
      <c r="BK2498">
        <v>99020.300000000017</v>
      </c>
      <c r="BL2498" t="s">
        <v>242</v>
      </c>
      <c r="BM2498">
        <v>2</v>
      </c>
      <c r="BN2498">
        <v>800</v>
      </c>
      <c r="BO2498">
        <v>0</v>
      </c>
      <c r="BP2498">
        <v>0</v>
      </c>
      <c r="BQ2498">
        <v>52.336448598130858</v>
      </c>
      <c r="BR2498" t="s">
        <v>58</v>
      </c>
    </row>
    <row r="2499" spans="1:70" x14ac:dyDescent="0.3">
      <c r="A2499" t="s">
        <v>798</v>
      </c>
      <c r="B2499">
        <v>42200172</v>
      </c>
      <c r="C2499">
        <v>2756017295</v>
      </c>
      <c r="D2499" t="s">
        <v>972</v>
      </c>
      <c r="E2499" t="s">
        <v>439</v>
      </c>
      <c r="F2499" t="s">
        <v>430</v>
      </c>
      <c r="G2499" t="s">
        <v>232</v>
      </c>
      <c r="H2499" t="s">
        <v>71</v>
      </c>
      <c r="J2499" t="s">
        <v>52</v>
      </c>
      <c r="K2499" s="15">
        <v>300</v>
      </c>
      <c r="M2499">
        <v>45382</v>
      </c>
      <c r="N2499" t="s">
        <v>1013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92542.336448598144</v>
      </c>
      <c r="Y2499">
        <v>92542.336448598144</v>
      </c>
      <c r="Z2499">
        <v>6477.963551401871</v>
      </c>
      <c r="AA2499">
        <v>99020.300000000017</v>
      </c>
      <c r="AB2499" t="s">
        <v>242</v>
      </c>
      <c r="AC2499">
        <v>2</v>
      </c>
      <c r="AD2499">
        <v>800</v>
      </c>
      <c r="AE2499">
        <v>0</v>
      </c>
      <c r="AF2499">
        <v>0</v>
      </c>
      <c r="AG2499">
        <v>52.336448598130858</v>
      </c>
      <c r="AH2499" t="s">
        <v>58</v>
      </c>
      <c r="AK2499" t="s">
        <v>798</v>
      </c>
      <c r="AL2499">
        <v>12200001</v>
      </c>
      <c r="AM2499">
        <v>11371109</v>
      </c>
      <c r="AN2499" t="s">
        <v>111</v>
      </c>
      <c r="AO2499" t="s">
        <v>435</v>
      </c>
      <c r="AP2499" t="s">
        <v>427</v>
      </c>
      <c r="AQ2499" t="s">
        <v>82</v>
      </c>
      <c r="AR2499" t="s">
        <v>82</v>
      </c>
      <c r="AT2499" t="s">
        <v>52</v>
      </c>
      <c r="AU2499">
        <v>1500</v>
      </c>
      <c r="AW2499">
        <v>45382</v>
      </c>
      <c r="AX2499" t="s">
        <v>1013</v>
      </c>
      <c r="AY2499">
        <v>0</v>
      </c>
      <c r="AZ2499">
        <v>0</v>
      </c>
      <c r="BA2499">
        <v>0</v>
      </c>
      <c r="BB2499">
        <v>0</v>
      </c>
      <c r="BC2499">
        <v>25774.413513237239</v>
      </c>
      <c r="BD2499">
        <v>0</v>
      </c>
      <c r="BE2499">
        <v>0</v>
      </c>
      <c r="BF2499">
        <v>107144.0766813306</v>
      </c>
      <c r="BG2499">
        <v>0</v>
      </c>
      <c r="BH2499">
        <v>0</v>
      </c>
      <c r="BI2499">
        <v>132918.49019456783</v>
      </c>
      <c r="BJ2499">
        <v>0</v>
      </c>
      <c r="BK2499">
        <v>132918.49019456783</v>
      </c>
      <c r="BL2499" t="s">
        <v>242</v>
      </c>
      <c r="BM2499">
        <v>10</v>
      </c>
      <c r="BN2499">
        <v>17500</v>
      </c>
      <c r="BO2499">
        <v>0</v>
      </c>
      <c r="BP2499">
        <v>0</v>
      </c>
      <c r="BQ2499">
        <v>0</v>
      </c>
      <c r="BR2499" t="s">
        <v>58</v>
      </c>
    </row>
    <row r="2500" spans="1:70" x14ac:dyDescent="0.3">
      <c r="A2500" t="s">
        <v>798</v>
      </c>
      <c r="B2500">
        <v>42201150</v>
      </c>
      <c r="C2500">
        <v>2758020463</v>
      </c>
      <c r="D2500" t="s">
        <v>933</v>
      </c>
      <c r="E2500" t="s">
        <v>439</v>
      </c>
      <c r="F2500" t="s">
        <v>430</v>
      </c>
      <c r="G2500" t="s">
        <v>230</v>
      </c>
      <c r="H2500" t="s">
        <v>234</v>
      </c>
      <c r="J2500" t="s">
        <v>52</v>
      </c>
      <c r="K2500" s="15">
        <v>10000</v>
      </c>
      <c r="M2500">
        <v>45382</v>
      </c>
      <c r="N2500" t="s">
        <v>1029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284898.47663551412</v>
      </c>
      <c r="Y2500">
        <v>284898.47663551412</v>
      </c>
      <c r="Z2500">
        <v>19942.89336448599</v>
      </c>
      <c r="AA2500">
        <v>304841.37000000011</v>
      </c>
      <c r="AB2500" t="s">
        <v>242</v>
      </c>
      <c r="AC2500">
        <v>13</v>
      </c>
      <c r="AD2500">
        <v>110000</v>
      </c>
      <c r="AE2500">
        <v>0</v>
      </c>
      <c r="AF2500">
        <v>0</v>
      </c>
      <c r="AG2500">
        <v>7196.2616822429864</v>
      </c>
      <c r="AH2500" t="s">
        <v>58</v>
      </c>
      <c r="AK2500" t="s">
        <v>798</v>
      </c>
      <c r="AL2500">
        <v>52200733</v>
      </c>
      <c r="AM2500">
        <v>29713647</v>
      </c>
      <c r="AN2500" t="s">
        <v>140</v>
      </c>
      <c r="AO2500" t="s">
        <v>438</v>
      </c>
      <c r="AP2500" t="s">
        <v>431</v>
      </c>
      <c r="AQ2500" t="s">
        <v>82</v>
      </c>
      <c r="AR2500" t="s">
        <v>83</v>
      </c>
      <c r="AT2500" t="s">
        <v>52</v>
      </c>
      <c r="AU2500">
        <v>2500</v>
      </c>
      <c r="AW2500">
        <v>45382</v>
      </c>
      <c r="AX2500" t="s">
        <v>1013</v>
      </c>
      <c r="AY2500">
        <v>0</v>
      </c>
      <c r="AZ2500">
        <v>0</v>
      </c>
      <c r="BA2500">
        <v>0</v>
      </c>
      <c r="BB2500">
        <v>700.92472716978386</v>
      </c>
      <c r="BC2500">
        <v>0</v>
      </c>
      <c r="BD2500">
        <v>0</v>
      </c>
      <c r="BE2500">
        <v>0</v>
      </c>
      <c r="BF2500">
        <v>52179.509600775898</v>
      </c>
      <c r="BG2500">
        <v>0</v>
      </c>
      <c r="BH2500">
        <v>0</v>
      </c>
      <c r="BI2500">
        <v>52880.434327945681</v>
      </c>
      <c r="BJ2500">
        <v>3652.5656720543134</v>
      </c>
      <c r="BK2500">
        <v>56532.999999999993</v>
      </c>
      <c r="BL2500" t="s">
        <v>242</v>
      </c>
      <c r="BM2500">
        <v>10</v>
      </c>
      <c r="BN2500">
        <v>32337</v>
      </c>
      <c r="BO2500">
        <v>0</v>
      </c>
      <c r="BP2500">
        <v>0</v>
      </c>
      <c r="BQ2500">
        <v>2086.9109634597048</v>
      </c>
      <c r="BR2500" t="s">
        <v>58</v>
      </c>
    </row>
    <row r="2501" spans="1:70" x14ac:dyDescent="0.3">
      <c r="A2501" t="s">
        <v>798</v>
      </c>
      <c r="B2501">
        <v>42201416</v>
      </c>
      <c r="C2501">
        <v>2759018438</v>
      </c>
      <c r="D2501" t="s">
        <v>965</v>
      </c>
      <c r="E2501" t="s">
        <v>439</v>
      </c>
      <c r="F2501" t="s">
        <v>430</v>
      </c>
      <c r="G2501" t="s">
        <v>230</v>
      </c>
      <c r="H2501" t="s">
        <v>234</v>
      </c>
      <c r="J2501" t="s">
        <v>52</v>
      </c>
      <c r="K2501" s="15">
        <v>3000</v>
      </c>
      <c r="M2501">
        <v>45382</v>
      </c>
      <c r="N2501" t="s">
        <v>1013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591799.0747663551</v>
      </c>
      <c r="Y2501">
        <v>591799.0747663551</v>
      </c>
      <c r="Z2501">
        <v>41425.935233644865</v>
      </c>
      <c r="AA2501">
        <v>633225.01</v>
      </c>
      <c r="AB2501" t="s">
        <v>242</v>
      </c>
      <c r="AC2501">
        <v>3</v>
      </c>
      <c r="AD2501">
        <v>9000</v>
      </c>
      <c r="AE2501">
        <v>0</v>
      </c>
      <c r="AF2501">
        <v>0</v>
      </c>
      <c r="AG2501">
        <v>588.7850467289727</v>
      </c>
      <c r="AH2501" t="s">
        <v>58</v>
      </c>
      <c r="AK2501" t="s">
        <v>798</v>
      </c>
      <c r="AL2501">
        <v>52201828</v>
      </c>
      <c r="AM2501">
        <v>25536725</v>
      </c>
      <c r="AN2501" t="s">
        <v>166</v>
      </c>
      <c r="AO2501" t="s">
        <v>438</v>
      </c>
      <c r="AP2501" t="s">
        <v>431</v>
      </c>
      <c r="AQ2501" t="s">
        <v>82</v>
      </c>
      <c r="AR2501" t="s">
        <v>83</v>
      </c>
      <c r="AT2501" t="s">
        <v>52</v>
      </c>
      <c r="AU2501">
        <v>1500</v>
      </c>
      <c r="AW2501">
        <v>45382</v>
      </c>
      <c r="AX2501" t="s">
        <v>1013</v>
      </c>
      <c r="AY2501">
        <v>0</v>
      </c>
      <c r="AZ2501">
        <v>0</v>
      </c>
      <c r="BA2501">
        <v>0</v>
      </c>
      <c r="BB2501">
        <v>741.10241975349265</v>
      </c>
      <c r="BC2501">
        <v>8404.4483935854478</v>
      </c>
      <c r="BD2501">
        <v>0</v>
      </c>
      <c r="BE2501">
        <v>0</v>
      </c>
      <c r="BF2501">
        <v>46273.024665951423</v>
      </c>
      <c r="BG2501">
        <v>0</v>
      </c>
      <c r="BH2501">
        <v>0</v>
      </c>
      <c r="BI2501">
        <v>55418.575479290361</v>
      </c>
      <c r="BJ2501">
        <v>3827.4231141675814</v>
      </c>
      <c r="BK2501">
        <v>59245.998593457945</v>
      </c>
      <c r="BL2501" t="s">
        <v>242</v>
      </c>
      <c r="BM2501">
        <v>14</v>
      </c>
      <c r="BN2501">
        <v>22000</v>
      </c>
      <c r="BO2501">
        <v>0</v>
      </c>
      <c r="BP2501">
        <v>0</v>
      </c>
      <c r="BQ2501">
        <v>1419.7637097034992</v>
      </c>
      <c r="BR2501" t="s">
        <v>58</v>
      </c>
    </row>
    <row r="2502" spans="1:70" x14ac:dyDescent="0.3">
      <c r="A2502" t="s">
        <v>798</v>
      </c>
      <c r="B2502">
        <v>52200733</v>
      </c>
      <c r="C2502">
        <v>29713647</v>
      </c>
      <c r="D2502" t="s">
        <v>140</v>
      </c>
      <c r="E2502" t="s">
        <v>438</v>
      </c>
      <c r="F2502" t="s">
        <v>431</v>
      </c>
      <c r="G2502" t="s">
        <v>82</v>
      </c>
      <c r="H2502" t="s">
        <v>83</v>
      </c>
      <c r="J2502" t="s">
        <v>52</v>
      </c>
      <c r="K2502" s="15">
        <v>2500</v>
      </c>
      <c r="M2502">
        <v>45382</v>
      </c>
      <c r="N2502" t="s">
        <v>1013</v>
      </c>
      <c r="O2502">
        <v>0</v>
      </c>
      <c r="P2502">
        <v>0</v>
      </c>
      <c r="Q2502">
        <v>0</v>
      </c>
      <c r="R2502">
        <v>700.92472716978386</v>
      </c>
      <c r="S2502">
        <v>0</v>
      </c>
      <c r="T2502">
        <v>0</v>
      </c>
      <c r="U2502">
        <v>0</v>
      </c>
      <c r="V2502">
        <v>52179.509600775898</v>
      </c>
      <c r="W2502">
        <v>0</v>
      </c>
      <c r="X2502">
        <v>0</v>
      </c>
      <c r="Y2502">
        <v>52880.434327945681</v>
      </c>
      <c r="Z2502">
        <v>3652.5656720543134</v>
      </c>
      <c r="AA2502">
        <v>56532.999999999993</v>
      </c>
      <c r="AB2502" t="s">
        <v>242</v>
      </c>
      <c r="AC2502">
        <v>10</v>
      </c>
      <c r="AD2502">
        <v>32337</v>
      </c>
      <c r="AE2502">
        <v>0</v>
      </c>
      <c r="AF2502">
        <v>0</v>
      </c>
      <c r="AG2502">
        <v>2086.9109634597048</v>
      </c>
      <c r="AH2502" t="s">
        <v>58</v>
      </c>
      <c r="AK2502" t="s">
        <v>798</v>
      </c>
      <c r="AL2502">
        <v>42201150</v>
      </c>
      <c r="AM2502">
        <v>2758020463</v>
      </c>
      <c r="AN2502" t="s">
        <v>933</v>
      </c>
      <c r="AO2502" t="s">
        <v>439</v>
      </c>
      <c r="AP2502" t="s">
        <v>430</v>
      </c>
      <c r="AQ2502" t="s">
        <v>230</v>
      </c>
      <c r="AR2502" t="s">
        <v>234</v>
      </c>
      <c r="AT2502" t="s">
        <v>52</v>
      </c>
      <c r="AU2502">
        <v>10000</v>
      </c>
      <c r="AW2502">
        <v>45382</v>
      </c>
      <c r="AX2502" t="s">
        <v>1029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284898.47663551412</v>
      </c>
      <c r="BI2502">
        <v>284898.47663551412</v>
      </c>
      <c r="BJ2502">
        <v>19942.89336448599</v>
      </c>
      <c r="BK2502">
        <v>304841.37000000011</v>
      </c>
      <c r="BL2502" t="s">
        <v>242</v>
      </c>
      <c r="BM2502">
        <v>13</v>
      </c>
      <c r="BN2502">
        <v>110000</v>
      </c>
      <c r="BO2502">
        <v>0</v>
      </c>
      <c r="BP2502">
        <v>0</v>
      </c>
      <c r="BQ2502">
        <v>7196.2616822429864</v>
      </c>
      <c r="BR2502" t="s">
        <v>58</v>
      </c>
    </row>
    <row r="2503" spans="1:70" x14ac:dyDescent="0.3">
      <c r="A2503" t="s">
        <v>798</v>
      </c>
      <c r="B2503">
        <v>52201131</v>
      </c>
      <c r="C2503">
        <v>25692011</v>
      </c>
      <c r="D2503" t="s">
        <v>652</v>
      </c>
      <c r="E2503" t="s">
        <v>438</v>
      </c>
      <c r="F2503" t="s">
        <v>431</v>
      </c>
      <c r="G2503" t="s">
        <v>235</v>
      </c>
      <c r="H2503" t="s">
        <v>236</v>
      </c>
      <c r="J2503" t="s">
        <v>52</v>
      </c>
      <c r="K2503" s="15">
        <v>3000</v>
      </c>
      <c r="M2503">
        <v>45382</v>
      </c>
      <c r="N2503" t="s">
        <v>1013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175154.20560747667</v>
      </c>
      <c r="W2503">
        <v>0</v>
      </c>
      <c r="X2503">
        <v>0</v>
      </c>
      <c r="Y2503">
        <v>175154.20560747667</v>
      </c>
      <c r="Z2503">
        <v>12260.794392523369</v>
      </c>
      <c r="AA2503">
        <v>187415.00000000003</v>
      </c>
      <c r="AB2503" t="s">
        <v>242</v>
      </c>
      <c r="AC2503">
        <v>4</v>
      </c>
      <c r="AD2503">
        <v>11400</v>
      </c>
      <c r="AE2503">
        <v>0</v>
      </c>
      <c r="AF2503">
        <v>0</v>
      </c>
      <c r="AG2503">
        <v>744.76438345721817</v>
      </c>
      <c r="AH2503" t="s">
        <v>58</v>
      </c>
      <c r="AK2503" t="s">
        <v>798</v>
      </c>
      <c r="AL2503">
        <v>42201416</v>
      </c>
      <c r="AM2503">
        <v>2759018438</v>
      </c>
      <c r="AN2503" t="s">
        <v>965</v>
      </c>
      <c r="AO2503" t="s">
        <v>439</v>
      </c>
      <c r="AP2503" t="s">
        <v>430</v>
      </c>
      <c r="AQ2503" t="s">
        <v>230</v>
      </c>
      <c r="AR2503" t="s">
        <v>234</v>
      </c>
      <c r="AT2503" t="s">
        <v>52</v>
      </c>
      <c r="AU2503">
        <v>3000</v>
      </c>
      <c r="AW2503">
        <v>45382</v>
      </c>
      <c r="AX2503" t="s">
        <v>1013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591799.0747663551</v>
      </c>
      <c r="BI2503">
        <v>591799.0747663551</v>
      </c>
      <c r="BJ2503">
        <v>41425.935233644865</v>
      </c>
      <c r="BK2503">
        <v>633225.01</v>
      </c>
      <c r="BL2503" t="s">
        <v>242</v>
      </c>
      <c r="BM2503">
        <v>3</v>
      </c>
      <c r="BN2503">
        <v>9000</v>
      </c>
      <c r="BO2503">
        <v>0</v>
      </c>
      <c r="BP2503">
        <v>0</v>
      </c>
      <c r="BQ2503">
        <v>588.7850467289727</v>
      </c>
      <c r="BR2503" t="s">
        <v>58</v>
      </c>
    </row>
    <row r="2504" spans="1:70" x14ac:dyDescent="0.3">
      <c r="A2504" t="s">
        <v>798</v>
      </c>
      <c r="B2504">
        <v>52201645</v>
      </c>
      <c r="C2504">
        <v>26580827</v>
      </c>
      <c r="D2504" t="s">
        <v>163</v>
      </c>
      <c r="E2504" t="s">
        <v>438</v>
      </c>
      <c r="F2504" t="s">
        <v>431</v>
      </c>
      <c r="G2504" t="s">
        <v>82</v>
      </c>
      <c r="H2504" t="s">
        <v>83</v>
      </c>
      <c r="J2504" t="s">
        <v>52</v>
      </c>
      <c r="K2504" s="15">
        <v>9620</v>
      </c>
      <c r="M2504">
        <v>45382</v>
      </c>
      <c r="N2504" t="s">
        <v>1013</v>
      </c>
      <c r="O2504">
        <v>0</v>
      </c>
      <c r="P2504">
        <v>0</v>
      </c>
      <c r="Q2504">
        <v>0</v>
      </c>
      <c r="R2504">
        <v>672.3288785206812</v>
      </c>
      <c r="S2504">
        <v>30403.736641009258</v>
      </c>
      <c r="T2504">
        <v>0</v>
      </c>
      <c r="U2504">
        <v>0</v>
      </c>
      <c r="V2504">
        <v>88638.947347097012</v>
      </c>
      <c r="W2504">
        <v>0</v>
      </c>
      <c r="X2504">
        <v>0</v>
      </c>
      <c r="Y2504">
        <v>119715.01286662696</v>
      </c>
      <c r="Z2504">
        <v>8332.98787916744</v>
      </c>
      <c r="AA2504">
        <v>128048.0007457944</v>
      </c>
      <c r="AB2504" t="s">
        <v>242</v>
      </c>
      <c r="AC2504">
        <v>8</v>
      </c>
      <c r="AD2504">
        <v>38430</v>
      </c>
      <c r="AE2504">
        <v>0</v>
      </c>
      <c r="AF2504">
        <v>0</v>
      </c>
      <c r="AG2504">
        <v>2499.8065621462142</v>
      </c>
      <c r="AH2504" t="s">
        <v>58</v>
      </c>
      <c r="AK2504" t="s">
        <v>798</v>
      </c>
      <c r="AL2504">
        <v>4142300008</v>
      </c>
      <c r="AM2504">
        <v>132635</v>
      </c>
      <c r="AN2504" t="s">
        <v>975</v>
      </c>
      <c r="AO2504" t="s">
        <v>444</v>
      </c>
      <c r="AP2504" t="s">
        <v>430</v>
      </c>
      <c r="AQ2504" t="s">
        <v>237</v>
      </c>
      <c r="AR2504" t="s">
        <v>231</v>
      </c>
      <c r="AT2504" t="s">
        <v>52</v>
      </c>
      <c r="AU2504">
        <v>12000</v>
      </c>
      <c r="AW2504">
        <v>45382</v>
      </c>
      <c r="AX2504" t="s">
        <v>1013</v>
      </c>
      <c r="AY2504">
        <v>0</v>
      </c>
      <c r="AZ2504">
        <v>22220.166944906585</v>
      </c>
      <c r="BA2504">
        <v>0</v>
      </c>
      <c r="BB2504">
        <v>0</v>
      </c>
      <c r="BC2504">
        <v>0</v>
      </c>
      <c r="BD2504">
        <v>0</v>
      </c>
      <c r="BE2504">
        <v>32042.834630928432</v>
      </c>
      <c r="BF2504">
        <v>0</v>
      </c>
      <c r="BG2504">
        <v>0</v>
      </c>
      <c r="BH2504">
        <v>0</v>
      </c>
      <c r="BI2504">
        <v>54263.00157583502</v>
      </c>
      <c r="BJ2504">
        <v>2242.9984241649904</v>
      </c>
      <c r="BK2504">
        <v>56506.000000000007</v>
      </c>
      <c r="BL2504" t="s">
        <v>242</v>
      </c>
      <c r="BM2504">
        <v>9</v>
      </c>
      <c r="BN2504">
        <v>92000</v>
      </c>
      <c r="BO2504">
        <v>0</v>
      </c>
      <c r="BP2504">
        <v>0</v>
      </c>
      <c r="BQ2504">
        <v>3487.8426973303376</v>
      </c>
      <c r="BR2504" t="s">
        <v>58</v>
      </c>
    </row>
    <row r="2505" spans="1:70" x14ac:dyDescent="0.3">
      <c r="A2505" t="s">
        <v>798</v>
      </c>
      <c r="B2505">
        <v>52201828</v>
      </c>
      <c r="C2505">
        <v>25536725</v>
      </c>
      <c r="D2505" t="s">
        <v>166</v>
      </c>
      <c r="E2505" t="s">
        <v>438</v>
      </c>
      <c r="F2505" t="s">
        <v>431</v>
      </c>
      <c r="G2505" t="s">
        <v>82</v>
      </c>
      <c r="H2505" t="s">
        <v>83</v>
      </c>
      <c r="J2505" t="s">
        <v>52</v>
      </c>
      <c r="K2505" s="15">
        <v>1500</v>
      </c>
      <c r="M2505">
        <v>45382</v>
      </c>
      <c r="N2505" t="s">
        <v>1013</v>
      </c>
      <c r="O2505">
        <v>0</v>
      </c>
      <c r="P2505">
        <v>0</v>
      </c>
      <c r="Q2505">
        <v>0</v>
      </c>
      <c r="R2505">
        <v>741.10241975349265</v>
      </c>
      <c r="S2505">
        <v>8404.4483935854478</v>
      </c>
      <c r="T2505">
        <v>0</v>
      </c>
      <c r="U2505">
        <v>0</v>
      </c>
      <c r="V2505">
        <v>46273.024665951423</v>
      </c>
      <c r="W2505">
        <v>0</v>
      </c>
      <c r="X2505">
        <v>0</v>
      </c>
      <c r="Y2505">
        <v>55418.575479290361</v>
      </c>
      <c r="Z2505">
        <v>3827.4231141675814</v>
      </c>
      <c r="AA2505">
        <v>59245.998593457945</v>
      </c>
      <c r="AB2505" t="s">
        <v>242</v>
      </c>
      <c r="AC2505">
        <v>14</v>
      </c>
      <c r="AD2505">
        <v>22000</v>
      </c>
      <c r="AE2505">
        <v>0</v>
      </c>
      <c r="AF2505">
        <v>0</v>
      </c>
      <c r="AG2505">
        <v>1419.7637097034992</v>
      </c>
      <c r="AH2505" t="s">
        <v>58</v>
      </c>
      <c r="AK2505" t="s">
        <v>798</v>
      </c>
      <c r="AL2505">
        <v>52201131</v>
      </c>
      <c r="AM2505">
        <v>25692011</v>
      </c>
      <c r="AN2505" t="s">
        <v>652</v>
      </c>
      <c r="AO2505" t="s">
        <v>438</v>
      </c>
      <c r="AP2505" t="s">
        <v>431</v>
      </c>
      <c r="AQ2505" t="s">
        <v>235</v>
      </c>
      <c r="AR2505" t="s">
        <v>236</v>
      </c>
      <c r="AT2505" t="s">
        <v>52</v>
      </c>
      <c r="AU2505">
        <v>3000</v>
      </c>
      <c r="AW2505">
        <v>45382</v>
      </c>
      <c r="AX2505" t="s">
        <v>1013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175154.20560747667</v>
      </c>
      <c r="BG2505">
        <v>0</v>
      </c>
      <c r="BH2505">
        <v>0</v>
      </c>
      <c r="BI2505">
        <v>175154.20560747667</v>
      </c>
      <c r="BJ2505">
        <v>12260.794392523369</v>
      </c>
      <c r="BK2505">
        <v>187415.00000000003</v>
      </c>
      <c r="BL2505" t="s">
        <v>242</v>
      </c>
      <c r="BM2505">
        <v>4</v>
      </c>
      <c r="BN2505">
        <v>11400</v>
      </c>
      <c r="BO2505">
        <v>0</v>
      </c>
      <c r="BP2505">
        <v>0</v>
      </c>
      <c r="BQ2505">
        <v>744.76438345721817</v>
      </c>
      <c r="BR2505" t="s">
        <v>58</v>
      </c>
    </row>
    <row r="2506" spans="1:70" x14ac:dyDescent="0.3">
      <c r="A2506" t="s">
        <v>798</v>
      </c>
      <c r="B2506">
        <v>4132300016</v>
      </c>
      <c r="C2506">
        <v>1100162900</v>
      </c>
      <c r="D2506" t="s">
        <v>793</v>
      </c>
      <c r="E2506" t="s">
        <v>441</v>
      </c>
      <c r="F2506" t="s">
        <v>430</v>
      </c>
      <c r="G2506" t="s">
        <v>230</v>
      </c>
      <c r="H2506" t="s">
        <v>231</v>
      </c>
      <c r="J2506" t="s">
        <v>52</v>
      </c>
      <c r="K2506" s="15">
        <v>2000</v>
      </c>
      <c r="M2506">
        <v>45382</v>
      </c>
      <c r="N2506" t="s">
        <v>1013</v>
      </c>
      <c r="O2506">
        <v>0</v>
      </c>
      <c r="P2506">
        <v>10776.373922351353</v>
      </c>
      <c r="Q2506">
        <v>0</v>
      </c>
      <c r="R2506">
        <v>0</v>
      </c>
      <c r="S2506">
        <v>5122.1917808219177</v>
      </c>
      <c r="T2506">
        <v>16793.108483783781</v>
      </c>
      <c r="U2506">
        <v>0</v>
      </c>
      <c r="V2506">
        <v>0</v>
      </c>
      <c r="W2506">
        <v>347663.55140186916</v>
      </c>
      <c r="X2506">
        <v>0</v>
      </c>
      <c r="Y2506">
        <v>380355.22558882623</v>
      </c>
      <c r="Z2506">
        <v>25511.966191995707</v>
      </c>
      <c r="AA2506">
        <v>405867.19178082194</v>
      </c>
      <c r="AB2506" t="s">
        <v>242</v>
      </c>
      <c r="AC2506">
        <v>1</v>
      </c>
      <c r="AD2506">
        <v>2000</v>
      </c>
      <c r="AE2506">
        <v>0</v>
      </c>
      <c r="AF2506">
        <v>0</v>
      </c>
      <c r="AG2506">
        <v>125.37025660242489</v>
      </c>
      <c r="AH2506" t="s">
        <v>72</v>
      </c>
      <c r="AK2506" t="s">
        <v>798</v>
      </c>
      <c r="AL2506">
        <v>52201645</v>
      </c>
      <c r="AM2506">
        <v>26580827</v>
      </c>
      <c r="AN2506" t="s">
        <v>163</v>
      </c>
      <c r="AO2506" t="s">
        <v>438</v>
      </c>
      <c r="AP2506" t="s">
        <v>431</v>
      </c>
      <c r="AQ2506" t="s">
        <v>82</v>
      </c>
      <c r="AR2506" t="s">
        <v>83</v>
      </c>
      <c r="AT2506" t="s">
        <v>52</v>
      </c>
      <c r="AU2506">
        <v>9620</v>
      </c>
      <c r="AW2506">
        <v>45382</v>
      </c>
      <c r="AX2506" t="s">
        <v>1013</v>
      </c>
      <c r="AY2506">
        <v>0</v>
      </c>
      <c r="AZ2506">
        <v>0</v>
      </c>
      <c r="BA2506">
        <v>0</v>
      </c>
      <c r="BB2506">
        <v>672.3288785206812</v>
      </c>
      <c r="BC2506">
        <v>30403.736641009258</v>
      </c>
      <c r="BD2506">
        <v>0</v>
      </c>
      <c r="BE2506">
        <v>0</v>
      </c>
      <c r="BF2506">
        <v>88638.947347097012</v>
      </c>
      <c r="BG2506">
        <v>0</v>
      </c>
      <c r="BH2506">
        <v>0</v>
      </c>
      <c r="BI2506">
        <v>119715.01286662696</v>
      </c>
      <c r="BJ2506">
        <v>8332.98787916744</v>
      </c>
      <c r="BK2506">
        <v>128048.0007457944</v>
      </c>
      <c r="BL2506" t="s">
        <v>242</v>
      </c>
      <c r="BM2506">
        <v>8</v>
      </c>
      <c r="BN2506">
        <v>38430</v>
      </c>
      <c r="BO2506">
        <v>0</v>
      </c>
      <c r="BP2506">
        <v>0</v>
      </c>
      <c r="BQ2506">
        <v>2499.8065621462142</v>
      </c>
      <c r="BR2506" t="s">
        <v>58</v>
      </c>
    </row>
    <row r="2507" spans="1:70" x14ac:dyDescent="0.3">
      <c r="A2507" t="s">
        <v>798</v>
      </c>
      <c r="B2507">
        <v>4132301419</v>
      </c>
      <c r="C2507" t="s">
        <v>680</v>
      </c>
      <c r="D2507" t="s">
        <v>969</v>
      </c>
      <c r="E2507" t="s">
        <v>442</v>
      </c>
      <c r="F2507" t="s">
        <v>430</v>
      </c>
      <c r="G2507" t="s">
        <v>230</v>
      </c>
      <c r="H2507" t="s">
        <v>231</v>
      </c>
      <c r="J2507" t="s">
        <v>52</v>
      </c>
      <c r="K2507" s="15">
        <v>1000</v>
      </c>
      <c r="M2507">
        <v>45382</v>
      </c>
      <c r="N2507" t="s">
        <v>1013</v>
      </c>
      <c r="O2507">
        <v>0</v>
      </c>
      <c r="P2507">
        <v>12324.802441416063</v>
      </c>
      <c r="Q2507">
        <v>0</v>
      </c>
      <c r="R2507">
        <v>0</v>
      </c>
      <c r="S2507">
        <v>5877.24</v>
      </c>
      <c r="T2507">
        <v>1129.1565968074192</v>
      </c>
      <c r="U2507">
        <v>28037.383177570093</v>
      </c>
      <c r="V2507">
        <v>0</v>
      </c>
      <c r="W2507">
        <v>261682.24299065419</v>
      </c>
      <c r="X2507">
        <v>0</v>
      </c>
      <c r="Y2507">
        <v>309050.82520644774</v>
      </c>
      <c r="Z2507">
        <v>20359.41479355222</v>
      </c>
      <c r="AA2507">
        <v>329410.24</v>
      </c>
      <c r="AB2507" t="s">
        <v>242</v>
      </c>
      <c r="AC2507">
        <v>3</v>
      </c>
      <c r="AD2507">
        <v>12000</v>
      </c>
      <c r="AE2507">
        <v>0</v>
      </c>
      <c r="AF2507">
        <v>0</v>
      </c>
      <c r="AG2507">
        <v>738.71604756927582</v>
      </c>
      <c r="AH2507" t="s">
        <v>58</v>
      </c>
      <c r="AK2507" t="s">
        <v>798</v>
      </c>
      <c r="AL2507">
        <v>4142301183</v>
      </c>
      <c r="AM2507">
        <v>10061381</v>
      </c>
      <c r="AN2507" t="s">
        <v>794</v>
      </c>
      <c r="AO2507" t="s">
        <v>446</v>
      </c>
      <c r="AP2507" t="s">
        <v>430</v>
      </c>
      <c r="AQ2507" t="s">
        <v>237</v>
      </c>
      <c r="AR2507" t="s">
        <v>234</v>
      </c>
      <c r="AT2507" t="s">
        <v>52</v>
      </c>
      <c r="AU2507">
        <v>1000</v>
      </c>
      <c r="AW2507">
        <v>45382</v>
      </c>
      <c r="AX2507" t="s">
        <v>1013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65832.803738317758</v>
      </c>
      <c r="BI2507">
        <v>65832.803738317758</v>
      </c>
      <c r="BJ2507">
        <v>4608.2962616822433</v>
      </c>
      <c r="BK2507">
        <v>70441.100000000006</v>
      </c>
      <c r="BL2507" t="s">
        <v>242</v>
      </c>
      <c r="BM2507">
        <v>1</v>
      </c>
      <c r="BN2507">
        <v>1000</v>
      </c>
      <c r="BO2507">
        <v>0</v>
      </c>
      <c r="BP2507">
        <v>0</v>
      </c>
      <c r="BQ2507">
        <v>65.420560747663558</v>
      </c>
      <c r="BR2507" t="s">
        <v>72</v>
      </c>
    </row>
    <row r="2508" spans="1:70" x14ac:dyDescent="0.3">
      <c r="A2508" t="s">
        <v>798</v>
      </c>
      <c r="B2508">
        <v>4132301762</v>
      </c>
      <c r="C2508" t="s">
        <v>688</v>
      </c>
      <c r="D2508" t="s">
        <v>981</v>
      </c>
      <c r="E2508" t="s">
        <v>442</v>
      </c>
      <c r="F2508" t="s">
        <v>430</v>
      </c>
      <c r="G2508" t="s">
        <v>230</v>
      </c>
      <c r="H2508" t="s">
        <v>231</v>
      </c>
      <c r="J2508" t="s">
        <v>52</v>
      </c>
      <c r="K2508" s="15">
        <v>1000</v>
      </c>
      <c r="M2508">
        <v>45382</v>
      </c>
      <c r="N2508" t="s">
        <v>1013</v>
      </c>
      <c r="O2508">
        <v>0</v>
      </c>
      <c r="P2508">
        <v>18908.067887269204</v>
      </c>
      <c r="Q2508">
        <v>0</v>
      </c>
      <c r="R2508">
        <v>0</v>
      </c>
      <c r="S2508">
        <v>18809.34</v>
      </c>
      <c r="T2508">
        <v>34295.26365675775</v>
      </c>
      <c r="U2508">
        <v>16822.429906542056</v>
      </c>
      <c r="V2508">
        <v>0</v>
      </c>
      <c r="W2508">
        <v>392523.36448598129</v>
      </c>
      <c r="X2508">
        <v>0</v>
      </c>
      <c r="Y2508">
        <v>481358.46593655029</v>
      </c>
      <c r="Z2508">
        <v>31054.874063449683</v>
      </c>
      <c r="AA2508">
        <v>512413.33999999997</v>
      </c>
      <c r="AB2508" t="s">
        <v>242</v>
      </c>
      <c r="AC2508">
        <v>3</v>
      </c>
      <c r="AD2508">
        <v>2500</v>
      </c>
      <c r="AE2508">
        <v>0</v>
      </c>
      <c r="AF2508">
        <v>0</v>
      </c>
      <c r="AG2508">
        <v>150.7334131858359</v>
      </c>
      <c r="AH2508" t="s">
        <v>58</v>
      </c>
      <c r="AK2508" t="s">
        <v>798</v>
      </c>
      <c r="AL2508">
        <v>4132300016</v>
      </c>
      <c r="AM2508">
        <v>1100162900</v>
      </c>
      <c r="AN2508" t="s">
        <v>793</v>
      </c>
      <c r="AO2508" t="s">
        <v>441</v>
      </c>
      <c r="AP2508" t="s">
        <v>430</v>
      </c>
      <c r="AQ2508" t="s">
        <v>230</v>
      </c>
      <c r="AR2508" t="s">
        <v>231</v>
      </c>
      <c r="AT2508" t="s">
        <v>52</v>
      </c>
      <c r="AU2508">
        <v>2000</v>
      </c>
      <c r="AW2508">
        <v>45382</v>
      </c>
      <c r="AX2508" t="s">
        <v>1013</v>
      </c>
      <c r="AY2508">
        <v>0</v>
      </c>
      <c r="AZ2508">
        <v>10776.373922351353</v>
      </c>
      <c r="BA2508">
        <v>0</v>
      </c>
      <c r="BB2508">
        <v>0</v>
      </c>
      <c r="BC2508">
        <v>5122.1917808219177</v>
      </c>
      <c r="BD2508">
        <v>16793.108483783781</v>
      </c>
      <c r="BE2508">
        <v>0</v>
      </c>
      <c r="BF2508">
        <v>0</v>
      </c>
      <c r="BG2508">
        <v>347663.55140186916</v>
      </c>
      <c r="BH2508">
        <v>0</v>
      </c>
      <c r="BI2508">
        <v>380355.22558882623</v>
      </c>
      <c r="BJ2508">
        <v>25511.966191995707</v>
      </c>
      <c r="BK2508">
        <v>405867.19178082194</v>
      </c>
      <c r="BL2508" t="s">
        <v>242</v>
      </c>
      <c r="BM2508">
        <v>1</v>
      </c>
      <c r="BN2508">
        <v>2000</v>
      </c>
      <c r="BO2508">
        <v>0</v>
      </c>
      <c r="BP2508">
        <v>0</v>
      </c>
      <c r="BQ2508">
        <v>125.37025660242489</v>
      </c>
      <c r="BR2508" t="s">
        <v>72</v>
      </c>
    </row>
    <row r="2509" spans="1:70" x14ac:dyDescent="0.3">
      <c r="A2509" t="s">
        <v>798</v>
      </c>
      <c r="B2509">
        <v>4142300008</v>
      </c>
      <c r="C2509">
        <v>132635</v>
      </c>
      <c r="D2509" t="s">
        <v>975</v>
      </c>
      <c r="E2509" t="s">
        <v>444</v>
      </c>
      <c r="F2509" t="s">
        <v>430</v>
      </c>
      <c r="G2509" t="s">
        <v>237</v>
      </c>
      <c r="H2509" t="s">
        <v>231</v>
      </c>
      <c r="J2509" t="s">
        <v>52</v>
      </c>
      <c r="K2509" s="15">
        <v>12000</v>
      </c>
      <c r="M2509">
        <v>45382</v>
      </c>
      <c r="N2509" t="s">
        <v>1013</v>
      </c>
      <c r="O2509">
        <v>0</v>
      </c>
      <c r="P2509">
        <v>22220.166944906585</v>
      </c>
      <c r="Q2509">
        <v>0</v>
      </c>
      <c r="R2509">
        <v>0</v>
      </c>
      <c r="S2509">
        <v>0</v>
      </c>
      <c r="T2509">
        <v>0</v>
      </c>
      <c r="U2509">
        <v>32042.834630928432</v>
      </c>
      <c r="V2509">
        <v>0</v>
      </c>
      <c r="W2509">
        <v>0</v>
      </c>
      <c r="X2509">
        <v>0</v>
      </c>
      <c r="Y2509">
        <v>54263.00157583502</v>
      </c>
      <c r="Z2509">
        <v>2242.9984241649904</v>
      </c>
      <c r="AA2509">
        <v>56506.000000000007</v>
      </c>
      <c r="AB2509" t="s">
        <v>242</v>
      </c>
      <c r="AC2509">
        <v>9</v>
      </c>
      <c r="AD2509">
        <v>92000</v>
      </c>
      <c r="AE2509">
        <v>0</v>
      </c>
      <c r="AF2509">
        <v>0</v>
      </c>
      <c r="AG2509">
        <v>3487.8426973303376</v>
      </c>
      <c r="AH2509" t="s">
        <v>58</v>
      </c>
      <c r="AK2509" t="s">
        <v>798</v>
      </c>
      <c r="AL2509">
        <v>4132301419</v>
      </c>
      <c r="AM2509" t="s">
        <v>680</v>
      </c>
      <c r="AN2509" t="s">
        <v>969</v>
      </c>
      <c r="AO2509" t="s">
        <v>442</v>
      </c>
      <c r="AP2509" t="s">
        <v>430</v>
      </c>
      <c r="AQ2509" t="s">
        <v>230</v>
      </c>
      <c r="AR2509" t="s">
        <v>231</v>
      </c>
      <c r="AT2509" t="s">
        <v>52</v>
      </c>
      <c r="AU2509">
        <v>1000</v>
      </c>
      <c r="AW2509">
        <v>45382</v>
      </c>
      <c r="AX2509" t="s">
        <v>1013</v>
      </c>
      <c r="AY2509">
        <v>0</v>
      </c>
      <c r="AZ2509">
        <v>12324.802441416063</v>
      </c>
      <c r="BA2509">
        <v>0</v>
      </c>
      <c r="BB2509">
        <v>0</v>
      </c>
      <c r="BC2509">
        <v>5877.24</v>
      </c>
      <c r="BD2509">
        <v>1129.1565968074192</v>
      </c>
      <c r="BE2509">
        <v>28037.383177570093</v>
      </c>
      <c r="BF2509">
        <v>0</v>
      </c>
      <c r="BG2509">
        <v>261682.24299065419</v>
      </c>
      <c r="BH2509">
        <v>0</v>
      </c>
      <c r="BI2509">
        <v>309050.82520644774</v>
      </c>
      <c r="BJ2509">
        <v>20359.41479355222</v>
      </c>
      <c r="BK2509">
        <v>329410.24</v>
      </c>
      <c r="BL2509" t="s">
        <v>242</v>
      </c>
      <c r="BM2509">
        <v>3</v>
      </c>
      <c r="BN2509">
        <v>12000</v>
      </c>
      <c r="BO2509">
        <v>0</v>
      </c>
      <c r="BP2509">
        <v>0</v>
      </c>
      <c r="BQ2509">
        <v>738.71604756927582</v>
      </c>
      <c r="BR2509" t="s">
        <v>58</v>
      </c>
    </row>
    <row r="2510" spans="1:70" x14ac:dyDescent="0.3">
      <c r="A2510" t="s">
        <v>798</v>
      </c>
      <c r="B2510">
        <v>4142300201</v>
      </c>
      <c r="C2510">
        <v>10077114</v>
      </c>
      <c r="D2510" t="s">
        <v>193</v>
      </c>
      <c r="E2510" t="s">
        <v>445</v>
      </c>
      <c r="F2510" t="s">
        <v>430</v>
      </c>
      <c r="G2510" t="s">
        <v>237</v>
      </c>
      <c r="H2510" t="s">
        <v>234</v>
      </c>
      <c r="J2510" t="s">
        <v>52</v>
      </c>
      <c r="K2510" s="15">
        <v>4000</v>
      </c>
      <c r="M2510">
        <v>45382</v>
      </c>
      <c r="N2510" t="s">
        <v>1029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29177.271028037387</v>
      </c>
      <c r="Y2510">
        <v>29177.271028037387</v>
      </c>
      <c r="Z2510">
        <v>2042.4089719626172</v>
      </c>
      <c r="AA2510">
        <v>31219.680000000004</v>
      </c>
      <c r="AB2510" t="s">
        <v>242</v>
      </c>
      <c r="AC2510">
        <v>5</v>
      </c>
      <c r="AD2510">
        <v>17000</v>
      </c>
      <c r="AE2510">
        <v>0</v>
      </c>
      <c r="AF2510">
        <v>0</v>
      </c>
      <c r="AG2510">
        <v>1112.1495327102812</v>
      </c>
      <c r="AH2510" t="s">
        <v>58</v>
      </c>
      <c r="AK2510" t="s">
        <v>798</v>
      </c>
      <c r="AL2510">
        <v>4132301762</v>
      </c>
      <c r="AM2510" t="s">
        <v>688</v>
      </c>
      <c r="AN2510" t="s">
        <v>981</v>
      </c>
      <c r="AO2510" t="s">
        <v>442</v>
      </c>
      <c r="AP2510" t="s">
        <v>430</v>
      </c>
      <c r="AQ2510" t="s">
        <v>230</v>
      </c>
      <c r="AR2510" t="s">
        <v>231</v>
      </c>
      <c r="AT2510" t="s">
        <v>52</v>
      </c>
      <c r="AU2510">
        <v>1000</v>
      </c>
      <c r="AW2510">
        <v>45382</v>
      </c>
      <c r="AX2510" t="s">
        <v>1013</v>
      </c>
      <c r="AY2510">
        <v>0</v>
      </c>
      <c r="AZ2510">
        <v>18908.067887269204</v>
      </c>
      <c r="BA2510">
        <v>0</v>
      </c>
      <c r="BB2510">
        <v>0</v>
      </c>
      <c r="BC2510">
        <v>18809.34</v>
      </c>
      <c r="BD2510">
        <v>34295.26365675775</v>
      </c>
      <c r="BE2510">
        <v>16822.429906542056</v>
      </c>
      <c r="BF2510">
        <v>0</v>
      </c>
      <c r="BG2510">
        <v>392523.36448598129</v>
      </c>
      <c r="BH2510">
        <v>0</v>
      </c>
      <c r="BI2510">
        <v>481358.46593655029</v>
      </c>
      <c r="BJ2510">
        <v>31054.874063449683</v>
      </c>
      <c r="BK2510">
        <v>512413.33999999997</v>
      </c>
      <c r="BL2510" t="s">
        <v>242</v>
      </c>
      <c r="BM2510">
        <v>3</v>
      </c>
      <c r="BN2510">
        <v>2500</v>
      </c>
      <c r="BO2510">
        <v>0</v>
      </c>
      <c r="BP2510">
        <v>0</v>
      </c>
      <c r="BQ2510">
        <v>150.7334131858359</v>
      </c>
      <c r="BR2510" t="s">
        <v>58</v>
      </c>
    </row>
    <row r="2511" spans="1:70" x14ac:dyDescent="0.3">
      <c r="A2511" t="s">
        <v>798</v>
      </c>
      <c r="B2511">
        <v>4142300274</v>
      </c>
      <c r="C2511">
        <v>10118963</v>
      </c>
      <c r="D2511" t="s">
        <v>796</v>
      </c>
      <c r="E2511" t="s">
        <v>445</v>
      </c>
      <c r="F2511" t="s">
        <v>430</v>
      </c>
      <c r="G2511" t="s">
        <v>230</v>
      </c>
      <c r="H2511" t="s">
        <v>234</v>
      </c>
      <c r="J2511" t="s">
        <v>52</v>
      </c>
      <c r="K2511" s="15">
        <v>5500</v>
      </c>
      <c r="M2511">
        <v>45382</v>
      </c>
      <c r="N2511" t="s">
        <v>1013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483823.84112149535</v>
      </c>
      <c r="Y2511">
        <v>483823.84112149535</v>
      </c>
      <c r="Z2511">
        <v>33867.668878504679</v>
      </c>
      <c r="AA2511">
        <v>517691.51</v>
      </c>
      <c r="AB2511" t="s">
        <v>242</v>
      </c>
      <c r="AC2511">
        <v>1</v>
      </c>
      <c r="AD2511">
        <v>5500</v>
      </c>
      <c r="AE2511">
        <v>0</v>
      </c>
      <c r="AF2511">
        <v>0</v>
      </c>
      <c r="AG2511">
        <v>359.81308411214923</v>
      </c>
      <c r="AH2511" t="s">
        <v>72</v>
      </c>
      <c r="AK2511" t="s">
        <v>798</v>
      </c>
      <c r="AL2511">
        <v>4142301620</v>
      </c>
      <c r="AM2511">
        <v>10665498</v>
      </c>
      <c r="AN2511" t="s">
        <v>762</v>
      </c>
      <c r="AO2511" t="s">
        <v>446</v>
      </c>
      <c r="AP2511" t="s">
        <v>430</v>
      </c>
      <c r="AQ2511" t="s">
        <v>237</v>
      </c>
      <c r="AR2511" t="s">
        <v>234</v>
      </c>
      <c r="AT2511" t="s">
        <v>52</v>
      </c>
      <c r="AU2511">
        <v>2000</v>
      </c>
      <c r="AW2511">
        <v>45382</v>
      </c>
      <c r="AX2511" t="s">
        <v>1013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41943.92523364487</v>
      </c>
      <c r="BI2511">
        <v>41943.92523364487</v>
      </c>
      <c r="BJ2511">
        <v>2936.074766355141</v>
      </c>
      <c r="BK2511">
        <v>44880.000000000015</v>
      </c>
      <c r="BL2511" t="s">
        <v>242</v>
      </c>
      <c r="BM2511">
        <v>3</v>
      </c>
      <c r="BN2511">
        <v>6000</v>
      </c>
      <c r="BO2511">
        <v>0</v>
      </c>
      <c r="BP2511">
        <v>0</v>
      </c>
      <c r="BQ2511">
        <v>392.52336448598135</v>
      </c>
      <c r="BR2511" t="s">
        <v>58</v>
      </c>
    </row>
    <row r="2512" spans="1:70" x14ac:dyDescent="0.3">
      <c r="A2512" t="s">
        <v>798</v>
      </c>
      <c r="B2512">
        <v>4142300315</v>
      </c>
      <c r="C2512">
        <v>10137121</v>
      </c>
      <c r="D2512" t="s">
        <v>197</v>
      </c>
      <c r="E2512" t="s">
        <v>445</v>
      </c>
      <c r="F2512" t="s">
        <v>430</v>
      </c>
      <c r="G2512" t="s">
        <v>230</v>
      </c>
      <c r="H2512" t="s">
        <v>234</v>
      </c>
      <c r="J2512" t="s">
        <v>52</v>
      </c>
      <c r="K2512" s="15">
        <v>300000</v>
      </c>
      <c r="M2512">
        <v>45382</v>
      </c>
      <c r="N2512" t="s">
        <v>1052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487332.05719626159</v>
      </c>
      <c r="Y2512">
        <v>487332.05719626159</v>
      </c>
      <c r="Z2512">
        <v>34113.244003738313</v>
      </c>
      <c r="AA2512">
        <v>521445.30119999993</v>
      </c>
      <c r="AB2512" t="s">
        <v>242</v>
      </c>
      <c r="AC2512">
        <v>5</v>
      </c>
      <c r="AD2512">
        <v>640000</v>
      </c>
      <c r="AE2512">
        <v>0</v>
      </c>
      <c r="AF2512">
        <v>0</v>
      </c>
      <c r="AG2512">
        <v>41869.158878504699</v>
      </c>
      <c r="AH2512" t="s">
        <v>58</v>
      </c>
      <c r="AK2512" t="s">
        <v>798</v>
      </c>
      <c r="AL2512">
        <v>4332300169</v>
      </c>
      <c r="AM2512">
        <v>5010224367</v>
      </c>
      <c r="AN2512" t="s">
        <v>229</v>
      </c>
      <c r="AO2512" t="s">
        <v>441</v>
      </c>
      <c r="AP2512" t="s">
        <v>433</v>
      </c>
      <c r="AQ2512" t="s">
        <v>233</v>
      </c>
      <c r="AR2512" t="s">
        <v>231</v>
      </c>
      <c r="AT2512" t="s">
        <v>52</v>
      </c>
      <c r="AU2512">
        <v>10000</v>
      </c>
      <c r="AW2512">
        <v>45382</v>
      </c>
      <c r="AX2512" t="s">
        <v>1013</v>
      </c>
      <c r="AY2512">
        <v>0</v>
      </c>
      <c r="AZ2512">
        <v>1079.988153341259</v>
      </c>
      <c r="BA2512">
        <v>0</v>
      </c>
      <c r="BB2512">
        <v>0</v>
      </c>
      <c r="BC2512">
        <v>4179.4520547945203</v>
      </c>
      <c r="BD2512">
        <v>4430.8521931390096</v>
      </c>
      <c r="BE2512">
        <v>0</v>
      </c>
      <c r="BF2512">
        <v>0</v>
      </c>
      <c r="BG2512">
        <v>0</v>
      </c>
      <c r="BH2512">
        <v>0</v>
      </c>
      <c r="BI2512">
        <v>9690.2924012747899</v>
      </c>
      <c r="BJ2512">
        <v>310.15965351973068</v>
      </c>
      <c r="BK2512">
        <v>10000.452054794521</v>
      </c>
      <c r="BL2512" t="s">
        <v>242</v>
      </c>
      <c r="BM2512">
        <v>3</v>
      </c>
      <c r="BN2512">
        <v>28238</v>
      </c>
      <c r="BO2512">
        <v>0</v>
      </c>
      <c r="BP2512">
        <v>0</v>
      </c>
      <c r="BQ2512">
        <v>801.9898791905498</v>
      </c>
      <c r="BR2512" t="s">
        <v>58</v>
      </c>
    </row>
    <row r="2513" spans="1:70" x14ac:dyDescent="0.3">
      <c r="A2513" t="s">
        <v>798</v>
      </c>
      <c r="B2513">
        <v>4142300794</v>
      </c>
      <c r="C2513">
        <v>10379208</v>
      </c>
      <c r="D2513" t="s">
        <v>209</v>
      </c>
      <c r="E2513" t="s">
        <v>445</v>
      </c>
      <c r="F2513" t="s">
        <v>430</v>
      </c>
      <c r="G2513" t="s">
        <v>230</v>
      </c>
      <c r="H2513" t="s">
        <v>234</v>
      </c>
      <c r="J2513" t="s">
        <v>52</v>
      </c>
      <c r="K2513" s="15">
        <v>12000</v>
      </c>
      <c r="M2513">
        <v>45382</v>
      </c>
      <c r="N2513" t="s">
        <v>1013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406635.76635514008</v>
      </c>
      <c r="Y2513">
        <v>406635.76635514008</v>
      </c>
      <c r="Z2513">
        <v>28464.503644859808</v>
      </c>
      <c r="AA2513">
        <v>435100.2699999999</v>
      </c>
      <c r="AB2513" t="s">
        <v>242</v>
      </c>
      <c r="AC2513">
        <v>8</v>
      </c>
      <c r="AD2513">
        <v>113000</v>
      </c>
      <c r="AE2513">
        <v>0</v>
      </c>
      <c r="AF2513">
        <v>0</v>
      </c>
      <c r="AG2513">
        <v>7392.5233644859845</v>
      </c>
      <c r="AH2513" t="s">
        <v>58</v>
      </c>
      <c r="AK2513" t="s">
        <v>798</v>
      </c>
      <c r="AL2513">
        <v>4142300274</v>
      </c>
      <c r="AM2513">
        <v>10118963</v>
      </c>
      <c r="AN2513" t="s">
        <v>796</v>
      </c>
      <c r="AO2513" t="s">
        <v>445</v>
      </c>
      <c r="AP2513" t="s">
        <v>430</v>
      </c>
      <c r="AQ2513" t="s">
        <v>230</v>
      </c>
      <c r="AR2513" t="s">
        <v>234</v>
      </c>
      <c r="AT2513" t="s">
        <v>52</v>
      </c>
      <c r="AU2513">
        <v>5500</v>
      </c>
      <c r="AW2513">
        <v>45382</v>
      </c>
      <c r="AX2513" t="s">
        <v>1013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483823.84112149535</v>
      </c>
      <c r="BI2513">
        <v>483823.84112149535</v>
      </c>
      <c r="BJ2513">
        <v>33867.668878504679</v>
      </c>
      <c r="BK2513">
        <v>517691.51</v>
      </c>
      <c r="BL2513" t="s">
        <v>242</v>
      </c>
      <c r="BM2513">
        <v>1</v>
      </c>
      <c r="BN2513">
        <v>5500</v>
      </c>
      <c r="BO2513">
        <v>0</v>
      </c>
      <c r="BP2513">
        <v>0</v>
      </c>
      <c r="BQ2513">
        <v>359.81308411214923</v>
      </c>
      <c r="BR2513" t="s">
        <v>72</v>
      </c>
    </row>
    <row r="2514" spans="1:70" x14ac:dyDescent="0.3">
      <c r="A2514" t="s">
        <v>798</v>
      </c>
      <c r="B2514">
        <v>4142300833</v>
      </c>
      <c r="C2514">
        <v>10386254</v>
      </c>
      <c r="D2514" t="s">
        <v>743</v>
      </c>
      <c r="E2514" t="s">
        <v>445</v>
      </c>
      <c r="F2514" t="s">
        <v>430</v>
      </c>
      <c r="G2514" t="s">
        <v>230</v>
      </c>
      <c r="H2514" t="s">
        <v>234</v>
      </c>
      <c r="J2514" t="s">
        <v>52</v>
      </c>
      <c r="K2514" s="15">
        <v>4000</v>
      </c>
      <c r="M2514">
        <v>45382</v>
      </c>
      <c r="N2514" t="s">
        <v>1029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405474.07476635516</v>
      </c>
      <c r="Y2514">
        <v>405474.07476635516</v>
      </c>
      <c r="Z2514">
        <v>28383.185233644865</v>
      </c>
      <c r="AA2514">
        <v>433857.26</v>
      </c>
      <c r="AB2514" t="s">
        <v>242</v>
      </c>
      <c r="AC2514">
        <v>4</v>
      </c>
      <c r="AD2514">
        <v>18000</v>
      </c>
      <c r="AE2514">
        <v>0</v>
      </c>
      <c r="AF2514">
        <v>0</v>
      </c>
      <c r="AG2514">
        <v>1177.5700934579436</v>
      </c>
      <c r="AH2514" t="s">
        <v>58</v>
      </c>
      <c r="AK2514" t="s">
        <v>798</v>
      </c>
      <c r="AL2514">
        <v>4142300315</v>
      </c>
      <c r="AM2514">
        <v>10137121</v>
      </c>
      <c r="AN2514" t="s">
        <v>197</v>
      </c>
      <c r="AO2514" t="s">
        <v>445</v>
      </c>
      <c r="AP2514" t="s">
        <v>430</v>
      </c>
      <c r="AQ2514" t="s">
        <v>230</v>
      </c>
      <c r="AR2514" t="s">
        <v>234</v>
      </c>
      <c r="AT2514" t="s">
        <v>52</v>
      </c>
      <c r="AU2514">
        <v>300000</v>
      </c>
      <c r="AW2514">
        <v>45382</v>
      </c>
      <c r="AX2514" t="s">
        <v>1052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487332.05719626159</v>
      </c>
      <c r="BI2514">
        <v>487332.05719626159</v>
      </c>
      <c r="BJ2514">
        <v>34113.244003738313</v>
      </c>
      <c r="BK2514">
        <v>521445.30119999993</v>
      </c>
      <c r="BL2514" t="s">
        <v>242</v>
      </c>
      <c r="BM2514">
        <v>5</v>
      </c>
      <c r="BN2514">
        <v>640000</v>
      </c>
      <c r="BO2514">
        <v>0</v>
      </c>
      <c r="BP2514">
        <v>0</v>
      </c>
      <c r="BQ2514">
        <v>41869.158878504699</v>
      </c>
      <c r="BR2514" t="s">
        <v>58</v>
      </c>
    </row>
    <row r="2515" spans="1:70" x14ac:dyDescent="0.3">
      <c r="A2515" t="s">
        <v>798</v>
      </c>
      <c r="B2515">
        <v>4142301183</v>
      </c>
      <c r="C2515">
        <v>10061381</v>
      </c>
      <c r="D2515" t="s">
        <v>794</v>
      </c>
      <c r="E2515" t="s">
        <v>446</v>
      </c>
      <c r="F2515" t="s">
        <v>430</v>
      </c>
      <c r="G2515" t="s">
        <v>237</v>
      </c>
      <c r="H2515" t="s">
        <v>234</v>
      </c>
      <c r="J2515" t="s">
        <v>52</v>
      </c>
      <c r="K2515" s="15">
        <v>1000</v>
      </c>
      <c r="M2515">
        <v>45382</v>
      </c>
      <c r="N2515" t="s">
        <v>1013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65832.803738317758</v>
      </c>
      <c r="Y2515">
        <v>65832.803738317758</v>
      </c>
      <c r="Z2515">
        <v>4608.2962616822433</v>
      </c>
      <c r="AA2515">
        <v>70441.100000000006</v>
      </c>
      <c r="AB2515" t="s">
        <v>242</v>
      </c>
      <c r="AC2515">
        <v>1</v>
      </c>
      <c r="AD2515">
        <v>1000</v>
      </c>
      <c r="AE2515">
        <v>0</v>
      </c>
      <c r="AF2515">
        <v>0</v>
      </c>
      <c r="AG2515">
        <v>65.420560747663558</v>
      </c>
      <c r="AH2515" t="s">
        <v>72</v>
      </c>
      <c r="AK2515" t="s">
        <v>798</v>
      </c>
      <c r="AL2515">
        <v>4142300794</v>
      </c>
      <c r="AM2515">
        <v>10379208</v>
      </c>
      <c r="AN2515" t="s">
        <v>209</v>
      </c>
      <c r="AO2515" t="s">
        <v>445</v>
      </c>
      <c r="AP2515" t="s">
        <v>430</v>
      </c>
      <c r="AQ2515" t="s">
        <v>230</v>
      </c>
      <c r="AR2515" t="s">
        <v>234</v>
      </c>
      <c r="AT2515" t="s">
        <v>52</v>
      </c>
      <c r="AU2515">
        <v>12000</v>
      </c>
      <c r="AW2515">
        <v>45382</v>
      </c>
      <c r="AX2515" t="s">
        <v>1013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406635.76635514008</v>
      </c>
      <c r="BI2515">
        <v>406635.76635514008</v>
      </c>
      <c r="BJ2515">
        <v>28464.503644859808</v>
      </c>
      <c r="BK2515">
        <v>435100.2699999999</v>
      </c>
      <c r="BL2515" t="s">
        <v>242</v>
      </c>
      <c r="BM2515">
        <v>8</v>
      </c>
      <c r="BN2515">
        <v>113000</v>
      </c>
      <c r="BO2515">
        <v>0</v>
      </c>
      <c r="BP2515">
        <v>0</v>
      </c>
      <c r="BQ2515">
        <v>7392.5233644859845</v>
      </c>
      <c r="BR2515" t="s">
        <v>58</v>
      </c>
    </row>
    <row r="2516" spans="1:70" x14ac:dyDescent="0.3">
      <c r="A2516" t="s">
        <v>798</v>
      </c>
      <c r="B2516">
        <v>4142301246</v>
      </c>
      <c r="C2516">
        <v>10211923</v>
      </c>
      <c r="D2516" t="s">
        <v>750</v>
      </c>
      <c r="E2516" t="s">
        <v>446</v>
      </c>
      <c r="F2516" t="s">
        <v>430</v>
      </c>
      <c r="G2516" t="s">
        <v>230</v>
      </c>
      <c r="H2516" t="s">
        <v>234</v>
      </c>
      <c r="J2516" t="s">
        <v>52</v>
      </c>
      <c r="K2516" s="15">
        <v>11170</v>
      </c>
      <c r="M2516">
        <v>45382</v>
      </c>
      <c r="N2516" t="s">
        <v>1029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85751.626168224306</v>
      </c>
      <c r="Y2516">
        <v>85751.626168224306</v>
      </c>
      <c r="Z2516">
        <v>6002.6138317757022</v>
      </c>
      <c r="AA2516">
        <v>91754.240000000005</v>
      </c>
      <c r="AB2516" t="s">
        <v>242</v>
      </c>
      <c r="AC2516">
        <v>3</v>
      </c>
      <c r="AD2516">
        <v>33510</v>
      </c>
      <c r="AE2516">
        <v>0</v>
      </c>
      <c r="AF2516">
        <v>0</v>
      </c>
      <c r="AG2516">
        <v>2192.2429906542038</v>
      </c>
      <c r="AH2516" t="s">
        <v>58</v>
      </c>
      <c r="AK2516" t="s">
        <v>798</v>
      </c>
      <c r="AL2516">
        <v>4142300833</v>
      </c>
      <c r="AM2516">
        <v>10386254</v>
      </c>
      <c r="AN2516" t="s">
        <v>743</v>
      </c>
      <c r="AO2516" t="s">
        <v>445</v>
      </c>
      <c r="AP2516" t="s">
        <v>430</v>
      </c>
      <c r="AQ2516" t="s">
        <v>230</v>
      </c>
      <c r="AR2516" t="s">
        <v>234</v>
      </c>
      <c r="AT2516" t="s">
        <v>52</v>
      </c>
      <c r="AU2516">
        <v>4000</v>
      </c>
      <c r="AW2516">
        <v>45382</v>
      </c>
      <c r="AX2516" t="s">
        <v>1029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405474.07476635516</v>
      </c>
      <c r="BI2516">
        <v>405474.07476635516</v>
      </c>
      <c r="BJ2516">
        <v>28383.185233644865</v>
      </c>
      <c r="BK2516">
        <v>433857.26</v>
      </c>
      <c r="BL2516" t="s">
        <v>242</v>
      </c>
      <c r="BM2516">
        <v>4</v>
      </c>
      <c r="BN2516">
        <v>18000</v>
      </c>
      <c r="BO2516">
        <v>0</v>
      </c>
      <c r="BP2516">
        <v>0</v>
      </c>
      <c r="BQ2516">
        <v>1177.5700934579436</v>
      </c>
      <c r="BR2516" t="s">
        <v>58</v>
      </c>
    </row>
    <row r="2517" spans="1:70" x14ac:dyDescent="0.3">
      <c r="A2517" t="s">
        <v>798</v>
      </c>
      <c r="B2517">
        <v>4142301400</v>
      </c>
      <c r="C2517">
        <v>10447242</v>
      </c>
      <c r="D2517" t="s">
        <v>755</v>
      </c>
      <c r="E2517" t="s">
        <v>446</v>
      </c>
      <c r="F2517" t="s">
        <v>430</v>
      </c>
      <c r="G2517" t="s">
        <v>230</v>
      </c>
      <c r="H2517" t="s">
        <v>234</v>
      </c>
      <c r="J2517" t="s">
        <v>52</v>
      </c>
      <c r="K2517" s="15">
        <v>5000</v>
      </c>
      <c r="M2517">
        <v>45382</v>
      </c>
      <c r="N2517" t="s">
        <v>1013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195541.80373831777</v>
      </c>
      <c r="Y2517">
        <v>195541.80373831777</v>
      </c>
      <c r="Z2517">
        <v>13687.926261682245</v>
      </c>
      <c r="AA2517">
        <v>209229.73</v>
      </c>
      <c r="AB2517" t="s">
        <v>242</v>
      </c>
      <c r="AC2517">
        <v>3</v>
      </c>
      <c r="AD2517">
        <v>12000</v>
      </c>
      <c r="AE2517">
        <v>0</v>
      </c>
      <c r="AF2517">
        <v>0</v>
      </c>
      <c r="AG2517">
        <v>785.04672897196269</v>
      </c>
      <c r="AH2517" t="s">
        <v>58</v>
      </c>
      <c r="AK2517" t="s">
        <v>798</v>
      </c>
      <c r="AL2517">
        <v>4142301400</v>
      </c>
      <c r="AM2517">
        <v>10447242</v>
      </c>
      <c r="AN2517" t="s">
        <v>755</v>
      </c>
      <c r="AO2517" t="s">
        <v>446</v>
      </c>
      <c r="AP2517" t="s">
        <v>430</v>
      </c>
      <c r="AQ2517" t="s">
        <v>230</v>
      </c>
      <c r="AR2517" t="s">
        <v>234</v>
      </c>
      <c r="AT2517" t="s">
        <v>52</v>
      </c>
      <c r="AU2517">
        <v>5000</v>
      </c>
      <c r="AW2517">
        <v>45382</v>
      </c>
      <c r="AX2517" t="s">
        <v>1013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195541.80373831777</v>
      </c>
      <c r="BI2517">
        <v>195541.80373831777</v>
      </c>
      <c r="BJ2517">
        <v>13687.926261682245</v>
      </c>
      <c r="BK2517">
        <v>209229.73</v>
      </c>
      <c r="BL2517" t="s">
        <v>242</v>
      </c>
      <c r="BM2517">
        <v>3</v>
      </c>
      <c r="BN2517">
        <v>12000</v>
      </c>
      <c r="BO2517">
        <v>0</v>
      </c>
      <c r="BP2517">
        <v>0</v>
      </c>
      <c r="BQ2517">
        <v>785.04672897196269</v>
      </c>
      <c r="BR2517" t="s">
        <v>58</v>
      </c>
    </row>
    <row r="2518" spans="1:70" x14ac:dyDescent="0.3">
      <c r="A2518" t="s">
        <v>798</v>
      </c>
      <c r="B2518">
        <v>4142301540</v>
      </c>
      <c r="C2518">
        <v>10592307</v>
      </c>
      <c r="D2518" t="s">
        <v>760</v>
      </c>
      <c r="E2518" t="s">
        <v>446</v>
      </c>
      <c r="F2518" t="s">
        <v>430</v>
      </c>
      <c r="G2518" t="s">
        <v>230</v>
      </c>
      <c r="H2518" t="s">
        <v>234</v>
      </c>
      <c r="J2518" t="s">
        <v>52</v>
      </c>
      <c r="K2518" s="15">
        <v>2000</v>
      </c>
      <c r="M2518">
        <v>45382</v>
      </c>
      <c r="N2518" t="s">
        <v>1013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234457.47271028036</v>
      </c>
      <c r="Y2518">
        <v>234457.47271028036</v>
      </c>
      <c r="Z2518">
        <v>16412.023089719627</v>
      </c>
      <c r="AA2518">
        <v>250869.49579999998</v>
      </c>
      <c r="AB2518" t="s">
        <v>242</v>
      </c>
      <c r="AC2518">
        <v>3</v>
      </c>
      <c r="AD2518">
        <v>162000</v>
      </c>
      <c r="AE2518">
        <v>0</v>
      </c>
      <c r="AF2518">
        <v>0</v>
      </c>
      <c r="AG2518">
        <v>10598.130841121509</v>
      </c>
      <c r="AH2518" t="s">
        <v>58</v>
      </c>
      <c r="AK2518" t="s">
        <v>798</v>
      </c>
      <c r="AL2518">
        <v>4142301540</v>
      </c>
      <c r="AM2518">
        <v>10592307</v>
      </c>
      <c r="AN2518" t="s">
        <v>760</v>
      </c>
      <c r="AO2518" t="s">
        <v>446</v>
      </c>
      <c r="AP2518" t="s">
        <v>430</v>
      </c>
      <c r="AQ2518" t="s">
        <v>230</v>
      </c>
      <c r="AR2518" t="s">
        <v>234</v>
      </c>
      <c r="AT2518" t="s">
        <v>52</v>
      </c>
      <c r="AU2518">
        <v>2000</v>
      </c>
      <c r="AW2518">
        <v>45382</v>
      </c>
      <c r="AX2518" t="s">
        <v>1013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234457.47271028036</v>
      </c>
      <c r="BI2518">
        <v>234457.47271028036</v>
      </c>
      <c r="BJ2518">
        <v>16412.023089719627</v>
      </c>
      <c r="BK2518">
        <v>250869.49579999998</v>
      </c>
      <c r="BL2518" t="s">
        <v>242</v>
      </c>
      <c r="BM2518">
        <v>3</v>
      </c>
      <c r="BN2518">
        <v>162000</v>
      </c>
      <c r="BO2518">
        <v>0</v>
      </c>
      <c r="BP2518">
        <v>0</v>
      </c>
      <c r="BQ2518">
        <v>10598.130841121509</v>
      </c>
      <c r="BR2518" t="s">
        <v>58</v>
      </c>
    </row>
    <row r="2519" spans="1:70" x14ac:dyDescent="0.3">
      <c r="A2519" t="s">
        <v>798</v>
      </c>
      <c r="B2519">
        <v>4142301620</v>
      </c>
      <c r="C2519">
        <v>10665498</v>
      </c>
      <c r="D2519" t="s">
        <v>762</v>
      </c>
      <c r="E2519" t="s">
        <v>446</v>
      </c>
      <c r="F2519" t="s">
        <v>430</v>
      </c>
      <c r="G2519" t="s">
        <v>237</v>
      </c>
      <c r="H2519" t="s">
        <v>234</v>
      </c>
      <c r="J2519" t="s">
        <v>52</v>
      </c>
      <c r="K2519" s="15">
        <v>2000</v>
      </c>
      <c r="M2519">
        <v>45382</v>
      </c>
      <c r="N2519" t="s">
        <v>1013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41943.92523364487</v>
      </c>
      <c r="Y2519">
        <v>41943.92523364487</v>
      </c>
      <c r="Z2519">
        <v>2936.074766355141</v>
      </c>
      <c r="AA2519">
        <v>44880.000000000015</v>
      </c>
      <c r="AB2519" t="s">
        <v>242</v>
      </c>
      <c r="AC2519">
        <v>3</v>
      </c>
      <c r="AD2519">
        <v>6000</v>
      </c>
      <c r="AE2519">
        <v>0</v>
      </c>
      <c r="AF2519">
        <v>0</v>
      </c>
      <c r="AG2519">
        <v>392.52336448598135</v>
      </c>
      <c r="AH2519" t="s">
        <v>58</v>
      </c>
      <c r="AK2519" t="s">
        <v>798</v>
      </c>
      <c r="AL2519">
        <v>4142301655</v>
      </c>
      <c r="AM2519">
        <v>10756568</v>
      </c>
      <c r="AN2519" t="s">
        <v>795</v>
      </c>
      <c r="AO2519" t="s">
        <v>446</v>
      </c>
      <c r="AP2519" t="s">
        <v>430</v>
      </c>
      <c r="AQ2519" t="s">
        <v>230</v>
      </c>
      <c r="AR2519" t="s">
        <v>234</v>
      </c>
      <c r="AT2519" t="s">
        <v>52</v>
      </c>
      <c r="AU2519">
        <v>500</v>
      </c>
      <c r="AW2519">
        <v>45382</v>
      </c>
      <c r="AX2519" t="s">
        <v>1013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666396.44859813072</v>
      </c>
      <c r="BI2519">
        <v>666396.44859813072</v>
      </c>
      <c r="BJ2519">
        <v>46647.751401869158</v>
      </c>
      <c r="BK2519">
        <v>713044.19999999984</v>
      </c>
      <c r="BL2519" t="s">
        <v>242</v>
      </c>
      <c r="BM2519">
        <v>1</v>
      </c>
      <c r="BN2519">
        <v>500</v>
      </c>
      <c r="BO2519">
        <v>0</v>
      </c>
      <c r="BP2519">
        <v>0</v>
      </c>
      <c r="BQ2519">
        <v>32.710280373831779</v>
      </c>
      <c r="BR2519" t="s">
        <v>72</v>
      </c>
    </row>
    <row r="2520" spans="1:70" x14ac:dyDescent="0.3">
      <c r="A2520" t="s">
        <v>798</v>
      </c>
      <c r="B2520">
        <v>4142301655</v>
      </c>
      <c r="C2520">
        <v>10756568</v>
      </c>
      <c r="D2520" t="s">
        <v>795</v>
      </c>
      <c r="E2520" t="s">
        <v>446</v>
      </c>
      <c r="F2520" t="s">
        <v>430</v>
      </c>
      <c r="G2520" t="s">
        <v>230</v>
      </c>
      <c r="H2520" t="s">
        <v>234</v>
      </c>
      <c r="J2520" t="s">
        <v>52</v>
      </c>
      <c r="K2520" s="15">
        <v>500</v>
      </c>
      <c r="M2520">
        <v>45382</v>
      </c>
      <c r="N2520" t="s">
        <v>1013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666396.44859813072</v>
      </c>
      <c r="Y2520">
        <v>666396.44859813072</v>
      </c>
      <c r="Z2520">
        <v>46647.751401869158</v>
      </c>
      <c r="AA2520">
        <v>713044.19999999984</v>
      </c>
      <c r="AB2520" t="s">
        <v>242</v>
      </c>
      <c r="AC2520">
        <v>1</v>
      </c>
      <c r="AD2520">
        <v>500</v>
      </c>
      <c r="AE2520">
        <v>0</v>
      </c>
      <c r="AF2520">
        <v>0</v>
      </c>
      <c r="AG2520">
        <v>32.710280373831779</v>
      </c>
      <c r="AH2520" t="s">
        <v>72</v>
      </c>
      <c r="AK2520" t="s">
        <v>798</v>
      </c>
      <c r="AL2520">
        <v>4312300002</v>
      </c>
      <c r="AM2520" t="s">
        <v>59</v>
      </c>
      <c r="AN2520" t="s">
        <v>976</v>
      </c>
      <c r="AO2520" t="s">
        <v>448</v>
      </c>
      <c r="AP2520" t="s">
        <v>433</v>
      </c>
      <c r="AQ2520" t="s">
        <v>82</v>
      </c>
      <c r="AR2520" t="s">
        <v>71</v>
      </c>
      <c r="AT2520" t="s">
        <v>52</v>
      </c>
      <c r="AU2520">
        <v>20000</v>
      </c>
      <c r="AW2520">
        <v>45382</v>
      </c>
      <c r="AX2520" t="s">
        <v>1029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662043.37383177585</v>
      </c>
      <c r="BI2520">
        <v>662043.37383177585</v>
      </c>
      <c r="BJ2520">
        <v>46343.036168224316</v>
      </c>
      <c r="BK2520">
        <v>708386.41000000015</v>
      </c>
      <c r="BL2520" t="s">
        <v>242</v>
      </c>
      <c r="BM2520">
        <v>5</v>
      </c>
      <c r="BN2520">
        <v>100000</v>
      </c>
      <c r="BO2520">
        <v>0</v>
      </c>
      <c r="BP2520">
        <v>0</v>
      </c>
      <c r="BQ2520">
        <v>6542.0560747663512</v>
      </c>
      <c r="BR2520" t="s">
        <v>58</v>
      </c>
    </row>
    <row r="2521" spans="1:70" x14ac:dyDescent="0.3">
      <c r="A2521" t="s">
        <v>798</v>
      </c>
      <c r="B2521">
        <v>4312300002</v>
      </c>
      <c r="C2521" t="s">
        <v>59</v>
      </c>
      <c r="D2521" t="s">
        <v>976</v>
      </c>
      <c r="E2521" t="s">
        <v>448</v>
      </c>
      <c r="F2521" t="s">
        <v>433</v>
      </c>
      <c r="G2521" t="s">
        <v>82</v>
      </c>
      <c r="H2521" t="s">
        <v>71</v>
      </c>
      <c r="J2521" t="s">
        <v>52</v>
      </c>
      <c r="K2521" s="15">
        <v>20000</v>
      </c>
      <c r="M2521">
        <v>45382</v>
      </c>
      <c r="N2521" t="s">
        <v>1029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662043.37383177585</v>
      </c>
      <c r="Y2521">
        <v>662043.37383177585</v>
      </c>
      <c r="Z2521">
        <v>46343.036168224316</v>
      </c>
      <c r="AA2521">
        <v>708386.41000000015</v>
      </c>
      <c r="AB2521" t="s">
        <v>242</v>
      </c>
      <c r="AC2521">
        <v>5</v>
      </c>
      <c r="AD2521">
        <v>100000</v>
      </c>
      <c r="AE2521">
        <v>0</v>
      </c>
      <c r="AF2521">
        <v>0</v>
      </c>
      <c r="AG2521">
        <v>6542.0560747663512</v>
      </c>
      <c r="AH2521" t="s">
        <v>58</v>
      </c>
      <c r="AK2521" t="s">
        <v>798</v>
      </c>
      <c r="AL2521">
        <v>4312300003</v>
      </c>
      <c r="AM2521" t="s">
        <v>63</v>
      </c>
      <c r="AN2521" t="s">
        <v>935</v>
      </c>
      <c r="AO2521" t="s">
        <v>448</v>
      </c>
      <c r="AP2521" t="s">
        <v>433</v>
      </c>
      <c r="AQ2521" t="s">
        <v>82</v>
      </c>
      <c r="AR2521" t="s">
        <v>71</v>
      </c>
      <c r="AT2521" t="s">
        <v>52</v>
      </c>
      <c r="AU2521">
        <v>20000</v>
      </c>
      <c r="AW2521">
        <v>45382</v>
      </c>
      <c r="AX2521" t="s">
        <v>1013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230022.58878504677</v>
      </c>
      <c r="BI2521">
        <v>230022.58878504677</v>
      </c>
      <c r="BJ2521">
        <v>16101.581214953276</v>
      </c>
      <c r="BK2521">
        <v>246124.17000000004</v>
      </c>
      <c r="BL2521" t="s">
        <v>242</v>
      </c>
      <c r="BM2521">
        <v>4</v>
      </c>
      <c r="BN2521">
        <v>80000</v>
      </c>
      <c r="BO2521">
        <v>0</v>
      </c>
      <c r="BP2521">
        <v>0</v>
      </c>
      <c r="BQ2521">
        <v>5233.644859813081</v>
      </c>
      <c r="BR2521" t="s">
        <v>58</v>
      </c>
    </row>
    <row r="2522" spans="1:70" x14ac:dyDescent="0.3">
      <c r="A2522" t="s">
        <v>798</v>
      </c>
      <c r="B2522">
        <v>4312300003</v>
      </c>
      <c r="C2522" t="s">
        <v>63</v>
      </c>
      <c r="D2522" t="s">
        <v>935</v>
      </c>
      <c r="E2522" t="s">
        <v>448</v>
      </c>
      <c r="F2522" t="s">
        <v>433</v>
      </c>
      <c r="G2522" t="s">
        <v>82</v>
      </c>
      <c r="H2522" t="s">
        <v>71</v>
      </c>
      <c r="J2522" t="s">
        <v>52</v>
      </c>
      <c r="K2522" s="15">
        <v>20000</v>
      </c>
      <c r="M2522">
        <v>45382</v>
      </c>
      <c r="N2522" t="s">
        <v>1013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230022.58878504677</v>
      </c>
      <c r="Y2522">
        <v>230022.58878504677</v>
      </c>
      <c r="Z2522">
        <v>16101.581214953276</v>
      </c>
      <c r="AA2522">
        <v>246124.17000000004</v>
      </c>
      <c r="AB2522" t="s">
        <v>242</v>
      </c>
      <c r="AC2522">
        <v>4</v>
      </c>
      <c r="AD2522">
        <v>80000</v>
      </c>
      <c r="AE2522">
        <v>0</v>
      </c>
      <c r="AF2522">
        <v>0</v>
      </c>
      <c r="AG2522">
        <v>5233.644859813081</v>
      </c>
      <c r="AH2522" t="s">
        <v>58</v>
      </c>
      <c r="AK2522" t="s">
        <v>798</v>
      </c>
      <c r="AL2522">
        <v>4312300011</v>
      </c>
      <c r="AM2522" t="s">
        <v>70</v>
      </c>
      <c r="AN2522" t="s">
        <v>935</v>
      </c>
      <c r="AO2522" t="s">
        <v>448</v>
      </c>
      <c r="AP2522" t="s">
        <v>433</v>
      </c>
      <c r="AQ2522" t="s">
        <v>82</v>
      </c>
      <c r="AR2522" t="s">
        <v>71</v>
      </c>
      <c r="AT2522" t="s">
        <v>52</v>
      </c>
      <c r="AU2522">
        <v>20000</v>
      </c>
      <c r="AW2522">
        <v>45382</v>
      </c>
      <c r="AX2522" t="s">
        <v>1013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260292.52336448603</v>
      </c>
      <c r="BI2522">
        <v>260292.52336448603</v>
      </c>
      <c r="BJ2522">
        <v>18220.476635514024</v>
      </c>
      <c r="BK2522">
        <v>278513.00000000006</v>
      </c>
      <c r="BL2522" t="s">
        <v>242</v>
      </c>
      <c r="BM2522">
        <v>5</v>
      </c>
      <c r="BN2522">
        <v>113000</v>
      </c>
      <c r="BO2522">
        <v>0</v>
      </c>
      <c r="BP2522">
        <v>0</v>
      </c>
      <c r="BQ2522">
        <v>7392.52336448598</v>
      </c>
      <c r="BR2522" t="s">
        <v>58</v>
      </c>
    </row>
    <row r="2523" spans="1:70" x14ac:dyDescent="0.3">
      <c r="A2523" t="s">
        <v>798</v>
      </c>
      <c r="B2523">
        <v>4312300011</v>
      </c>
      <c r="C2523" t="s">
        <v>70</v>
      </c>
      <c r="D2523" t="s">
        <v>935</v>
      </c>
      <c r="E2523" t="s">
        <v>448</v>
      </c>
      <c r="F2523" t="s">
        <v>433</v>
      </c>
      <c r="G2523" t="s">
        <v>82</v>
      </c>
      <c r="H2523" t="s">
        <v>71</v>
      </c>
      <c r="J2523" t="s">
        <v>52</v>
      </c>
      <c r="K2523" s="15">
        <v>20000</v>
      </c>
      <c r="M2523">
        <v>45382</v>
      </c>
      <c r="N2523" t="s">
        <v>1013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260292.52336448603</v>
      </c>
      <c r="Y2523">
        <v>260292.52336448603</v>
      </c>
      <c r="Z2523">
        <v>18220.476635514024</v>
      </c>
      <c r="AA2523">
        <v>278513.00000000006</v>
      </c>
      <c r="AB2523" t="s">
        <v>242</v>
      </c>
      <c r="AC2523">
        <v>5</v>
      </c>
      <c r="AD2523">
        <v>113000</v>
      </c>
      <c r="AE2523">
        <v>0</v>
      </c>
      <c r="AF2523">
        <v>0</v>
      </c>
      <c r="AG2523">
        <v>7392.52336448598</v>
      </c>
      <c r="AH2523" t="s">
        <v>58</v>
      </c>
      <c r="AK2523" t="s">
        <v>798</v>
      </c>
      <c r="AL2523">
        <v>4142300201</v>
      </c>
      <c r="AM2523">
        <v>10077114</v>
      </c>
      <c r="AN2523" t="s">
        <v>193</v>
      </c>
      <c r="AO2523" t="s">
        <v>445</v>
      </c>
      <c r="AP2523" t="s">
        <v>430</v>
      </c>
      <c r="AQ2523" t="s">
        <v>237</v>
      </c>
      <c r="AR2523" t="s">
        <v>234</v>
      </c>
      <c r="AT2523" t="s">
        <v>52</v>
      </c>
      <c r="AU2523">
        <v>4000</v>
      </c>
      <c r="AW2523">
        <v>45382</v>
      </c>
      <c r="AX2523" t="s">
        <v>1029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29177.271028037387</v>
      </c>
      <c r="BI2523">
        <v>29177.271028037387</v>
      </c>
      <c r="BJ2523">
        <v>2042.4089719626172</v>
      </c>
      <c r="BK2523">
        <v>31219.680000000004</v>
      </c>
      <c r="BL2523" t="s">
        <v>242</v>
      </c>
      <c r="BM2523">
        <v>5</v>
      </c>
      <c r="BN2523">
        <v>17000</v>
      </c>
      <c r="BO2523">
        <v>0</v>
      </c>
      <c r="BP2523">
        <v>0</v>
      </c>
      <c r="BQ2523">
        <v>1112.1495327102812</v>
      </c>
      <c r="BR2523" t="s">
        <v>58</v>
      </c>
    </row>
    <row r="2524" spans="1:70" x14ac:dyDescent="0.3">
      <c r="A2524" t="s">
        <v>798</v>
      </c>
      <c r="B2524">
        <v>4332300169</v>
      </c>
      <c r="C2524">
        <v>5010224367</v>
      </c>
      <c r="D2524" t="s">
        <v>229</v>
      </c>
      <c r="E2524" t="s">
        <v>441</v>
      </c>
      <c r="F2524" t="s">
        <v>433</v>
      </c>
      <c r="G2524" t="s">
        <v>233</v>
      </c>
      <c r="H2524" t="s">
        <v>231</v>
      </c>
      <c r="J2524" t="s">
        <v>52</v>
      </c>
      <c r="K2524" s="15">
        <v>10000</v>
      </c>
      <c r="M2524">
        <v>45382</v>
      </c>
      <c r="N2524" t="s">
        <v>1013</v>
      </c>
      <c r="O2524">
        <v>0</v>
      </c>
      <c r="P2524">
        <v>1079.988153341259</v>
      </c>
      <c r="Q2524">
        <v>0</v>
      </c>
      <c r="R2524">
        <v>0</v>
      </c>
      <c r="S2524">
        <v>4179.4520547945203</v>
      </c>
      <c r="T2524">
        <v>4430.8521931390096</v>
      </c>
      <c r="U2524">
        <v>0</v>
      </c>
      <c r="V2524">
        <v>0</v>
      </c>
      <c r="W2524">
        <v>0</v>
      </c>
      <c r="X2524">
        <v>0</v>
      </c>
      <c r="Y2524">
        <v>9690.2924012747899</v>
      </c>
      <c r="Z2524">
        <v>310.15965351973068</v>
      </c>
      <c r="AA2524">
        <v>10000.452054794521</v>
      </c>
      <c r="AB2524" t="s">
        <v>242</v>
      </c>
      <c r="AC2524">
        <v>3</v>
      </c>
      <c r="AD2524">
        <v>28238</v>
      </c>
      <c r="AE2524">
        <v>0</v>
      </c>
      <c r="AF2524">
        <v>0</v>
      </c>
      <c r="AG2524">
        <v>801.9898791905498</v>
      </c>
      <c r="AH2524" t="s">
        <v>58</v>
      </c>
      <c r="AK2524" t="s">
        <v>798</v>
      </c>
      <c r="AL2524">
        <v>4142301246</v>
      </c>
      <c r="AM2524">
        <v>10211923</v>
      </c>
      <c r="AN2524" t="s">
        <v>750</v>
      </c>
      <c r="AO2524" t="s">
        <v>446</v>
      </c>
      <c r="AP2524" t="s">
        <v>430</v>
      </c>
      <c r="AQ2524" t="s">
        <v>230</v>
      </c>
      <c r="AR2524" t="s">
        <v>234</v>
      </c>
      <c r="AT2524" t="s">
        <v>52</v>
      </c>
      <c r="AU2524">
        <v>11170</v>
      </c>
      <c r="AW2524">
        <v>45382</v>
      </c>
      <c r="AX2524" t="s">
        <v>1029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85751.626168224306</v>
      </c>
      <c r="BI2524">
        <v>85751.626168224306</v>
      </c>
      <c r="BJ2524">
        <v>6002.6138317757022</v>
      </c>
      <c r="BK2524">
        <v>91754.240000000005</v>
      </c>
      <c r="BL2524" t="s">
        <v>242</v>
      </c>
      <c r="BM2524">
        <v>3</v>
      </c>
      <c r="BN2524">
        <v>33510</v>
      </c>
      <c r="BO2524">
        <v>0</v>
      </c>
      <c r="BP2524">
        <v>0</v>
      </c>
      <c r="BQ2524">
        <v>2192.2429906542038</v>
      </c>
      <c r="BR2524" t="s">
        <v>58</v>
      </c>
    </row>
    <row r="2525" spans="1:70" x14ac:dyDescent="0.3">
      <c r="A2525" t="s">
        <v>798</v>
      </c>
      <c r="B2525">
        <v>2200015</v>
      </c>
      <c r="C2525">
        <v>20972229</v>
      </c>
      <c r="D2525" t="s">
        <v>76</v>
      </c>
      <c r="E2525" t="s">
        <v>435</v>
      </c>
      <c r="F2525" t="s">
        <v>426</v>
      </c>
      <c r="G2525" t="s">
        <v>82</v>
      </c>
      <c r="H2525" t="s">
        <v>82</v>
      </c>
      <c r="J2525" t="s">
        <v>52</v>
      </c>
      <c r="K2525" s="15">
        <v>1000</v>
      </c>
      <c r="M2525">
        <v>45383</v>
      </c>
      <c r="N2525" t="s">
        <v>1013</v>
      </c>
      <c r="O2525">
        <v>0</v>
      </c>
      <c r="P2525">
        <v>0</v>
      </c>
      <c r="Q2525">
        <v>0</v>
      </c>
      <c r="R2525">
        <v>0</v>
      </c>
      <c r="S2525">
        <v>809.59753222327345</v>
      </c>
      <c r="T2525">
        <v>0</v>
      </c>
      <c r="U2525">
        <v>0</v>
      </c>
      <c r="V2525">
        <v>122323.98354815517</v>
      </c>
      <c r="W2525">
        <v>0</v>
      </c>
      <c r="X2525">
        <v>0</v>
      </c>
      <c r="Y2525">
        <v>123133.58108037844</v>
      </c>
      <c r="Z2525">
        <v>0</v>
      </c>
      <c r="AA2525">
        <v>123133.58108037844</v>
      </c>
      <c r="AB2525" t="s">
        <v>242</v>
      </c>
      <c r="AC2525">
        <v>19</v>
      </c>
      <c r="AD2525">
        <v>19000</v>
      </c>
      <c r="AE2525">
        <v>0</v>
      </c>
      <c r="AF2525">
        <v>0</v>
      </c>
      <c r="AG2525">
        <v>0</v>
      </c>
      <c r="AH2525" t="s">
        <v>58</v>
      </c>
      <c r="AK2525" t="s">
        <v>798</v>
      </c>
      <c r="AL2525">
        <v>22200010</v>
      </c>
      <c r="AM2525">
        <v>18928437</v>
      </c>
      <c r="AN2525" t="s">
        <v>85</v>
      </c>
      <c r="AO2525" t="s">
        <v>435</v>
      </c>
      <c r="AP2525" t="s">
        <v>428</v>
      </c>
      <c r="AQ2525" t="s">
        <v>82</v>
      </c>
      <c r="AR2525" t="s">
        <v>82</v>
      </c>
      <c r="AT2525" t="s">
        <v>52</v>
      </c>
      <c r="AU2525">
        <v>500</v>
      </c>
      <c r="AW2525">
        <v>45383</v>
      </c>
      <c r="AX2525" t="s">
        <v>1013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15069.751865506852</v>
      </c>
      <c r="BG2525">
        <v>0</v>
      </c>
      <c r="BH2525">
        <v>0</v>
      </c>
      <c r="BI2525">
        <v>15069.751865506852</v>
      </c>
      <c r="BJ2525">
        <v>0</v>
      </c>
      <c r="BK2525">
        <v>15069.751865506852</v>
      </c>
      <c r="BL2525" t="s">
        <v>242</v>
      </c>
      <c r="BM2525">
        <v>19</v>
      </c>
      <c r="BN2525">
        <v>13000</v>
      </c>
      <c r="BO2525">
        <v>0</v>
      </c>
      <c r="BP2525">
        <v>0</v>
      </c>
      <c r="BQ2525">
        <v>0</v>
      </c>
      <c r="BR2525" t="s">
        <v>58</v>
      </c>
    </row>
    <row r="2526" spans="1:70" x14ac:dyDescent="0.3">
      <c r="A2526" t="s">
        <v>798</v>
      </c>
      <c r="B2526">
        <v>12200047</v>
      </c>
      <c r="C2526">
        <v>25275500</v>
      </c>
      <c r="D2526" t="s">
        <v>88</v>
      </c>
      <c r="E2526" t="s">
        <v>436</v>
      </c>
      <c r="F2526" t="s">
        <v>427</v>
      </c>
      <c r="G2526" t="s">
        <v>82</v>
      </c>
      <c r="H2526" t="s">
        <v>82</v>
      </c>
      <c r="J2526" t="s">
        <v>52</v>
      </c>
      <c r="K2526" s="15">
        <v>1500</v>
      </c>
      <c r="M2526">
        <v>45383</v>
      </c>
      <c r="N2526" t="s">
        <v>1013</v>
      </c>
      <c r="O2526">
        <v>0</v>
      </c>
      <c r="P2526">
        <v>0</v>
      </c>
      <c r="Q2526">
        <v>0</v>
      </c>
      <c r="R2526">
        <v>0</v>
      </c>
      <c r="S2526">
        <v>53101.279504387319</v>
      </c>
      <c r="T2526">
        <v>0</v>
      </c>
      <c r="U2526">
        <v>0</v>
      </c>
      <c r="V2526">
        <v>278431.83561643836</v>
      </c>
      <c r="W2526">
        <v>0</v>
      </c>
      <c r="X2526">
        <v>0</v>
      </c>
      <c r="Y2526">
        <v>331533.11512082571</v>
      </c>
      <c r="Z2526">
        <v>0</v>
      </c>
      <c r="AA2526">
        <v>331533.11512082571</v>
      </c>
      <c r="AB2526" t="s">
        <v>242</v>
      </c>
      <c r="AC2526">
        <v>6</v>
      </c>
      <c r="AD2526">
        <v>6200</v>
      </c>
      <c r="AE2526">
        <v>0</v>
      </c>
      <c r="AF2526">
        <v>0</v>
      </c>
      <c r="AG2526">
        <v>0</v>
      </c>
      <c r="AH2526" t="s">
        <v>58</v>
      </c>
      <c r="AK2526" t="s">
        <v>798</v>
      </c>
      <c r="AL2526">
        <v>52200688</v>
      </c>
      <c r="AM2526">
        <v>27016577</v>
      </c>
      <c r="AN2526" t="s">
        <v>733</v>
      </c>
      <c r="AO2526" t="s">
        <v>438</v>
      </c>
      <c r="AP2526" t="s">
        <v>431</v>
      </c>
      <c r="AQ2526" t="s">
        <v>230</v>
      </c>
      <c r="AR2526" t="s">
        <v>231</v>
      </c>
      <c r="AT2526" t="s">
        <v>52</v>
      </c>
      <c r="AU2526">
        <v>1200</v>
      </c>
      <c r="AW2526">
        <v>45383</v>
      </c>
      <c r="AX2526" t="s">
        <v>1013</v>
      </c>
      <c r="AY2526">
        <v>0</v>
      </c>
      <c r="AZ2526">
        <v>0</v>
      </c>
      <c r="BA2526">
        <v>0</v>
      </c>
      <c r="BB2526">
        <v>0</v>
      </c>
      <c r="BC2526">
        <v>28718.460611680639</v>
      </c>
      <c r="BD2526">
        <v>0</v>
      </c>
      <c r="BE2526">
        <v>0</v>
      </c>
      <c r="BF2526">
        <v>42758.191510447803</v>
      </c>
      <c r="BG2526">
        <v>0</v>
      </c>
      <c r="BH2526">
        <v>0</v>
      </c>
      <c r="BI2526">
        <v>71476.652122128435</v>
      </c>
      <c r="BJ2526">
        <v>0</v>
      </c>
      <c r="BK2526">
        <v>71476.652122128435</v>
      </c>
      <c r="BL2526" t="s">
        <v>242</v>
      </c>
      <c r="BM2526">
        <v>3</v>
      </c>
      <c r="BN2526">
        <v>3900</v>
      </c>
      <c r="BO2526">
        <v>0</v>
      </c>
      <c r="BP2526">
        <v>0</v>
      </c>
      <c r="BQ2526">
        <v>96.947609662468494</v>
      </c>
      <c r="BR2526" t="s">
        <v>58</v>
      </c>
    </row>
    <row r="2527" spans="1:70" x14ac:dyDescent="0.3">
      <c r="A2527" t="s">
        <v>798</v>
      </c>
      <c r="B2527">
        <v>22200010</v>
      </c>
      <c r="C2527">
        <v>18928437</v>
      </c>
      <c r="D2527" t="s">
        <v>85</v>
      </c>
      <c r="E2527" t="s">
        <v>435</v>
      </c>
      <c r="F2527" t="s">
        <v>428</v>
      </c>
      <c r="G2527" t="s">
        <v>82</v>
      </c>
      <c r="H2527" t="s">
        <v>82</v>
      </c>
      <c r="J2527" t="s">
        <v>52</v>
      </c>
      <c r="K2527" s="15">
        <v>500</v>
      </c>
      <c r="M2527">
        <v>45383</v>
      </c>
      <c r="N2527" t="s">
        <v>1013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15069.751865506852</v>
      </c>
      <c r="W2527">
        <v>0</v>
      </c>
      <c r="X2527">
        <v>0</v>
      </c>
      <c r="Y2527">
        <v>15069.751865506852</v>
      </c>
      <c r="Z2527">
        <v>0</v>
      </c>
      <c r="AA2527">
        <v>15069.751865506852</v>
      </c>
      <c r="AB2527" t="s">
        <v>242</v>
      </c>
      <c r="AC2527">
        <v>19</v>
      </c>
      <c r="AD2527">
        <v>13000</v>
      </c>
      <c r="AE2527">
        <v>0</v>
      </c>
      <c r="AF2527">
        <v>0</v>
      </c>
      <c r="AG2527">
        <v>0</v>
      </c>
      <c r="AH2527" t="s">
        <v>58</v>
      </c>
      <c r="AK2527" t="s">
        <v>798</v>
      </c>
      <c r="AL2527">
        <v>62200013</v>
      </c>
      <c r="AM2527">
        <v>20972385</v>
      </c>
      <c r="AN2527" t="s">
        <v>76</v>
      </c>
      <c r="AO2527" t="s">
        <v>435</v>
      </c>
      <c r="AP2527" t="s">
        <v>432</v>
      </c>
      <c r="AQ2527" t="s">
        <v>82</v>
      </c>
      <c r="AR2527" t="s">
        <v>82</v>
      </c>
      <c r="AT2527" t="s">
        <v>52</v>
      </c>
      <c r="AU2527">
        <v>4000</v>
      </c>
      <c r="AW2527">
        <v>45383</v>
      </c>
      <c r="AX2527" t="s">
        <v>1013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11665.191359418066</v>
      </c>
      <c r="BG2527">
        <v>0</v>
      </c>
      <c r="BH2527">
        <v>0</v>
      </c>
      <c r="BI2527">
        <v>11665.191359418066</v>
      </c>
      <c r="BJ2527">
        <v>0</v>
      </c>
      <c r="BK2527">
        <v>11665.191359418066</v>
      </c>
      <c r="BL2527" t="s">
        <v>242</v>
      </c>
      <c r="BM2527">
        <v>19</v>
      </c>
      <c r="BN2527">
        <v>76000</v>
      </c>
      <c r="BO2527">
        <v>0</v>
      </c>
      <c r="BP2527">
        <v>0</v>
      </c>
      <c r="BQ2527">
        <v>0</v>
      </c>
      <c r="BR2527" t="s">
        <v>58</v>
      </c>
    </row>
    <row r="2528" spans="1:70" x14ac:dyDescent="0.3">
      <c r="A2528" t="s">
        <v>798</v>
      </c>
      <c r="B2528">
        <v>52200024</v>
      </c>
      <c r="C2528">
        <v>25429489</v>
      </c>
      <c r="D2528" t="s">
        <v>769</v>
      </c>
      <c r="E2528" t="s">
        <v>435</v>
      </c>
      <c r="F2528" t="s">
        <v>431</v>
      </c>
      <c r="G2528" t="s">
        <v>230</v>
      </c>
      <c r="H2528" t="s">
        <v>231</v>
      </c>
      <c r="J2528" t="s">
        <v>52</v>
      </c>
      <c r="K2528" s="15">
        <v>25000</v>
      </c>
      <c r="M2528">
        <v>45383</v>
      </c>
      <c r="N2528" t="s">
        <v>1029</v>
      </c>
      <c r="O2528">
        <v>2561.9780579662688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5082.2634972277847</v>
      </c>
      <c r="V2528">
        <v>0</v>
      </c>
      <c r="W2528">
        <v>140186.91588785045</v>
      </c>
      <c r="X2528">
        <v>0</v>
      </c>
      <c r="Y2528">
        <v>147831.1574430445</v>
      </c>
      <c r="Z2528">
        <v>10168.842556955477</v>
      </c>
      <c r="AA2528">
        <v>157999.99999999997</v>
      </c>
      <c r="AB2528" t="s">
        <v>242</v>
      </c>
      <c r="AC2528">
        <v>1</v>
      </c>
      <c r="AD2528">
        <v>25000</v>
      </c>
      <c r="AE2528">
        <v>0</v>
      </c>
      <c r="AF2528">
        <v>0</v>
      </c>
      <c r="AG2528">
        <v>1606.8583776239611</v>
      </c>
      <c r="AH2528" t="s">
        <v>58</v>
      </c>
      <c r="AK2528" t="s">
        <v>798</v>
      </c>
      <c r="AL2528">
        <v>4142300160</v>
      </c>
      <c r="AM2528">
        <v>10044677</v>
      </c>
      <c r="AN2528" t="s">
        <v>190</v>
      </c>
      <c r="AO2528" t="s">
        <v>445</v>
      </c>
      <c r="AP2528" t="s">
        <v>430</v>
      </c>
      <c r="AQ2528" t="s">
        <v>230</v>
      </c>
      <c r="AR2528" t="s">
        <v>234</v>
      </c>
      <c r="AT2528" t="s">
        <v>52</v>
      </c>
      <c r="AU2528">
        <v>800</v>
      </c>
      <c r="AW2528">
        <v>45383</v>
      </c>
      <c r="AX2528" t="s">
        <v>1013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32117.392523364499</v>
      </c>
      <c r="BI2528">
        <v>32117.392523364499</v>
      </c>
      <c r="BJ2528">
        <v>2248.2174766355151</v>
      </c>
      <c r="BK2528">
        <v>34365.610000000015</v>
      </c>
      <c r="BL2528" t="s">
        <v>242</v>
      </c>
      <c r="BM2528">
        <v>11</v>
      </c>
      <c r="BN2528">
        <v>52500</v>
      </c>
      <c r="BO2528">
        <v>0</v>
      </c>
      <c r="BP2528">
        <v>0</v>
      </c>
      <c r="BQ2528">
        <v>3434.5794392523376</v>
      </c>
      <c r="BR2528" t="s">
        <v>58</v>
      </c>
    </row>
    <row r="2529" spans="1:70" x14ac:dyDescent="0.3">
      <c r="A2529" t="s">
        <v>798</v>
      </c>
      <c r="B2529">
        <v>52200688</v>
      </c>
      <c r="C2529">
        <v>27016577</v>
      </c>
      <c r="D2529" t="s">
        <v>733</v>
      </c>
      <c r="E2529" t="s">
        <v>438</v>
      </c>
      <c r="F2529" t="s">
        <v>431</v>
      </c>
      <c r="G2529" t="s">
        <v>230</v>
      </c>
      <c r="H2529" t="s">
        <v>231</v>
      </c>
      <c r="J2529" t="s">
        <v>52</v>
      </c>
      <c r="K2529" s="15">
        <v>1200</v>
      </c>
      <c r="M2529">
        <v>45383</v>
      </c>
      <c r="N2529" t="s">
        <v>1013</v>
      </c>
      <c r="O2529">
        <v>0</v>
      </c>
      <c r="P2529">
        <v>0</v>
      </c>
      <c r="Q2529">
        <v>0</v>
      </c>
      <c r="R2529">
        <v>0</v>
      </c>
      <c r="S2529">
        <v>28718.460611680639</v>
      </c>
      <c r="T2529">
        <v>0</v>
      </c>
      <c r="U2529">
        <v>0</v>
      </c>
      <c r="V2529">
        <v>42758.191510447803</v>
      </c>
      <c r="W2529">
        <v>0</v>
      </c>
      <c r="X2529">
        <v>0</v>
      </c>
      <c r="Y2529">
        <v>71476.652122128435</v>
      </c>
      <c r="Z2529">
        <v>0</v>
      </c>
      <c r="AA2529">
        <v>71476.652122128435</v>
      </c>
      <c r="AB2529" t="s">
        <v>242</v>
      </c>
      <c r="AC2529">
        <v>3</v>
      </c>
      <c r="AD2529">
        <v>3900</v>
      </c>
      <c r="AE2529">
        <v>0</v>
      </c>
      <c r="AF2529">
        <v>0</v>
      </c>
      <c r="AG2529">
        <v>96.947609662468494</v>
      </c>
      <c r="AH2529" t="s">
        <v>58</v>
      </c>
      <c r="AK2529" t="s">
        <v>798</v>
      </c>
      <c r="AL2529">
        <v>2200015</v>
      </c>
      <c r="AM2529">
        <v>20972229</v>
      </c>
      <c r="AN2529" t="s">
        <v>76</v>
      </c>
      <c r="AO2529" t="s">
        <v>435</v>
      </c>
      <c r="AP2529" t="s">
        <v>426</v>
      </c>
      <c r="AQ2529" t="s">
        <v>82</v>
      </c>
      <c r="AR2529" t="s">
        <v>82</v>
      </c>
      <c r="AT2529" t="s">
        <v>52</v>
      </c>
      <c r="AU2529">
        <v>1000</v>
      </c>
      <c r="AW2529">
        <v>45383</v>
      </c>
      <c r="AX2529" t="s">
        <v>1013</v>
      </c>
      <c r="AY2529">
        <v>0</v>
      </c>
      <c r="AZ2529">
        <v>0</v>
      </c>
      <c r="BA2529">
        <v>0</v>
      </c>
      <c r="BB2529">
        <v>0</v>
      </c>
      <c r="BC2529">
        <v>809.59753222327345</v>
      </c>
      <c r="BD2529">
        <v>0</v>
      </c>
      <c r="BE2529">
        <v>0</v>
      </c>
      <c r="BF2529">
        <v>122323.98354815517</v>
      </c>
      <c r="BG2529">
        <v>0</v>
      </c>
      <c r="BH2529">
        <v>0</v>
      </c>
      <c r="BI2529">
        <v>123133.58108037844</v>
      </c>
      <c r="BJ2529">
        <v>0</v>
      </c>
      <c r="BK2529">
        <v>123133.58108037844</v>
      </c>
      <c r="BL2529" t="s">
        <v>242</v>
      </c>
      <c r="BM2529">
        <v>19</v>
      </c>
      <c r="BN2529">
        <v>19000</v>
      </c>
      <c r="BO2529">
        <v>0</v>
      </c>
      <c r="BP2529">
        <v>0</v>
      </c>
      <c r="BQ2529">
        <v>0</v>
      </c>
      <c r="BR2529" t="s">
        <v>58</v>
      </c>
    </row>
    <row r="2530" spans="1:70" x14ac:dyDescent="0.3">
      <c r="A2530" t="s">
        <v>798</v>
      </c>
      <c r="B2530">
        <v>52201039</v>
      </c>
      <c r="C2530">
        <v>29379502</v>
      </c>
      <c r="D2530" t="s">
        <v>146</v>
      </c>
      <c r="E2530" t="s">
        <v>438</v>
      </c>
      <c r="F2530" t="s">
        <v>431</v>
      </c>
      <c r="G2530" t="s">
        <v>82</v>
      </c>
      <c r="H2530" t="s">
        <v>83</v>
      </c>
      <c r="J2530" t="s">
        <v>52</v>
      </c>
      <c r="K2530" s="15">
        <v>3000</v>
      </c>
      <c r="M2530">
        <v>45383</v>
      </c>
      <c r="N2530" t="s">
        <v>1029</v>
      </c>
      <c r="O2530">
        <v>0</v>
      </c>
      <c r="P2530">
        <v>0</v>
      </c>
      <c r="Q2530">
        <v>0</v>
      </c>
      <c r="R2530">
        <v>738.10802354759426</v>
      </c>
      <c r="S2530">
        <v>6399.1032065985146</v>
      </c>
      <c r="T2530">
        <v>0</v>
      </c>
      <c r="U2530">
        <v>0</v>
      </c>
      <c r="V2530">
        <v>49170.889355899591</v>
      </c>
      <c r="W2530">
        <v>0</v>
      </c>
      <c r="X2530">
        <v>0</v>
      </c>
      <c r="Y2530">
        <v>56308.100586045701</v>
      </c>
      <c r="Z2530">
        <v>3889.8994793748675</v>
      </c>
      <c r="AA2530">
        <v>60198.000065420565</v>
      </c>
      <c r="AB2530" t="s">
        <v>242</v>
      </c>
      <c r="AC2530">
        <v>9</v>
      </c>
      <c r="AD2530">
        <v>19000</v>
      </c>
      <c r="AE2530">
        <v>0</v>
      </c>
      <c r="AF2530">
        <v>0</v>
      </c>
      <c r="AG2530">
        <v>1226.511739858254</v>
      </c>
      <c r="AH2530" t="s">
        <v>58</v>
      </c>
      <c r="AK2530" t="s">
        <v>798</v>
      </c>
      <c r="AL2530">
        <v>12200047</v>
      </c>
      <c r="AM2530">
        <v>25275500</v>
      </c>
      <c r="AN2530" t="s">
        <v>88</v>
      </c>
      <c r="AO2530" t="s">
        <v>436</v>
      </c>
      <c r="AP2530" t="s">
        <v>427</v>
      </c>
      <c r="AQ2530" t="s">
        <v>82</v>
      </c>
      <c r="AR2530" t="s">
        <v>82</v>
      </c>
      <c r="AT2530" t="s">
        <v>52</v>
      </c>
      <c r="AU2530">
        <v>1500</v>
      </c>
      <c r="AW2530">
        <v>45383</v>
      </c>
      <c r="AX2530" t="s">
        <v>1013</v>
      </c>
      <c r="AY2530">
        <v>0</v>
      </c>
      <c r="AZ2530">
        <v>0</v>
      </c>
      <c r="BA2530">
        <v>0</v>
      </c>
      <c r="BB2530">
        <v>0</v>
      </c>
      <c r="BC2530">
        <v>53101.279504387319</v>
      </c>
      <c r="BD2530">
        <v>0</v>
      </c>
      <c r="BE2530">
        <v>0</v>
      </c>
      <c r="BF2530">
        <v>278431.83561643836</v>
      </c>
      <c r="BG2530">
        <v>0</v>
      </c>
      <c r="BH2530">
        <v>0</v>
      </c>
      <c r="BI2530">
        <v>331533.11512082571</v>
      </c>
      <c r="BJ2530">
        <v>0</v>
      </c>
      <c r="BK2530">
        <v>331533.11512082571</v>
      </c>
      <c r="BL2530" t="s">
        <v>242</v>
      </c>
      <c r="BM2530">
        <v>6</v>
      </c>
      <c r="BN2530">
        <v>6200</v>
      </c>
      <c r="BO2530">
        <v>0</v>
      </c>
      <c r="BP2530">
        <v>0</v>
      </c>
      <c r="BQ2530">
        <v>0</v>
      </c>
      <c r="BR2530" t="s">
        <v>58</v>
      </c>
    </row>
    <row r="2531" spans="1:70" x14ac:dyDescent="0.3">
      <c r="A2531" t="s">
        <v>798</v>
      </c>
      <c r="B2531">
        <v>52201823</v>
      </c>
      <c r="C2531">
        <v>26207055</v>
      </c>
      <c r="D2531" t="s">
        <v>165</v>
      </c>
      <c r="E2531" t="s">
        <v>438</v>
      </c>
      <c r="F2531" t="s">
        <v>431</v>
      </c>
      <c r="G2531" t="s">
        <v>82</v>
      </c>
      <c r="H2531" t="s">
        <v>83</v>
      </c>
      <c r="J2531" t="s">
        <v>52</v>
      </c>
      <c r="K2531" s="15">
        <v>1000</v>
      </c>
      <c r="M2531">
        <v>45383</v>
      </c>
      <c r="N2531" t="s">
        <v>1013</v>
      </c>
      <c r="O2531">
        <v>0</v>
      </c>
      <c r="P2531">
        <v>0</v>
      </c>
      <c r="Q2531">
        <v>0</v>
      </c>
      <c r="R2531">
        <v>824.36546048846947</v>
      </c>
      <c r="S2531">
        <v>28227.95901725673</v>
      </c>
      <c r="T2531">
        <v>0</v>
      </c>
      <c r="U2531">
        <v>0</v>
      </c>
      <c r="V2531">
        <v>82604.409809083882</v>
      </c>
      <c r="W2531">
        <v>0</v>
      </c>
      <c r="X2531">
        <v>0</v>
      </c>
      <c r="Y2531">
        <v>111656.73428682907</v>
      </c>
      <c r="Z2531">
        <v>7758.2658178438433</v>
      </c>
      <c r="AA2531">
        <v>119415.00010467292</v>
      </c>
      <c r="AB2531" t="s">
        <v>242</v>
      </c>
      <c r="AC2531">
        <v>11</v>
      </c>
      <c r="AD2531">
        <v>9000</v>
      </c>
      <c r="AE2531">
        <v>0</v>
      </c>
      <c r="AF2531">
        <v>0</v>
      </c>
      <c r="AG2531">
        <v>584.42577778896543</v>
      </c>
      <c r="AH2531" t="s">
        <v>58</v>
      </c>
      <c r="AK2531" t="s">
        <v>798</v>
      </c>
      <c r="AL2531">
        <v>52200024</v>
      </c>
      <c r="AM2531">
        <v>25429489</v>
      </c>
      <c r="AN2531" t="s">
        <v>769</v>
      </c>
      <c r="AO2531" t="s">
        <v>435</v>
      </c>
      <c r="AP2531" t="s">
        <v>431</v>
      </c>
      <c r="AQ2531" t="s">
        <v>230</v>
      </c>
      <c r="AR2531" t="s">
        <v>231</v>
      </c>
      <c r="AT2531" t="s">
        <v>52</v>
      </c>
      <c r="AU2531">
        <v>25000</v>
      </c>
      <c r="AW2531">
        <v>45383</v>
      </c>
      <c r="AX2531" t="s">
        <v>1029</v>
      </c>
      <c r="AY2531">
        <v>2561.9780579662688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5082.2634972277847</v>
      </c>
      <c r="BF2531">
        <v>0</v>
      </c>
      <c r="BG2531">
        <v>140186.91588785045</v>
      </c>
      <c r="BH2531">
        <v>0</v>
      </c>
      <c r="BI2531">
        <v>147831.1574430445</v>
      </c>
      <c r="BJ2531">
        <v>10168.842556955477</v>
      </c>
      <c r="BK2531">
        <v>157999.99999999997</v>
      </c>
      <c r="BL2531" t="s">
        <v>242</v>
      </c>
      <c r="BM2531">
        <v>1</v>
      </c>
      <c r="BN2531">
        <v>25000</v>
      </c>
      <c r="BO2531">
        <v>0</v>
      </c>
      <c r="BP2531">
        <v>0</v>
      </c>
      <c r="BQ2531">
        <v>1606.8583776239611</v>
      </c>
      <c r="BR2531" t="s">
        <v>58</v>
      </c>
    </row>
    <row r="2532" spans="1:70" x14ac:dyDescent="0.3">
      <c r="A2532" t="s">
        <v>798</v>
      </c>
      <c r="B2532">
        <v>62200013</v>
      </c>
      <c r="C2532">
        <v>20972385</v>
      </c>
      <c r="D2532" t="s">
        <v>76</v>
      </c>
      <c r="E2532" t="s">
        <v>435</v>
      </c>
      <c r="F2532" t="s">
        <v>432</v>
      </c>
      <c r="G2532" t="s">
        <v>82</v>
      </c>
      <c r="H2532" t="s">
        <v>82</v>
      </c>
      <c r="J2532" t="s">
        <v>52</v>
      </c>
      <c r="K2532" s="15">
        <v>4000</v>
      </c>
      <c r="M2532">
        <v>45383</v>
      </c>
      <c r="N2532" t="s">
        <v>1013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11665.191359418066</v>
      </c>
      <c r="W2532">
        <v>0</v>
      </c>
      <c r="X2532">
        <v>0</v>
      </c>
      <c r="Y2532">
        <v>11665.191359418066</v>
      </c>
      <c r="Z2532">
        <v>0</v>
      </c>
      <c r="AA2532">
        <v>11665.191359418066</v>
      </c>
      <c r="AB2532" t="s">
        <v>242</v>
      </c>
      <c r="AC2532">
        <v>19</v>
      </c>
      <c r="AD2532">
        <v>76000</v>
      </c>
      <c r="AE2532">
        <v>0</v>
      </c>
      <c r="AF2532">
        <v>0</v>
      </c>
      <c r="AG2532">
        <v>0</v>
      </c>
      <c r="AH2532" t="s">
        <v>58</v>
      </c>
      <c r="AK2532" t="s">
        <v>798</v>
      </c>
      <c r="AL2532">
        <v>52201823</v>
      </c>
      <c r="AM2532">
        <v>26207055</v>
      </c>
      <c r="AN2532" t="s">
        <v>165</v>
      </c>
      <c r="AO2532" t="s">
        <v>438</v>
      </c>
      <c r="AP2532" t="s">
        <v>431</v>
      </c>
      <c r="AQ2532" t="s">
        <v>82</v>
      </c>
      <c r="AR2532" t="s">
        <v>83</v>
      </c>
      <c r="AT2532" t="s">
        <v>52</v>
      </c>
      <c r="AU2532">
        <v>1000</v>
      </c>
      <c r="AW2532">
        <v>45383</v>
      </c>
      <c r="AX2532" t="s">
        <v>1013</v>
      </c>
      <c r="AY2532">
        <v>0</v>
      </c>
      <c r="AZ2532">
        <v>0</v>
      </c>
      <c r="BA2532">
        <v>0</v>
      </c>
      <c r="BB2532">
        <v>824.36546048846947</v>
      </c>
      <c r="BC2532">
        <v>28227.95901725673</v>
      </c>
      <c r="BD2532">
        <v>0</v>
      </c>
      <c r="BE2532">
        <v>0</v>
      </c>
      <c r="BF2532">
        <v>82604.409809083882</v>
      </c>
      <c r="BG2532">
        <v>0</v>
      </c>
      <c r="BH2532">
        <v>0</v>
      </c>
      <c r="BI2532">
        <v>111656.73428682907</v>
      </c>
      <c r="BJ2532">
        <v>7758.2658178438433</v>
      </c>
      <c r="BK2532">
        <v>119415.00010467292</v>
      </c>
      <c r="BL2532" t="s">
        <v>242</v>
      </c>
      <c r="BM2532">
        <v>11</v>
      </c>
      <c r="BN2532">
        <v>9000</v>
      </c>
      <c r="BO2532">
        <v>0</v>
      </c>
      <c r="BP2532">
        <v>0</v>
      </c>
      <c r="BQ2532">
        <v>584.42577778896543</v>
      </c>
      <c r="BR2532" t="s">
        <v>58</v>
      </c>
    </row>
    <row r="2533" spans="1:70" x14ac:dyDescent="0.3">
      <c r="A2533" t="s">
        <v>798</v>
      </c>
      <c r="B2533">
        <v>82200002</v>
      </c>
      <c r="C2533">
        <v>901014005220</v>
      </c>
      <c r="D2533" t="s">
        <v>994</v>
      </c>
      <c r="E2533" t="s">
        <v>440</v>
      </c>
      <c r="F2533" t="s">
        <v>433</v>
      </c>
      <c r="G2533" t="s">
        <v>82</v>
      </c>
      <c r="H2533" t="s">
        <v>83</v>
      </c>
      <c r="J2533" t="s">
        <v>52</v>
      </c>
      <c r="K2533" s="15">
        <v>15000</v>
      </c>
      <c r="M2533">
        <v>45383</v>
      </c>
      <c r="N2533" t="s">
        <v>1013</v>
      </c>
      <c r="O2533">
        <v>0</v>
      </c>
      <c r="P2533">
        <v>0</v>
      </c>
      <c r="Q2533">
        <v>62651.019279172106</v>
      </c>
      <c r="R2533">
        <v>34918.17</v>
      </c>
      <c r="S2533">
        <v>171759.48478582047</v>
      </c>
      <c r="T2533">
        <v>0</v>
      </c>
      <c r="U2533">
        <v>0</v>
      </c>
      <c r="V2533">
        <v>967982.71</v>
      </c>
      <c r="W2533">
        <v>0</v>
      </c>
      <c r="X2533">
        <v>0</v>
      </c>
      <c r="Y2533">
        <v>1237311.3840649924</v>
      </c>
      <c r="Z2533">
        <v>79781.953635007434</v>
      </c>
      <c r="AA2533">
        <v>1317093.3376999998</v>
      </c>
      <c r="AB2533" t="s">
        <v>242</v>
      </c>
      <c r="AC2533">
        <v>4</v>
      </c>
      <c r="AD2533">
        <v>80000</v>
      </c>
      <c r="AE2533">
        <v>0</v>
      </c>
      <c r="AF2533">
        <v>0</v>
      </c>
      <c r="AG2533">
        <v>4819.9140649925685</v>
      </c>
      <c r="AH2533" t="s">
        <v>58</v>
      </c>
      <c r="AK2533" t="s">
        <v>798</v>
      </c>
      <c r="AL2533">
        <v>82200002</v>
      </c>
      <c r="AM2533">
        <v>901014005220</v>
      </c>
      <c r="AN2533" t="s">
        <v>994</v>
      </c>
      <c r="AO2533" t="s">
        <v>440</v>
      </c>
      <c r="AP2533" t="s">
        <v>433</v>
      </c>
      <c r="AQ2533" t="s">
        <v>82</v>
      </c>
      <c r="AR2533" t="s">
        <v>83</v>
      </c>
      <c r="AT2533" t="s">
        <v>52</v>
      </c>
      <c r="AU2533">
        <v>15000</v>
      </c>
      <c r="AW2533">
        <v>45383</v>
      </c>
      <c r="AX2533" t="s">
        <v>1013</v>
      </c>
      <c r="AY2533">
        <v>0</v>
      </c>
      <c r="AZ2533">
        <v>0</v>
      </c>
      <c r="BA2533">
        <v>62651.019279172106</v>
      </c>
      <c r="BB2533">
        <v>34918.17</v>
      </c>
      <c r="BC2533">
        <v>171759.48478582047</v>
      </c>
      <c r="BD2533">
        <v>0</v>
      </c>
      <c r="BE2533">
        <v>0</v>
      </c>
      <c r="BF2533">
        <v>967982.71</v>
      </c>
      <c r="BG2533">
        <v>0</v>
      </c>
      <c r="BH2533">
        <v>0</v>
      </c>
      <c r="BI2533">
        <v>1237311.3840649924</v>
      </c>
      <c r="BJ2533">
        <v>79781.953635007434</v>
      </c>
      <c r="BK2533">
        <v>1317093.3376999998</v>
      </c>
      <c r="BL2533" t="s">
        <v>242</v>
      </c>
      <c r="BM2533">
        <v>4</v>
      </c>
      <c r="BN2533">
        <v>80000</v>
      </c>
      <c r="BO2533">
        <v>0</v>
      </c>
      <c r="BP2533">
        <v>0</v>
      </c>
      <c r="BQ2533">
        <v>4819.9140649925685</v>
      </c>
      <c r="BR2533" t="s">
        <v>58</v>
      </c>
    </row>
    <row r="2534" spans="1:70" x14ac:dyDescent="0.3">
      <c r="A2534" t="s">
        <v>798</v>
      </c>
      <c r="B2534">
        <v>4132301772</v>
      </c>
      <c r="C2534" t="s">
        <v>689</v>
      </c>
      <c r="D2534" t="s">
        <v>938</v>
      </c>
      <c r="E2534" t="s">
        <v>442</v>
      </c>
      <c r="F2534" t="s">
        <v>430</v>
      </c>
      <c r="G2534" t="s">
        <v>230</v>
      </c>
      <c r="H2534" t="s">
        <v>231</v>
      </c>
      <c r="J2534" t="s">
        <v>52</v>
      </c>
      <c r="K2534" s="15">
        <v>1000</v>
      </c>
      <c r="M2534">
        <v>45383</v>
      </c>
      <c r="N2534" t="s">
        <v>1013</v>
      </c>
      <c r="O2534">
        <v>0</v>
      </c>
      <c r="P2534">
        <v>23798.95912565491</v>
      </c>
      <c r="Q2534">
        <v>0</v>
      </c>
      <c r="R2534">
        <v>0</v>
      </c>
      <c r="S2534">
        <v>564880.79</v>
      </c>
      <c r="T2534">
        <v>37602.841938640267</v>
      </c>
      <c r="U2534">
        <v>56074.766355140186</v>
      </c>
      <c r="V2534">
        <v>0</v>
      </c>
      <c r="W2534">
        <v>747663.55140186916</v>
      </c>
      <c r="X2534">
        <v>0</v>
      </c>
      <c r="Y2534">
        <v>1430020.9088213043</v>
      </c>
      <c r="Z2534">
        <v>58893.881178695483</v>
      </c>
      <c r="AA2534">
        <v>1488914.7899999998</v>
      </c>
      <c r="AB2534" t="s">
        <v>242</v>
      </c>
      <c r="AC2534">
        <v>3</v>
      </c>
      <c r="AD2534">
        <v>3000</v>
      </c>
      <c r="AE2534">
        <v>0</v>
      </c>
      <c r="AF2534">
        <v>0</v>
      </c>
      <c r="AG2534">
        <v>115.46461569705014</v>
      </c>
      <c r="AH2534" t="s">
        <v>58</v>
      </c>
      <c r="AK2534" t="s">
        <v>798</v>
      </c>
      <c r="AL2534">
        <v>4132301772</v>
      </c>
      <c r="AM2534" t="s">
        <v>689</v>
      </c>
      <c r="AN2534" t="s">
        <v>938</v>
      </c>
      <c r="AO2534" t="s">
        <v>442</v>
      </c>
      <c r="AP2534" t="s">
        <v>430</v>
      </c>
      <c r="AQ2534" t="s">
        <v>230</v>
      </c>
      <c r="AR2534" t="s">
        <v>231</v>
      </c>
      <c r="AT2534" t="s">
        <v>52</v>
      </c>
      <c r="AU2534">
        <v>1000</v>
      </c>
      <c r="AW2534">
        <v>45383</v>
      </c>
      <c r="AX2534" t="s">
        <v>1013</v>
      </c>
      <c r="AY2534">
        <v>0</v>
      </c>
      <c r="AZ2534">
        <v>23798.95912565491</v>
      </c>
      <c r="BA2534">
        <v>0</v>
      </c>
      <c r="BB2534">
        <v>0</v>
      </c>
      <c r="BC2534">
        <v>564880.79</v>
      </c>
      <c r="BD2534">
        <v>37602.841938640267</v>
      </c>
      <c r="BE2534">
        <v>56074.766355140186</v>
      </c>
      <c r="BF2534">
        <v>0</v>
      </c>
      <c r="BG2534">
        <v>747663.55140186916</v>
      </c>
      <c r="BH2534">
        <v>0</v>
      </c>
      <c r="BI2534">
        <v>1430020.9088213043</v>
      </c>
      <c r="BJ2534">
        <v>58893.881178695483</v>
      </c>
      <c r="BK2534">
        <v>1488914.7899999998</v>
      </c>
      <c r="BL2534" t="s">
        <v>242</v>
      </c>
      <c r="BM2534">
        <v>3</v>
      </c>
      <c r="BN2534">
        <v>3000</v>
      </c>
      <c r="BO2534">
        <v>0</v>
      </c>
      <c r="BP2534">
        <v>0</v>
      </c>
      <c r="BQ2534">
        <v>115.46461569705014</v>
      </c>
      <c r="BR2534" t="s">
        <v>58</v>
      </c>
    </row>
    <row r="2535" spans="1:70" x14ac:dyDescent="0.3">
      <c r="A2535" t="s">
        <v>798</v>
      </c>
      <c r="B2535">
        <v>4132301981</v>
      </c>
      <c r="C2535" t="s">
        <v>101</v>
      </c>
      <c r="D2535" t="s">
        <v>930</v>
      </c>
      <c r="E2535" t="s">
        <v>442</v>
      </c>
      <c r="F2535" t="s">
        <v>430</v>
      </c>
      <c r="G2535" t="s">
        <v>230</v>
      </c>
      <c r="H2535" t="s">
        <v>231</v>
      </c>
      <c r="J2535" t="s">
        <v>52</v>
      </c>
      <c r="K2535" s="15">
        <v>2000</v>
      </c>
      <c r="M2535">
        <v>45383</v>
      </c>
      <c r="N2535" t="s">
        <v>1013</v>
      </c>
      <c r="O2535">
        <v>0</v>
      </c>
      <c r="P2535">
        <v>20586.549719924416</v>
      </c>
      <c r="Q2535">
        <v>0</v>
      </c>
      <c r="R2535">
        <v>0</v>
      </c>
      <c r="S2535">
        <v>23352.81</v>
      </c>
      <c r="T2535">
        <v>7255.5610094164385</v>
      </c>
      <c r="U2535">
        <v>78504.672897196258</v>
      </c>
      <c r="V2535">
        <v>0</v>
      </c>
      <c r="W2535">
        <v>619149.53271028039</v>
      </c>
      <c r="X2535">
        <v>0</v>
      </c>
      <c r="Y2535">
        <v>748849.12633681751</v>
      </c>
      <c r="Z2535">
        <v>49343.683663182521</v>
      </c>
      <c r="AA2535">
        <v>798192.81</v>
      </c>
      <c r="AB2535" t="s">
        <v>242</v>
      </c>
      <c r="AC2535">
        <v>5</v>
      </c>
      <c r="AD2535">
        <v>30000</v>
      </c>
      <c r="AE2535">
        <v>0</v>
      </c>
      <c r="AF2535">
        <v>0</v>
      </c>
      <c r="AG2535">
        <v>1847.2509162567394</v>
      </c>
      <c r="AH2535" t="s">
        <v>58</v>
      </c>
      <c r="AK2535" t="s">
        <v>798</v>
      </c>
      <c r="AL2535">
        <v>4132301981</v>
      </c>
      <c r="AM2535" t="s">
        <v>101</v>
      </c>
      <c r="AN2535" t="s">
        <v>930</v>
      </c>
      <c r="AO2535" t="s">
        <v>442</v>
      </c>
      <c r="AP2535" t="s">
        <v>430</v>
      </c>
      <c r="AQ2535" t="s">
        <v>230</v>
      </c>
      <c r="AR2535" t="s">
        <v>231</v>
      </c>
      <c r="AT2535" t="s">
        <v>52</v>
      </c>
      <c r="AU2535">
        <v>2000</v>
      </c>
      <c r="AW2535">
        <v>45383</v>
      </c>
      <c r="AX2535" t="s">
        <v>1013</v>
      </c>
      <c r="AY2535">
        <v>0</v>
      </c>
      <c r="AZ2535">
        <v>20586.549719924416</v>
      </c>
      <c r="BA2535">
        <v>0</v>
      </c>
      <c r="BB2535">
        <v>0</v>
      </c>
      <c r="BC2535">
        <v>23352.81</v>
      </c>
      <c r="BD2535">
        <v>7255.5610094164385</v>
      </c>
      <c r="BE2535">
        <v>78504.672897196258</v>
      </c>
      <c r="BF2535">
        <v>0</v>
      </c>
      <c r="BG2535">
        <v>619149.53271028039</v>
      </c>
      <c r="BH2535">
        <v>0</v>
      </c>
      <c r="BI2535">
        <v>748849.12633681751</v>
      </c>
      <c r="BJ2535">
        <v>49343.683663182521</v>
      </c>
      <c r="BK2535">
        <v>798192.81</v>
      </c>
      <c r="BL2535" t="s">
        <v>242</v>
      </c>
      <c r="BM2535">
        <v>5</v>
      </c>
      <c r="BN2535">
        <v>30000</v>
      </c>
      <c r="BO2535">
        <v>0</v>
      </c>
      <c r="BP2535">
        <v>0</v>
      </c>
      <c r="BQ2535">
        <v>1847.2509162567394</v>
      </c>
      <c r="BR2535" t="s">
        <v>58</v>
      </c>
    </row>
    <row r="2536" spans="1:70" x14ac:dyDescent="0.3">
      <c r="A2536" t="s">
        <v>798</v>
      </c>
      <c r="B2536">
        <v>4142300160</v>
      </c>
      <c r="C2536">
        <v>10044677</v>
      </c>
      <c r="D2536" t="s">
        <v>190</v>
      </c>
      <c r="E2536" t="s">
        <v>445</v>
      </c>
      <c r="F2536" t="s">
        <v>430</v>
      </c>
      <c r="G2536" t="s">
        <v>230</v>
      </c>
      <c r="H2536" t="s">
        <v>234</v>
      </c>
      <c r="J2536" t="s">
        <v>52</v>
      </c>
      <c r="K2536" s="15">
        <v>800</v>
      </c>
      <c r="M2536">
        <v>45383</v>
      </c>
      <c r="N2536" t="s">
        <v>1013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32117.392523364499</v>
      </c>
      <c r="Y2536">
        <v>32117.392523364499</v>
      </c>
      <c r="Z2536">
        <v>2248.2174766355151</v>
      </c>
      <c r="AA2536">
        <v>34365.610000000015</v>
      </c>
      <c r="AB2536" t="s">
        <v>242</v>
      </c>
      <c r="AC2536">
        <v>11</v>
      </c>
      <c r="AD2536">
        <v>52500</v>
      </c>
      <c r="AE2536">
        <v>0</v>
      </c>
      <c r="AF2536">
        <v>0</v>
      </c>
      <c r="AG2536">
        <v>3434.5794392523376</v>
      </c>
      <c r="AH2536" t="s">
        <v>58</v>
      </c>
      <c r="AK2536" t="s">
        <v>798</v>
      </c>
      <c r="AL2536">
        <v>4142301002</v>
      </c>
      <c r="AM2536">
        <v>10496402</v>
      </c>
      <c r="AN2536" t="s">
        <v>744</v>
      </c>
      <c r="AO2536" t="s">
        <v>445</v>
      </c>
      <c r="AP2536" t="s">
        <v>430</v>
      </c>
      <c r="AQ2536" t="s">
        <v>230</v>
      </c>
      <c r="AR2536" t="s">
        <v>234</v>
      </c>
      <c r="AT2536" t="s">
        <v>52</v>
      </c>
      <c r="AU2536">
        <v>12000</v>
      </c>
      <c r="AW2536">
        <v>45383</v>
      </c>
      <c r="AX2536" t="s">
        <v>1029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605411.08411214955</v>
      </c>
      <c r="BI2536">
        <v>605411.08411214955</v>
      </c>
      <c r="BJ2536">
        <v>42378.775887850476</v>
      </c>
      <c r="BK2536">
        <v>647789.86</v>
      </c>
      <c r="BL2536" t="s">
        <v>242</v>
      </c>
      <c r="BM2536">
        <v>2</v>
      </c>
      <c r="BN2536">
        <v>24000</v>
      </c>
      <c r="BO2536">
        <v>0</v>
      </c>
      <c r="BP2536">
        <v>0</v>
      </c>
      <c r="BQ2536">
        <v>1570.0934579439272</v>
      </c>
      <c r="BR2536" t="s">
        <v>58</v>
      </c>
    </row>
    <row r="2537" spans="1:70" x14ac:dyDescent="0.3">
      <c r="A2537" t="s">
        <v>798</v>
      </c>
      <c r="B2537">
        <v>4142301002</v>
      </c>
      <c r="C2537">
        <v>10496402</v>
      </c>
      <c r="D2537" t="s">
        <v>744</v>
      </c>
      <c r="E2537" t="s">
        <v>445</v>
      </c>
      <c r="F2537" t="s">
        <v>430</v>
      </c>
      <c r="G2537" t="s">
        <v>230</v>
      </c>
      <c r="H2537" t="s">
        <v>234</v>
      </c>
      <c r="J2537" t="s">
        <v>52</v>
      </c>
      <c r="K2537" s="15">
        <v>12000</v>
      </c>
      <c r="M2537">
        <v>45383</v>
      </c>
      <c r="N2537" t="s">
        <v>1029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605411.08411214955</v>
      </c>
      <c r="Y2537">
        <v>605411.08411214955</v>
      </c>
      <c r="Z2537">
        <v>42378.775887850476</v>
      </c>
      <c r="AA2537">
        <v>647789.86</v>
      </c>
      <c r="AB2537" t="s">
        <v>242</v>
      </c>
      <c r="AC2537">
        <v>2</v>
      </c>
      <c r="AD2537">
        <v>24000</v>
      </c>
      <c r="AE2537">
        <v>0</v>
      </c>
      <c r="AF2537">
        <v>0</v>
      </c>
      <c r="AG2537">
        <v>1570.0934579439272</v>
      </c>
      <c r="AH2537" t="s">
        <v>58</v>
      </c>
      <c r="AK2537" t="s">
        <v>798</v>
      </c>
      <c r="AL2537">
        <v>4232300098</v>
      </c>
      <c r="AM2537">
        <v>111655</v>
      </c>
      <c r="AN2537" t="s">
        <v>763</v>
      </c>
      <c r="AO2537" t="s">
        <v>443</v>
      </c>
      <c r="AP2537" t="s">
        <v>431</v>
      </c>
      <c r="AQ2537" t="s">
        <v>230</v>
      </c>
      <c r="AR2537" t="s">
        <v>231</v>
      </c>
      <c r="AT2537" t="s">
        <v>52</v>
      </c>
      <c r="AU2537">
        <v>16000</v>
      </c>
      <c r="AW2537">
        <v>45383</v>
      </c>
      <c r="AX2537" t="s">
        <v>1013</v>
      </c>
      <c r="AY2537">
        <v>0</v>
      </c>
      <c r="AZ2537">
        <v>14666.788369736847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480989.91741146077</v>
      </c>
      <c r="BH2537">
        <v>0</v>
      </c>
      <c r="BI2537">
        <v>495656.70578119764</v>
      </c>
      <c r="BJ2537">
        <v>33669.294218802257</v>
      </c>
      <c r="BK2537">
        <v>529325.99999999988</v>
      </c>
      <c r="BL2537" t="s">
        <v>242</v>
      </c>
      <c r="BM2537">
        <v>4</v>
      </c>
      <c r="BN2537">
        <v>132000</v>
      </c>
      <c r="BO2537">
        <v>0</v>
      </c>
      <c r="BP2537">
        <v>0</v>
      </c>
      <c r="BQ2537">
        <v>8377.2852204500705</v>
      </c>
      <c r="BR2537" t="s">
        <v>58</v>
      </c>
    </row>
    <row r="2538" spans="1:70" x14ac:dyDescent="0.3">
      <c r="A2538" t="s">
        <v>798</v>
      </c>
      <c r="B2538">
        <v>4142301328</v>
      </c>
      <c r="C2538">
        <v>10334417</v>
      </c>
      <c r="D2538" t="s">
        <v>752</v>
      </c>
      <c r="E2538" t="s">
        <v>446</v>
      </c>
      <c r="F2538" t="s">
        <v>430</v>
      </c>
      <c r="G2538" t="s">
        <v>237</v>
      </c>
      <c r="H2538" t="s">
        <v>234</v>
      </c>
      <c r="J2538" t="s">
        <v>52</v>
      </c>
      <c r="K2538" s="15">
        <v>2000</v>
      </c>
      <c r="M2538">
        <v>45383</v>
      </c>
      <c r="N2538" t="s">
        <v>1029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76534.118550761748</v>
      </c>
      <c r="Y2538">
        <v>76534.118550761748</v>
      </c>
      <c r="Z2538">
        <v>5357.3882985533228</v>
      </c>
      <c r="AA2538">
        <v>81891.506849315076</v>
      </c>
      <c r="AB2538" t="s">
        <v>242</v>
      </c>
      <c r="AC2538">
        <v>2</v>
      </c>
      <c r="AD2538">
        <v>3000</v>
      </c>
      <c r="AE2538">
        <v>0</v>
      </c>
      <c r="AF2538">
        <v>0</v>
      </c>
      <c r="AG2538">
        <v>196.26168224299067</v>
      </c>
      <c r="AH2538" t="s">
        <v>58</v>
      </c>
      <c r="AK2538" t="s">
        <v>798</v>
      </c>
      <c r="AL2538">
        <v>4302300042</v>
      </c>
      <c r="AM2538">
        <v>901012024750</v>
      </c>
      <c r="AN2538" t="s">
        <v>227</v>
      </c>
      <c r="AO2538" t="s">
        <v>447</v>
      </c>
      <c r="AP2538" t="s">
        <v>433</v>
      </c>
      <c r="AQ2538" t="s">
        <v>82</v>
      </c>
      <c r="AR2538" t="s">
        <v>83</v>
      </c>
      <c r="AT2538" t="s">
        <v>52</v>
      </c>
      <c r="AU2538">
        <v>200</v>
      </c>
      <c r="AW2538">
        <v>45383</v>
      </c>
      <c r="AX2538" t="s">
        <v>1029</v>
      </c>
      <c r="AY2538">
        <v>0</v>
      </c>
      <c r="AZ2538">
        <v>0</v>
      </c>
      <c r="BA2538">
        <v>37835.100747667173</v>
      </c>
      <c r="BB2538">
        <v>37265.26</v>
      </c>
      <c r="BC2538">
        <v>92312.536217133471</v>
      </c>
      <c r="BD2538">
        <v>0</v>
      </c>
      <c r="BE2538">
        <v>0</v>
      </c>
      <c r="BF2538">
        <v>553789.81999999995</v>
      </c>
      <c r="BG2538">
        <v>0</v>
      </c>
      <c r="BH2538">
        <v>0</v>
      </c>
      <c r="BI2538">
        <v>721202.71696480061</v>
      </c>
      <c r="BJ2538">
        <v>45227.164935199347</v>
      </c>
      <c r="BK2538">
        <v>766429.88189999992</v>
      </c>
      <c r="BL2538" t="s">
        <v>242</v>
      </c>
      <c r="BM2538">
        <v>5</v>
      </c>
      <c r="BN2538">
        <v>6200</v>
      </c>
      <c r="BO2538">
        <v>0</v>
      </c>
      <c r="BP2538">
        <v>0</v>
      </c>
      <c r="BQ2538">
        <v>363.35696480065667</v>
      </c>
      <c r="BR2538" t="s">
        <v>58</v>
      </c>
    </row>
    <row r="2539" spans="1:70" x14ac:dyDescent="0.3">
      <c r="A2539" t="s">
        <v>798</v>
      </c>
      <c r="B2539">
        <v>4232300098</v>
      </c>
      <c r="C2539">
        <v>111655</v>
      </c>
      <c r="D2539" t="s">
        <v>763</v>
      </c>
      <c r="E2539" t="s">
        <v>443</v>
      </c>
      <c r="F2539" t="s">
        <v>431</v>
      </c>
      <c r="G2539" t="s">
        <v>230</v>
      </c>
      <c r="H2539" t="s">
        <v>231</v>
      </c>
      <c r="J2539" t="s">
        <v>52</v>
      </c>
      <c r="K2539" s="15">
        <v>16000</v>
      </c>
      <c r="M2539">
        <v>45383</v>
      </c>
      <c r="N2539" t="s">
        <v>1013</v>
      </c>
      <c r="O2539">
        <v>0</v>
      </c>
      <c r="P2539">
        <v>14666.788369736847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480989.91741146077</v>
      </c>
      <c r="X2539">
        <v>0</v>
      </c>
      <c r="Y2539">
        <v>495656.70578119764</v>
      </c>
      <c r="Z2539">
        <v>33669.294218802257</v>
      </c>
      <c r="AA2539">
        <v>529325.99999999988</v>
      </c>
      <c r="AB2539" t="s">
        <v>242</v>
      </c>
      <c r="AC2539">
        <v>4</v>
      </c>
      <c r="AD2539">
        <v>132000</v>
      </c>
      <c r="AE2539">
        <v>0</v>
      </c>
      <c r="AF2539">
        <v>0</v>
      </c>
      <c r="AG2539">
        <v>8377.2852204500705</v>
      </c>
      <c r="AH2539" t="s">
        <v>58</v>
      </c>
      <c r="AK2539" t="s">
        <v>798</v>
      </c>
      <c r="AL2539">
        <v>4302300043</v>
      </c>
      <c r="AM2539">
        <v>901012030332</v>
      </c>
      <c r="AN2539" t="s">
        <v>227</v>
      </c>
      <c r="AO2539" t="s">
        <v>447</v>
      </c>
      <c r="AP2539" t="s">
        <v>433</v>
      </c>
      <c r="AQ2539" t="s">
        <v>82</v>
      </c>
      <c r="AR2539" t="s">
        <v>83</v>
      </c>
      <c r="AT2539" t="s">
        <v>52</v>
      </c>
      <c r="AU2539">
        <v>200</v>
      </c>
      <c r="AW2539">
        <v>45383</v>
      </c>
      <c r="AX2539" t="s">
        <v>1029</v>
      </c>
      <c r="AY2539">
        <v>0</v>
      </c>
      <c r="AZ2539">
        <v>0</v>
      </c>
      <c r="BA2539">
        <v>48032.931302101424</v>
      </c>
      <c r="BB2539">
        <v>41417.75</v>
      </c>
      <c r="BC2539">
        <v>101722.67476439121</v>
      </c>
      <c r="BD2539">
        <v>0</v>
      </c>
      <c r="BE2539">
        <v>0</v>
      </c>
      <c r="BF2539">
        <v>706553.99</v>
      </c>
      <c r="BG2539">
        <v>0</v>
      </c>
      <c r="BH2539">
        <v>0</v>
      </c>
      <c r="BI2539">
        <v>897727.34606649261</v>
      </c>
      <c r="BJ2539">
        <v>56579.366533507397</v>
      </c>
      <c r="BK2539">
        <v>954306.71259999997</v>
      </c>
      <c r="BL2539" t="s">
        <v>242</v>
      </c>
      <c r="BM2539">
        <v>6</v>
      </c>
      <c r="BN2539">
        <v>13200</v>
      </c>
      <c r="BO2539">
        <v>0</v>
      </c>
      <c r="BP2539">
        <v>0</v>
      </c>
      <c r="BQ2539">
        <v>777.45606649261606</v>
      </c>
      <c r="BR2539" t="s">
        <v>58</v>
      </c>
    </row>
    <row r="2540" spans="1:70" x14ac:dyDescent="0.3">
      <c r="A2540" t="s">
        <v>798</v>
      </c>
      <c r="B2540">
        <v>4302300042</v>
      </c>
      <c r="C2540">
        <v>901012024750</v>
      </c>
      <c r="D2540" t="s">
        <v>227</v>
      </c>
      <c r="E2540" t="s">
        <v>447</v>
      </c>
      <c r="F2540" t="s">
        <v>433</v>
      </c>
      <c r="G2540" t="s">
        <v>82</v>
      </c>
      <c r="H2540" t="s">
        <v>83</v>
      </c>
      <c r="J2540" t="s">
        <v>52</v>
      </c>
      <c r="K2540" s="15">
        <v>200</v>
      </c>
      <c r="M2540">
        <v>45383</v>
      </c>
      <c r="N2540" t="s">
        <v>1029</v>
      </c>
      <c r="O2540">
        <v>0</v>
      </c>
      <c r="P2540">
        <v>0</v>
      </c>
      <c r="Q2540">
        <v>37835.100747667173</v>
      </c>
      <c r="R2540">
        <v>37265.26</v>
      </c>
      <c r="S2540">
        <v>92312.536217133471</v>
      </c>
      <c r="T2540">
        <v>0</v>
      </c>
      <c r="U2540">
        <v>0</v>
      </c>
      <c r="V2540">
        <v>553789.81999999995</v>
      </c>
      <c r="W2540">
        <v>0</v>
      </c>
      <c r="X2540">
        <v>0</v>
      </c>
      <c r="Y2540">
        <v>721202.71696480061</v>
      </c>
      <c r="Z2540">
        <v>45227.164935199347</v>
      </c>
      <c r="AA2540">
        <v>766429.88189999992</v>
      </c>
      <c r="AB2540" t="s">
        <v>242</v>
      </c>
      <c r="AC2540">
        <v>5</v>
      </c>
      <c r="AD2540">
        <v>6200</v>
      </c>
      <c r="AE2540">
        <v>0</v>
      </c>
      <c r="AF2540">
        <v>0</v>
      </c>
      <c r="AG2540">
        <v>363.35696480065667</v>
      </c>
      <c r="AH2540" t="s">
        <v>58</v>
      </c>
      <c r="AK2540" t="s">
        <v>798</v>
      </c>
      <c r="AL2540">
        <v>4302300044</v>
      </c>
      <c r="AM2540">
        <v>901012030496</v>
      </c>
      <c r="AN2540" t="s">
        <v>227</v>
      </c>
      <c r="AO2540" t="s">
        <v>447</v>
      </c>
      <c r="AP2540" t="s">
        <v>433</v>
      </c>
      <c r="AQ2540" t="s">
        <v>82</v>
      </c>
      <c r="AR2540" t="s">
        <v>83</v>
      </c>
      <c r="AT2540" t="s">
        <v>52</v>
      </c>
      <c r="AU2540">
        <v>200</v>
      </c>
      <c r="AW2540">
        <v>45383</v>
      </c>
      <c r="AX2540" t="s">
        <v>1029</v>
      </c>
      <c r="AY2540">
        <v>0</v>
      </c>
      <c r="AZ2540">
        <v>0</v>
      </c>
      <c r="BA2540">
        <v>49987.390955249968</v>
      </c>
      <c r="BB2540">
        <v>42434.2</v>
      </c>
      <c r="BC2540">
        <v>113670.19770537385</v>
      </c>
      <c r="BD2540">
        <v>0</v>
      </c>
      <c r="BE2540">
        <v>0</v>
      </c>
      <c r="BF2540">
        <v>725754.44</v>
      </c>
      <c r="BG2540">
        <v>0</v>
      </c>
      <c r="BH2540">
        <v>0</v>
      </c>
      <c r="BI2540">
        <v>931846.22866062378</v>
      </c>
      <c r="BJ2540">
        <v>58759.724639376174</v>
      </c>
      <c r="BK2540">
        <v>990605.95329999994</v>
      </c>
      <c r="BL2540" t="s">
        <v>242</v>
      </c>
      <c r="BM2540">
        <v>5</v>
      </c>
      <c r="BN2540">
        <v>6200</v>
      </c>
      <c r="BO2540">
        <v>0</v>
      </c>
      <c r="BP2540">
        <v>0</v>
      </c>
      <c r="BQ2540">
        <v>365.36866062383001</v>
      </c>
      <c r="BR2540" t="s">
        <v>58</v>
      </c>
    </row>
    <row r="2541" spans="1:70" x14ac:dyDescent="0.3">
      <c r="A2541" t="s">
        <v>798</v>
      </c>
      <c r="B2541">
        <v>4302300043</v>
      </c>
      <c r="C2541">
        <v>901012030332</v>
      </c>
      <c r="D2541" t="s">
        <v>227</v>
      </c>
      <c r="E2541" t="s">
        <v>447</v>
      </c>
      <c r="F2541" t="s">
        <v>433</v>
      </c>
      <c r="G2541" t="s">
        <v>82</v>
      </c>
      <c r="H2541" t="s">
        <v>83</v>
      </c>
      <c r="J2541" t="s">
        <v>52</v>
      </c>
      <c r="K2541" s="15">
        <v>200</v>
      </c>
      <c r="M2541">
        <v>45383</v>
      </c>
      <c r="N2541" t="s">
        <v>1029</v>
      </c>
      <c r="O2541">
        <v>0</v>
      </c>
      <c r="P2541">
        <v>0</v>
      </c>
      <c r="Q2541">
        <v>48032.931302101424</v>
      </c>
      <c r="R2541">
        <v>41417.75</v>
      </c>
      <c r="S2541">
        <v>101722.67476439121</v>
      </c>
      <c r="T2541">
        <v>0</v>
      </c>
      <c r="U2541">
        <v>0</v>
      </c>
      <c r="V2541">
        <v>706553.99</v>
      </c>
      <c r="W2541">
        <v>0</v>
      </c>
      <c r="X2541">
        <v>0</v>
      </c>
      <c r="Y2541">
        <v>897727.34606649261</v>
      </c>
      <c r="Z2541">
        <v>56579.366533507397</v>
      </c>
      <c r="AA2541">
        <v>954306.71259999997</v>
      </c>
      <c r="AB2541" t="s">
        <v>242</v>
      </c>
      <c r="AC2541">
        <v>6</v>
      </c>
      <c r="AD2541">
        <v>13200</v>
      </c>
      <c r="AE2541">
        <v>0</v>
      </c>
      <c r="AF2541">
        <v>0</v>
      </c>
      <c r="AG2541">
        <v>777.45606649261606</v>
      </c>
      <c r="AH2541" t="s">
        <v>58</v>
      </c>
      <c r="AK2541" t="s">
        <v>798</v>
      </c>
      <c r="AL2541">
        <v>4302300045</v>
      </c>
      <c r="AM2541">
        <v>901012030501</v>
      </c>
      <c r="AN2541" t="s">
        <v>227</v>
      </c>
      <c r="AO2541" t="s">
        <v>447</v>
      </c>
      <c r="AP2541" t="s">
        <v>433</v>
      </c>
      <c r="AQ2541" t="s">
        <v>82</v>
      </c>
      <c r="AR2541" t="s">
        <v>83</v>
      </c>
      <c r="AT2541" t="s">
        <v>52</v>
      </c>
      <c r="AU2541">
        <v>200</v>
      </c>
      <c r="AW2541">
        <v>45383</v>
      </c>
      <c r="AX2541" t="s">
        <v>1029</v>
      </c>
      <c r="AY2541">
        <v>0</v>
      </c>
      <c r="AZ2541">
        <v>0</v>
      </c>
      <c r="BA2541">
        <v>49635.453095052195</v>
      </c>
      <c r="BB2541">
        <v>42537.96</v>
      </c>
      <c r="BC2541">
        <v>113835.90318219422</v>
      </c>
      <c r="BD2541">
        <v>0</v>
      </c>
      <c r="BE2541">
        <v>0</v>
      </c>
      <c r="BF2541">
        <v>727221.82</v>
      </c>
      <c r="BG2541">
        <v>0</v>
      </c>
      <c r="BH2541">
        <v>0</v>
      </c>
      <c r="BI2541">
        <v>933231.13627724629</v>
      </c>
      <c r="BJ2541">
        <v>58874.0406227536</v>
      </c>
      <c r="BK2541">
        <v>992105.17689999985</v>
      </c>
      <c r="BL2541" t="s">
        <v>242</v>
      </c>
      <c r="BM2541">
        <v>5</v>
      </c>
      <c r="BN2541">
        <v>6200</v>
      </c>
      <c r="BO2541">
        <v>0</v>
      </c>
      <c r="BP2541">
        <v>0</v>
      </c>
      <c r="BQ2541">
        <v>365.53627724640472</v>
      </c>
      <c r="BR2541" t="s">
        <v>58</v>
      </c>
    </row>
    <row r="2542" spans="1:70" x14ac:dyDescent="0.3">
      <c r="A2542" t="s">
        <v>798</v>
      </c>
      <c r="B2542">
        <v>4302300044</v>
      </c>
      <c r="C2542">
        <v>901012030496</v>
      </c>
      <c r="D2542" t="s">
        <v>227</v>
      </c>
      <c r="E2542" t="s">
        <v>447</v>
      </c>
      <c r="F2542" t="s">
        <v>433</v>
      </c>
      <c r="G2542" t="s">
        <v>82</v>
      </c>
      <c r="H2542" t="s">
        <v>83</v>
      </c>
      <c r="J2542" t="s">
        <v>52</v>
      </c>
      <c r="K2542" s="15">
        <v>200</v>
      </c>
      <c r="M2542">
        <v>45383</v>
      </c>
      <c r="N2542" t="s">
        <v>1029</v>
      </c>
      <c r="O2542">
        <v>0</v>
      </c>
      <c r="P2542">
        <v>0</v>
      </c>
      <c r="Q2542">
        <v>49987.390955249968</v>
      </c>
      <c r="R2542">
        <v>42434.2</v>
      </c>
      <c r="S2542">
        <v>113670.19770537385</v>
      </c>
      <c r="T2542">
        <v>0</v>
      </c>
      <c r="U2542">
        <v>0</v>
      </c>
      <c r="V2542">
        <v>725754.44</v>
      </c>
      <c r="W2542">
        <v>0</v>
      </c>
      <c r="X2542">
        <v>0</v>
      </c>
      <c r="Y2542">
        <v>931846.22866062378</v>
      </c>
      <c r="Z2542">
        <v>58759.724639376174</v>
      </c>
      <c r="AA2542">
        <v>990605.95329999994</v>
      </c>
      <c r="AB2542" t="s">
        <v>242</v>
      </c>
      <c r="AC2542">
        <v>5</v>
      </c>
      <c r="AD2542">
        <v>6200</v>
      </c>
      <c r="AE2542">
        <v>0</v>
      </c>
      <c r="AF2542">
        <v>0</v>
      </c>
      <c r="AG2542">
        <v>365.36866062383001</v>
      </c>
      <c r="AH2542" t="s">
        <v>58</v>
      </c>
      <c r="AK2542" t="s">
        <v>798</v>
      </c>
      <c r="AL2542">
        <v>4302300046</v>
      </c>
      <c r="AM2542">
        <v>901012034713</v>
      </c>
      <c r="AN2542" t="s">
        <v>227</v>
      </c>
      <c r="AO2542" t="s">
        <v>447</v>
      </c>
      <c r="AP2542" t="s">
        <v>433</v>
      </c>
      <c r="AQ2542" t="s">
        <v>82</v>
      </c>
      <c r="AR2542" t="s">
        <v>83</v>
      </c>
      <c r="AT2542" t="s">
        <v>52</v>
      </c>
      <c r="AU2542">
        <v>3000</v>
      </c>
      <c r="AW2542">
        <v>45383</v>
      </c>
      <c r="AX2542" t="s">
        <v>1029</v>
      </c>
      <c r="AY2542">
        <v>0</v>
      </c>
      <c r="AZ2542">
        <v>0</v>
      </c>
      <c r="BA2542">
        <v>50546.854669959408</v>
      </c>
      <c r="BB2542">
        <v>46050.97</v>
      </c>
      <c r="BC2542">
        <v>102320.23171031833</v>
      </c>
      <c r="BD2542">
        <v>0</v>
      </c>
      <c r="BE2542">
        <v>0</v>
      </c>
      <c r="BF2542">
        <v>750980.5</v>
      </c>
      <c r="BG2542">
        <v>0</v>
      </c>
      <c r="BH2542">
        <v>0</v>
      </c>
      <c r="BI2542">
        <v>949898.55638027773</v>
      </c>
      <c r="BJ2542">
        <v>59731.051219722292</v>
      </c>
      <c r="BK2542">
        <v>1009629.6076</v>
      </c>
      <c r="BL2542" t="s">
        <v>242</v>
      </c>
      <c r="BM2542">
        <v>6</v>
      </c>
      <c r="BN2542">
        <v>19000</v>
      </c>
      <c r="BO2542">
        <v>0</v>
      </c>
      <c r="BP2542">
        <v>0</v>
      </c>
      <c r="BQ2542">
        <v>1116.4963802777183</v>
      </c>
      <c r="BR2542" t="s">
        <v>58</v>
      </c>
    </row>
    <row r="2543" spans="1:70" x14ac:dyDescent="0.3">
      <c r="A2543" t="s">
        <v>798</v>
      </c>
      <c r="B2543">
        <v>4302300045</v>
      </c>
      <c r="C2543">
        <v>901012030501</v>
      </c>
      <c r="D2543" t="s">
        <v>227</v>
      </c>
      <c r="E2543" t="s">
        <v>447</v>
      </c>
      <c r="F2543" t="s">
        <v>433</v>
      </c>
      <c r="G2543" t="s">
        <v>82</v>
      </c>
      <c r="H2543" t="s">
        <v>83</v>
      </c>
      <c r="J2543" t="s">
        <v>52</v>
      </c>
      <c r="K2543" s="15">
        <v>200</v>
      </c>
      <c r="M2543">
        <v>45383</v>
      </c>
      <c r="N2543" t="s">
        <v>1029</v>
      </c>
      <c r="O2543">
        <v>0</v>
      </c>
      <c r="P2543">
        <v>0</v>
      </c>
      <c r="Q2543">
        <v>49635.453095052195</v>
      </c>
      <c r="R2543">
        <v>42537.96</v>
      </c>
      <c r="S2543">
        <v>113835.90318219422</v>
      </c>
      <c r="T2543">
        <v>0</v>
      </c>
      <c r="U2543">
        <v>0</v>
      </c>
      <c r="V2543">
        <v>727221.82</v>
      </c>
      <c r="W2543">
        <v>0</v>
      </c>
      <c r="X2543">
        <v>0</v>
      </c>
      <c r="Y2543">
        <v>933231.13627724629</v>
      </c>
      <c r="Z2543">
        <v>58874.0406227536</v>
      </c>
      <c r="AA2543">
        <v>992105.17689999985</v>
      </c>
      <c r="AB2543" t="s">
        <v>242</v>
      </c>
      <c r="AC2543">
        <v>5</v>
      </c>
      <c r="AD2543">
        <v>6200</v>
      </c>
      <c r="AE2543">
        <v>0</v>
      </c>
      <c r="AF2543">
        <v>0</v>
      </c>
      <c r="AG2543">
        <v>365.53627724640472</v>
      </c>
      <c r="AH2543" t="s">
        <v>58</v>
      </c>
      <c r="AK2543" t="s">
        <v>798</v>
      </c>
      <c r="AL2543">
        <v>4302300047</v>
      </c>
      <c r="AM2543">
        <v>901012034728</v>
      </c>
      <c r="AN2543" t="s">
        <v>227</v>
      </c>
      <c r="AO2543" t="s">
        <v>447</v>
      </c>
      <c r="AP2543" t="s">
        <v>433</v>
      </c>
      <c r="AQ2543" t="s">
        <v>82</v>
      </c>
      <c r="AR2543" t="s">
        <v>83</v>
      </c>
      <c r="AT2543" t="s">
        <v>52</v>
      </c>
      <c r="AU2543">
        <v>3000</v>
      </c>
      <c r="AW2543">
        <v>45383</v>
      </c>
      <c r="AX2543" t="s">
        <v>1029</v>
      </c>
      <c r="AY2543">
        <v>0</v>
      </c>
      <c r="AZ2543">
        <v>0</v>
      </c>
      <c r="BA2543">
        <v>50095.056151653858</v>
      </c>
      <c r="BB2543">
        <v>45094.06</v>
      </c>
      <c r="BC2543">
        <v>101567.7462134076</v>
      </c>
      <c r="BD2543">
        <v>0</v>
      </c>
      <c r="BE2543">
        <v>0</v>
      </c>
      <c r="BF2543">
        <v>745073.02</v>
      </c>
      <c r="BG2543">
        <v>0</v>
      </c>
      <c r="BH2543">
        <v>0</v>
      </c>
      <c r="BI2543">
        <v>941829.88236506144</v>
      </c>
      <c r="BJ2543">
        <v>59264.853634938539</v>
      </c>
      <c r="BK2543">
        <v>1001094.736</v>
      </c>
      <c r="BL2543" t="s">
        <v>242</v>
      </c>
      <c r="BM2543">
        <v>6</v>
      </c>
      <c r="BN2543">
        <v>19000</v>
      </c>
      <c r="BO2543">
        <v>0</v>
      </c>
      <c r="BP2543">
        <v>0</v>
      </c>
      <c r="BQ2543">
        <v>1117.2723650614673</v>
      </c>
      <c r="BR2543" t="s">
        <v>58</v>
      </c>
    </row>
    <row r="2544" spans="1:70" x14ac:dyDescent="0.3">
      <c r="A2544" t="s">
        <v>798</v>
      </c>
      <c r="B2544">
        <v>4302300046</v>
      </c>
      <c r="C2544">
        <v>901012034713</v>
      </c>
      <c r="D2544" t="s">
        <v>227</v>
      </c>
      <c r="E2544" t="s">
        <v>447</v>
      </c>
      <c r="F2544" t="s">
        <v>433</v>
      </c>
      <c r="G2544" t="s">
        <v>82</v>
      </c>
      <c r="H2544" t="s">
        <v>83</v>
      </c>
      <c r="J2544" t="s">
        <v>52</v>
      </c>
      <c r="K2544" s="15">
        <v>3000</v>
      </c>
      <c r="M2544">
        <v>45383</v>
      </c>
      <c r="N2544" t="s">
        <v>1029</v>
      </c>
      <c r="O2544">
        <v>0</v>
      </c>
      <c r="P2544">
        <v>0</v>
      </c>
      <c r="Q2544">
        <v>50546.854669959408</v>
      </c>
      <c r="R2544">
        <v>46050.97</v>
      </c>
      <c r="S2544">
        <v>102320.23171031833</v>
      </c>
      <c r="T2544">
        <v>0</v>
      </c>
      <c r="U2544">
        <v>0</v>
      </c>
      <c r="V2544">
        <v>750980.5</v>
      </c>
      <c r="W2544">
        <v>0</v>
      </c>
      <c r="X2544">
        <v>0</v>
      </c>
      <c r="Y2544">
        <v>949898.55638027773</v>
      </c>
      <c r="Z2544">
        <v>59731.051219722292</v>
      </c>
      <c r="AA2544">
        <v>1009629.6076</v>
      </c>
      <c r="AB2544" t="s">
        <v>242</v>
      </c>
      <c r="AC2544">
        <v>6</v>
      </c>
      <c r="AD2544">
        <v>19000</v>
      </c>
      <c r="AE2544">
        <v>0</v>
      </c>
      <c r="AF2544">
        <v>0</v>
      </c>
      <c r="AG2544">
        <v>1116.4963802777183</v>
      </c>
      <c r="AH2544" t="s">
        <v>58</v>
      </c>
      <c r="AK2544" t="s">
        <v>798</v>
      </c>
      <c r="AL2544">
        <v>4332300201</v>
      </c>
      <c r="AM2544">
        <v>125063</v>
      </c>
      <c r="AN2544" t="s">
        <v>797</v>
      </c>
      <c r="AO2544" t="s">
        <v>443</v>
      </c>
      <c r="AP2544" t="s">
        <v>433</v>
      </c>
      <c r="AQ2544" t="s">
        <v>230</v>
      </c>
      <c r="AR2544" t="s">
        <v>231</v>
      </c>
      <c r="AT2544" t="s">
        <v>52</v>
      </c>
      <c r="AU2544">
        <v>20000</v>
      </c>
      <c r="AW2544">
        <v>45383</v>
      </c>
      <c r="AX2544" t="s">
        <v>1029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555962.61682242993</v>
      </c>
      <c r="BH2544">
        <v>0</v>
      </c>
      <c r="BI2544">
        <v>555962.61682242993</v>
      </c>
      <c r="BJ2544">
        <v>38917.383177570096</v>
      </c>
      <c r="BK2544">
        <v>594880</v>
      </c>
      <c r="BL2544" t="s">
        <v>242</v>
      </c>
      <c r="BM2544">
        <v>1</v>
      </c>
      <c r="BN2544">
        <v>20000</v>
      </c>
      <c r="BO2544">
        <v>0</v>
      </c>
      <c r="BP2544">
        <v>0</v>
      </c>
      <c r="BQ2544">
        <v>1308.4112149532702</v>
      </c>
      <c r="BR2544" t="s">
        <v>72</v>
      </c>
    </row>
    <row r="2545" spans="1:70" x14ac:dyDescent="0.3">
      <c r="A2545" t="s">
        <v>798</v>
      </c>
      <c r="B2545">
        <v>4302300047</v>
      </c>
      <c r="C2545">
        <v>901012034728</v>
      </c>
      <c r="D2545" t="s">
        <v>227</v>
      </c>
      <c r="E2545" t="s">
        <v>447</v>
      </c>
      <c r="F2545" t="s">
        <v>433</v>
      </c>
      <c r="G2545" t="s">
        <v>82</v>
      </c>
      <c r="H2545" t="s">
        <v>83</v>
      </c>
      <c r="J2545" t="s">
        <v>52</v>
      </c>
      <c r="K2545" s="15">
        <v>3000</v>
      </c>
      <c r="M2545">
        <v>45383</v>
      </c>
      <c r="N2545" t="s">
        <v>1029</v>
      </c>
      <c r="O2545">
        <v>0</v>
      </c>
      <c r="P2545">
        <v>0</v>
      </c>
      <c r="Q2545">
        <v>50095.056151653858</v>
      </c>
      <c r="R2545">
        <v>45094.06</v>
      </c>
      <c r="S2545">
        <v>101567.7462134076</v>
      </c>
      <c r="T2545">
        <v>0</v>
      </c>
      <c r="U2545">
        <v>0</v>
      </c>
      <c r="V2545">
        <v>745073.02</v>
      </c>
      <c r="W2545">
        <v>0</v>
      </c>
      <c r="X2545">
        <v>0</v>
      </c>
      <c r="Y2545">
        <v>941829.88236506144</v>
      </c>
      <c r="Z2545">
        <v>59264.853634938539</v>
      </c>
      <c r="AA2545">
        <v>1001094.736</v>
      </c>
      <c r="AB2545" t="s">
        <v>242</v>
      </c>
      <c r="AC2545">
        <v>6</v>
      </c>
      <c r="AD2545">
        <v>19000</v>
      </c>
      <c r="AE2545">
        <v>0</v>
      </c>
      <c r="AF2545">
        <v>0</v>
      </c>
      <c r="AG2545">
        <v>1117.2723650614673</v>
      </c>
      <c r="AH2545" t="s">
        <v>58</v>
      </c>
      <c r="AK2545" t="s">
        <v>798</v>
      </c>
      <c r="AL2545">
        <v>52201039</v>
      </c>
      <c r="AM2545">
        <v>29379502</v>
      </c>
      <c r="AN2545" t="s">
        <v>146</v>
      </c>
      <c r="AO2545" t="s">
        <v>438</v>
      </c>
      <c r="AP2545" t="s">
        <v>431</v>
      </c>
      <c r="AQ2545" t="s">
        <v>82</v>
      </c>
      <c r="AR2545" t="s">
        <v>83</v>
      </c>
      <c r="AT2545" t="s">
        <v>52</v>
      </c>
      <c r="AU2545">
        <v>3000</v>
      </c>
      <c r="AW2545">
        <v>45383</v>
      </c>
      <c r="AX2545" t="s">
        <v>1029</v>
      </c>
      <c r="AY2545">
        <v>0</v>
      </c>
      <c r="AZ2545">
        <v>0</v>
      </c>
      <c r="BA2545">
        <v>0</v>
      </c>
      <c r="BB2545">
        <v>738.10802354759426</v>
      </c>
      <c r="BC2545">
        <v>6399.1032065985146</v>
      </c>
      <c r="BD2545">
        <v>0</v>
      </c>
      <c r="BE2545">
        <v>0</v>
      </c>
      <c r="BF2545">
        <v>49170.889355899591</v>
      </c>
      <c r="BG2545">
        <v>0</v>
      </c>
      <c r="BH2545">
        <v>0</v>
      </c>
      <c r="BI2545">
        <v>56308.100586045701</v>
      </c>
      <c r="BJ2545">
        <v>3889.8994793748675</v>
      </c>
      <c r="BK2545">
        <v>60198.000065420565</v>
      </c>
      <c r="BL2545" t="s">
        <v>242</v>
      </c>
      <c r="BM2545">
        <v>9</v>
      </c>
      <c r="BN2545">
        <v>19000</v>
      </c>
      <c r="BO2545">
        <v>0</v>
      </c>
      <c r="BP2545">
        <v>0</v>
      </c>
      <c r="BQ2545">
        <v>1226.511739858254</v>
      </c>
      <c r="BR2545" t="s">
        <v>58</v>
      </c>
    </row>
    <row r="2546" spans="1:70" x14ac:dyDescent="0.3">
      <c r="A2546" t="s">
        <v>798</v>
      </c>
      <c r="B2546">
        <v>4332300201</v>
      </c>
      <c r="C2546">
        <v>125063</v>
      </c>
      <c r="D2546" t="s">
        <v>797</v>
      </c>
      <c r="E2546" t="s">
        <v>443</v>
      </c>
      <c r="F2546" t="s">
        <v>433</v>
      </c>
      <c r="G2546" t="s">
        <v>230</v>
      </c>
      <c r="H2546" t="s">
        <v>231</v>
      </c>
      <c r="J2546" t="s">
        <v>52</v>
      </c>
      <c r="K2546" s="15">
        <v>20000</v>
      </c>
      <c r="M2546">
        <v>45383</v>
      </c>
      <c r="N2546" t="s">
        <v>1029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555962.61682242993</v>
      </c>
      <c r="X2546">
        <v>0</v>
      </c>
      <c r="Y2546">
        <v>555962.61682242993</v>
      </c>
      <c r="Z2546">
        <v>38917.383177570096</v>
      </c>
      <c r="AA2546">
        <v>594880</v>
      </c>
      <c r="AB2546" t="s">
        <v>242</v>
      </c>
      <c r="AC2546">
        <v>1</v>
      </c>
      <c r="AD2546">
        <v>20000</v>
      </c>
      <c r="AE2546">
        <v>0</v>
      </c>
      <c r="AF2546">
        <v>0</v>
      </c>
      <c r="AG2546">
        <v>1308.4112149532702</v>
      </c>
      <c r="AH2546" t="s">
        <v>72</v>
      </c>
      <c r="AK2546" t="s">
        <v>798</v>
      </c>
      <c r="AL2546">
        <v>4142301328</v>
      </c>
      <c r="AM2546">
        <v>10334417</v>
      </c>
      <c r="AN2546" t="s">
        <v>752</v>
      </c>
      <c r="AO2546" t="s">
        <v>446</v>
      </c>
      <c r="AP2546" t="s">
        <v>430</v>
      </c>
      <c r="AQ2546" t="s">
        <v>237</v>
      </c>
      <c r="AR2546" t="s">
        <v>234</v>
      </c>
      <c r="AT2546" t="s">
        <v>52</v>
      </c>
      <c r="AU2546">
        <v>2000</v>
      </c>
      <c r="AW2546">
        <v>45383</v>
      </c>
      <c r="AX2546" t="s">
        <v>1029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76534.118550761748</v>
      </c>
      <c r="BI2546">
        <v>76534.118550761748</v>
      </c>
      <c r="BJ2546">
        <v>5357.3882985533228</v>
      </c>
      <c r="BK2546">
        <v>81891.506849315076</v>
      </c>
      <c r="BL2546" t="s">
        <v>242</v>
      </c>
      <c r="BM2546">
        <v>2</v>
      </c>
      <c r="BN2546">
        <v>3000</v>
      </c>
      <c r="BO2546">
        <v>0</v>
      </c>
      <c r="BP2546">
        <v>0</v>
      </c>
      <c r="BQ2546">
        <v>196.26168224299067</v>
      </c>
      <c r="BR2546" t="s">
        <v>58</v>
      </c>
    </row>
    <row r="2547" spans="1:70" x14ac:dyDescent="0.3">
      <c r="A2547" t="s">
        <v>798</v>
      </c>
      <c r="B2547">
        <v>52200644</v>
      </c>
      <c r="C2547">
        <v>25645406</v>
      </c>
      <c r="D2547" t="s">
        <v>662</v>
      </c>
      <c r="E2547" t="s">
        <v>438</v>
      </c>
      <c r="F2547" t="s">
        <v>431</v>
      </c>
      <c r="G2547" t="s">
        <v>230</v>
      </c>
      <c r="H2547" t="s">
        <v>231</v>
      </c>
      <c r="J2547" t="s">
        <v>52</v>
      </c>
      <c r="K2547" s="15">
        <v>1000</v>
      </c>
      <c r="M2547">
        <v>45384</v>
      </c>
      <c r="N2547" t="s">
        <v>1013</v>
      </c>
      <c r="O2547">
        <v>2911.6668810464571</v>
      </c>
      <c r="P2547">
        <v>0</v>
      </c>
      <c r="Q2547">
        <v>0</v>
      </c>
      <c r="R2547">
        <v>0</v>
      </c>
      <c r="S2547">
        <v>0</v>
      </c>
      <c r="T2547">
        <v>34101.245905564057</v>
      </c>
      <c r="U2547">
        <v>0</v>
      </c>
      <c r="V2547">
        <v>0</v>
      </c>
      <c r="W2547">
        <v>78504.672897196258</v>
      </c>
      <c r="X2547">
        <v>0</v>
      </c>
      <c r="Y2547">
        <v>115517.58568380677</v>
      </c>
      <c r="Z2547">
        <v>7882.4143161932225</v>
      </c>
      <c r="AA2547">
        <v>123400</v>
      </c>
      <c r="AB2547" t="s">
        <v>242</v>
      </c>
      <c r="AC2547">
        <v>4</v>
      </c>
      <c r="AD2547">
        <v>6000</v>
      </c>
      <c r="AE2547">
        <v>0</v>
      </c>
      <c r="AF2547">
        <v>0</v>
      </c>
      <c r="AG2547">
        <v>385.56789036377165</v>
      </c>
      <c r="AH2547" t="s">
        <v>58</v>
      </c>
      <c r="AK2547" t="s">
        <v>798</v>
      </c>
      <c r="AL2547">
        <v>52201351</v>
      </c>
      <c r="AM2547">
        <v>22940816</v>
      </c>
      <c r="AN2547" t="s">
        <v>155</v>
      </c>
      <c r="AO2547" t="s">
        <v>438</v>
      </c>
      <c r="AP2547" t="s">
        <v>431</v>
      </c>
      <c r="AQ2547" t="s">
        <v>82</v>
      </c>
      <c r="AR2547" t="s">
        <v>83</v>
      </c>
      <c r="AT2547" t="s">
        <v>52</v>
      </c>
      <c r="AU2547">
        <v>800</v>
      </c>
      <c r="AW2547">
        <v>45384</v>
      </c>
      <c r="AX2547" t="s">
        <v>1013</v>
      </c>
      <c r="AY2547">
        <v>0</v>
      </c>
      <c r="AZ2547">
        <v>0</v>
      </c>
      <c r="BA2547">
        <v>0</v>
      </c>
      <c r="BB2547">
        <v>736.55089159742079</v>
      </c>
      <c r="BC2547">
        <v>13767.874724415929</v>
      </c>
      <c r="BD2547">
        <v>0</v>
      </c>
      <c r="BE2547">
        <v>0</v>
      </c>
      <c r="BF2547">
        <v>73829.741339665459</v>
      </c>
      <c r="BG2547">
        <v>0</v>
      </c>
      <c r="BH2547">
        <v>0</v>
      </c>
      <c r="BI2547">
        <v>88334.166955678811</v>
      </c>
      <c r="BJ2547">
        <v>6131.8331244856981</v>
      </c>
      <c r="BK2547">
        <v>94466.000080164507</v>
      </c>
      <c r="BL2547" t="s">
        <v>242</v>
      </c>
      <c r="BM2547">
        <v>26</v>
      </c>
      <c r="BN2547">
        <v>18400</v>
      </c>
      <c r="BO2547">
        <v>0</v>
      </c>
      <c r="BP2547">
        <v>0</v>
      </c>
      <c r="BQ2547">
        <v>1193.6341704783358</v>
      </c>
      <c r="BR2547" t="s">
        <v>58</v>
      </c>
    </row>
    <row r="2548" spans="1:70" x14ac:dyDescent="0.3">
      <c r="A2548" t="s">
        <v>798</v>
      </c>
      <c r="B2548">
        <v>52201226</v>
      </c>
      <c r="C2548">
        <v>25511663</v>
      </c>
      <c r="D2548" t="s">
        <v>667</v>
      </c>
      <c r="E2548" t="s">
        <v>438</v>
      </c>
      <c r="F2548" t="s">
        <v>431</v>
      </c>
      <c r="G2548" t="s">
        <v>235</v>
      </c>
      <c r="H2548" t="s">
        <v>236</v>
      </c>
      <c r="J2548" t="s">
        <v>52</v>
      </c>
      <c r="K2548" s="15">
        <v>3000</v>
      </c>
      <c r="M2548">
        <v>45384</v>
      </c>
      <c r="N2548" t="s">
        <v>1013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209542.05607476638</v>
      </c>
      <c r="W2548">
        <v>0</v>
      </c>
      <c r="X2548">
        <v>0</v>
      </c>
      <c r="Y2548">
        <v>209542.05607476638</v>
      </c>
      <c r="Z2548">
        <v>14667.943925233649</v>
      </c>
      <c r="AA2548">
        <v>224210.00000000003</v>
      </c>
      <c r="AB2548" t="s">
        <v>242</v>
      </c>
      <c r="AC2548">
        <v>3</v>
      </c>
      <c r="AD2548">
        <v>7000</v>
      </c>
      <c r="AE2548">
        <v>0</v>
      </c>
      <c r="AF2548">
        <v>0</v>
      </c>
      <c r="AG2548">
        <v>457.09256556729224</v>
      </c>
      <c r="AH2548" t="s">
        <v>58</v>
      </c>
      <c r="AK2548" t="s">
        <v>798</v>
      </c>
      <c r="AL2548">
        <v>52200644</v>
      </c>
      <c r="AM2548">
        <v>25645406</v>
      </c>
      <c r="AN2548" t="s">
        <v>662</v>
      </c>
      <c r="AO2548" t="s">
        <v>438</v>
      </c>
      <c r="AP2548" t="s">
        <v>431</v>
      </c>
      <c r="AQ2548" t="s">
        <v>230</v>
      </c>
      <c r="AR2548" t="s">
        <v>231</v>
      </c>
      <c r="AT2548" t="s">
        <v>52</v>
      </c>
      <c r="AU2548">
        <v>1000</v>
      </c>
      <c r="AW2548">
        <v>45384</v>
      </c>
      <c r="AX2548" t="s">
        <v>1013</v>
      </c>
      <c r="AY2548">
        <v>2911.6668810464571</v>
      </c>
      <c r="AZ2548">
        <v>0</v>
      </c>
      <c r="BA2548">
        <v>0</v>
      </c>
      <c r="BB2548">
        <v>0</v>
      </c>
      <c r="BC2548">
        <v>0</v>
      </c>
      <c r="BD2548">
        <v>34101.245905564057</v>
      </c>
      <c r="BE2548">
        <v>0</v>
      </c>
      <c r="BF2548">
        <v>0</v>
      </c>
      <c r="BG2548">
        <v>78504.672897196258</v>
      </c>
      <c r="BH2548">
        <v>0</v>
      </c>
      <c r="BI2548">
        <v>115517.58568380677</v>
      </c>
      <c r="BJ2548">
        <v>7882.4143161932225</v>
      </c>
      <c r="BK2548">
        <v>123400</v>
      </c>
      <c r="BL2548" t="s">
        <v>242</v>
      </c>
      <c r="BM2548">
        <v>4</v>
      </c>
      <c r="BN2548">
        <v>6000</v>
      </c>
      <c r="BO2548">
        <v>0</v>
      </c>
      <c r="BP2548">
        <v>0</v>
      </c>
      <c r="BQ2548">
        <v>385.56789036377165</v>
      </c>
      <c r="BR2548" t="s">
        <v>58</v>
      </c>
    </row>
    <row r="2549" spans="1:70" x14ac:dyDescent="0.3">
      <c r="A2549" t="s">
        <v>798</v>
      </c>
      <c r="B2549">
        <v>52201351</v>
      </c>
      <c r="C2549">
        <v>22940816</v>
      </c>
      <c r="D2549" t="s">
        <v>155</v>
      </c>
      <c r="E2549" t="s">
        <v>438</v>
      </c>
      <c r="F2549" t="s">
        <v>431</v>
      </c>
      <c r="G2549" t="s">
        <v>82</v>
      </c>
      <c r="H2549" t="s">
        <v>83</v>
      </c>
      <c r="J2549" t="s">
        <v>52</v>
      </c>
      <c r="K2549" s="15">
        <v>800</v>
      </c>
      <c r="M2549">
        <v>45384</v>
      </c>
      <c r="N2549" t="s">
        <v>1013</v>
      </c>
      <c r="O2549">
        <v>0</v>
      </c>
      <c r="P2549">
        <v>0</v>
      </c>
      <c r="Q2549">
        <v>0</v>
      </c>
      <c r="R2549">
        <v>736.55089159742079</v>
      </c>
      <c r="S2549">
        <v>13767.874724415929</v>
      </c>
      <c r="T2549">
        <v>0</v>
      </c>
      <c r="U2549">
        <v>0</v>
      </c>
      <c r="V2549">
        <v>73829.741339665459</v>
      </c>
      <c r="W2549">
        <v>0</v>
      </c>
      <c r="X2549">
        <v>0</v>
      </c>
      <c r="Y2549">
        <v>88334.166955678811</v>
      </c>
      <c r="Z2549">
        <v>6131.8331244856981</v>
      </c>
      <c r="AA2549">
        <v>94466.000080164507</v>
      </c>
      <c r="AB2549" t="s">
        <v>242</v>
      </c>
      <c r="AC2549">
        <v>26</v>
      </c>
      <c r="AD2549">
        <v>18400</v>
      </c>
      <c r="AE2549">
        <v>0</v>
      </c>
      <c r="AF2549">
        <v>0</v>
      </c>
      <c r="AG2549">
        <v>1193.6341704783358</v>
      </c>
      <c r="AH2549" t="s">
        <v>58</v>
      </c>
      <c r="AK2549" t="s">
        <v>798</v>
      </c>
      <c r="AL2549">
        <v>52201226</v>
      </c>
      <c r="AM2549">
        <v>25511663</v>
      </c>
      <c r="AN2549" t="s">
        <v>667</v>
      </c>
      <c r="AO2549" t="s">
        <v>438</v>
      </c>
      <c r="AP2549" t="s">
        <v>431</v>
      </c>
      <c r="AQ2549" t="s">
        <v>235</v>
      </c>
      <c r="AR2549" t="s">
        <v>236</v>
      </c>
      <c r="AT2549" t="s">
        <v>52</v>
      </c>
      <c r="AU2549">
        <v>3000</v>
      </c>
      <c r="AW2549">
        <v>45384</v>
      </c>
      <c r="AX2549" t="s">
        <v>1013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209542.05607476638</v>
      </c>
      <c r="BG2549">
        <v>0</v>
      </c>
      <c r="BH2549">
        <v>0</v>
      </c>
      <c r="BI2549">
        <v>209542.05607476638</v>
      </c>
      <c r="BJ2549">
        <v>14667.943925233649</v>
      </c>
      <c r="BK2549">
        <v>224210.00000000003</v>
      </c>
      <c r="BL2549" t="s">
        <v>242</v>
      </c>
      <c r="BM2549">
        <v>3</v>
      </c>
      <c r="BN2549">
        <v>7000</v>
      </c>
      <c r="BO2549">
        <v>0</v>
      </c>
      <c r="BP2549">
        <v>0</v>
      </c>
      <c r="BQ2549">
        <v>457.09256556729224</v>
      </c>
      <c r="BR2549" t="s">
        <v>58</v>
      </c>
    </row>
    <row r="2550" spans="1:70" x14ac:dyDescent="0.3">
      <c r="A2550" t="s">
        <v>798</v>
      </c>
      <c r="B2550">
        <v>82200022</v>
      </c>
      <c r="C2550">
        <v>901020021502</v>
      </c>
      <c r="D2550" t="s">
        <v>996</v>
      </c>
      <c r="E2550" t="s">
        <v>440</v>
      </c>
      <c r="F2550" t="s">
        <v>433</v>
      </c>
      <c r="G2550" t="s">
        <v>82</v>
      </c>
      <c r="H2550" t="s">
        <v>83</v>
      </c>
      <c r="J2550" t="s">
        <v>52</v>
      </c>
      <c r="K2550" s="15">
        <v>25000</v>
      </c>
      <c r="M2550">
        <v>45384</v>
      </c>
      <c r="N2550" t="s">
        <v>1029</v>
      </c>
      <c r="O2550">
        <v>0</v>
      </c>
      <c r="P2550">
        <v>0</v>
      </c>
      <c r="Q2550">
        <v>123740.93614834435</v>
      </c>
      <c r="R2550">
        <v>2328.7600000000002</v>
      </c>
      <c r="S2550">
        <v>54995.084721173494</v>
      </c>
      <c r="T2550">
        <v>0</v>
      </c>
      <c r="U2550">
        <v>0</v>
      </c>
      <c r="V2550">
        <v>1848413.79</v>
      </c>
      <c r="W2550">
        <v>0</v>
      </c>
      <c r="X2550">
        <v>0</v>
      </c>
      <c r="Y2550">
        <v>2029478.570869518</v>
      </c>
      <c r="Z2550">
        <v>133238.62123048215</v>
      </c>
      <c r="AA2550">
        <v>2162717.1921000001</v>
      </c>
      <c r="AB2550" t="s">
        <v>242</v>
      </c>
      <c r="AC2550">
        <v>5</v>
      </c>
      <c r="AD2550">
        <v>141000</v>
      </c>
      <c r="AE2550">
        <v>0</v>
      </c>
      <c r="AF2550">
        <v>0</v>
      </c>
      <c r="AG2550">
        <v>8649.7008695178574</v>
      </c>
      <c r="AH2550" t="s">
        <v>58</v>
      </c>
      <c r="AK2550" t="s">
        <v>798</v>
      </c>
      <c r="AL2550">
        <v>82200022</v>
      </c>
      <c r="AM2550">
        <v>901020021502</v>
      </c>
      <c r="AN2550" t="s">
        <v>996</v>
      </c>
      <c r="AO2550" t="s">
        <v>440</v>
      </c>
      <c r="AP2550" t="s">
        <v>433</v>
      </c>
      <c r="AQ2550" t="s">
        <v>82</v>
      </c>
      <c r="AR2550" t="s">
        <v>83</v>
      </c>
      <c r="AT2550" t="s">
        <v>52</v>
      </c>
      <c r="AU2550">
        <v>25000</v>
      </c>
      <c r="AW2550">
        <v>45384</v>
      </c>
      <c r="AX2550" t="s">
        <v>1029</v>
      </c>
      <c r="AY2550">
        <v>0</v>
      </c>
      <c r="AZ2550">
        <v>0</v>
      </c>
      <c r="BA2550">
        <v>123740.93614834435</v>
      </c>
      <c r="BB2550">
        <v>2328.7600000000002</v>
      </c>
      <c r="BC2550">
        <v>54995.084721173494</v>
      </c>
      <c r="BD2550">
        <v>0</v>
      </c>
      <c r="BE2550">
        <v>0</v>
      </c>
      <c r="BF2550">
        <v>1848413.79</v>
      </c>
      <c r="BG2550">
        <v>0</v>
      </c>
      <c r="BH2550">
        <v>0</v>
      </c>
      <c r="BI2550">
        <v>2029478.570869518</v>
      </c>
      <c r="BJ2550">
        <v>133238.62123048215</v>
      </c>
      <c r="BK2550">
        <v>2162717.1921000001</v>
      </c>
      <c r="BL2550" t="s">
        <v>242</v>
      </c>
      <c r="BM2550">
        <v>5</v>
      </c>
      <c r="BN2550">
        <v>141000</v>
      </c>
      <c r="BO2550">
        <v>0</v>
      </c>
      <c r="BP2550">
        <v>0</v>
      </c>
      <c r="BQ2550">
        <v>8649.7008695178574</v>
      </c>
      <c r="BR2550" t="s">
        <v>58</v>
      </c>
    </row>
    <row r="2551" spans="1:70" x14ac:dyDescent="0.3">
      <c r="A2551" t="s">
        <v>798</v>
      </c>
      <c r="B2551">
        <v>4132301757</v>
      </c>
      <c r="C2551" t="s">
        <v>687</v>
      </c>
      <c r="D2551" t="s">
        <v>960</v>
      </c>
      <c r="E2551" t="s">
        <v>442</v>
      </c>
      <c r="F2551" t="s">
        <v>430</v>
      </c>
      <c r="G2551" t="s">
        <v>230</v>
      </c>
      <c r="H2551" t="s">
        <v>231</v>
      </c>
      <c r="J2551" t="s">
        <v>52</v>
      </c>
      <c r="K2551" s="15">
        <v>2000</v>
      </c>
      <c r="M2551">
        <v>45384</v>
      </c>
      <c r="N2551" t="s">
        <v>1013</v>
      </c>
      <c r="O2551">
        <v>0</v>
      </c>
      <c r="P2551">
        <v>21554.543049151849</v>
      </c>
      <c r="Q2551">
        <v>0</v>
      </c>
      <c r="R2551">
        <v>0</v>
      </c>
      <c r="S2551">
        <v>367687.74</v>
      </c>
      <c r="T2551">
        <v>39366.782197054337</v>
      </c>
      <c r="U2551">
        <v>69532.710280373838</v>
      </c>
      <c r="V2551">
        <v>0</v>
      </c>
      <c r="W2551">
        <v>598130.84112149535</v>
      </c>
      <c r="X2551">
        <v>0</v>
      </c>
      <c r="Y2551">
        <v>1096272.6166480754</v>
      </c>
      <c r="Z2551">
        <v>49492.123351924653</v>
      </c>
      <c r="AA2551">
        <v>1145764.74</v>
      </c>
      <c r="AB2551" t="s">
        <v>242</v>
      </c>
      <c r="AC2551">
        <v>6</v>
      </c>
      <c r="AD2551">
        <v>14000</v>
      </c>
      <c r="AE2551">
        <v>0</v>
      </c>
      <c r="AF2551">
        <v>0</v>
      </c>
      <c r="AG2551">
        <v>590.58692844918676</v>
      </c>
      <c r="AH2551" t="s">
        <v>58</v>
      </c>
      <c r="AK2551" t="s">
        <v>798</v>
      </c>
      <c r="AL2551">
        <v>4132301757</v>
      </c>
      <c r="AM2551" t="s">
        <v>687</v>
      </c>
      <c r="AN2551" t="s">
        <v>960</v>
      </c>
      <c r="AO2551" t="s">
        <v>442</v>
      </c>
      <c r="AP2551" t="s">
        <v>430</v>
      </c>
      <c r="AQ2551" t="s">
        <v>230</v>
      </c>
      <c r="AR2551" t="s">
        <v>231</v>
      </c>
      <c r="AT2551" t="s">
        <v>52</v>
      </c>
      <c r="AU2551">
        <v>2000</v>
      </c>
      <c r="AW2551">
        <v>45384</v>
      </c>
      <c r="AX2551" t="s">
        <v>1013</v>
      </c>
      <c r="AY2551">
        <v>0</v>
      </c>
      <c r="AZ2551">
        <v>21554.543049151849</v>
      </c>
      <c r="BA2551">
        <v>0</v>
      </c>
      <c r="BB2551">
        <v>0</v>
      </c>
      <c r="BC2551">
        <v>367687.74</v>
      </c>
      <c r="BD2551">
        <v>39366.782197054337</v>
      </c>
      <c r="BE2551">
        <v>69532.710280373838</v>
      </c>
      <c r="BF2551">
        <v>0</v>
      </c>
      <c r="BG2551">
        <v>598130.84112149535</v>
      </c>
      <c r="BH2551">
        <v>0</v>
      </c>
      <c r="BI2551">
        <v>1096272.6166480754</v>
      </c>
      <c r="BJ2551">
        <v>49492.123351924653</v>
      </c>
      <c r="BK2551">
        <v>1145764.74</v>
      </c>
      <c r="BL2551" t="s">
        <v>242</v>
      </c>
      <c r="BM2551">
        <v>6</v>
      </c>
      <c r="BN2551">
        <v>14000</v>
      </c>
      <c r="BO2551">
        <v>0</v>
      </c>
      <c r="BP2551">
        <v>0</v>
      </c>
      <c r="BQ2551">
        <v>590.58692844918676</v>
      </c>
      <c r="BR2551" t="s">
        <v>58</v>
      </c>
    </row>
    <row r="2552" spans="1:70" x14ac:dyDescent="0.3">
      <c r="A2552" t="s">
        <v>798</v>
      </c>
      <c r="B2552">
        <v>4132301817</v>
      </c>
      <c r="C2552" t="s">
        <v>691</v>
      </c>
      <c r="D2552" t="s">
        <v>944</v>
      </c>
      <c r="E2552" t="s">
        <v>442</v>
      </c>
      <c r="F2552" t="s">
        <v>430</v>
      </c>
      <c r="G2552" t="s">
        <v>230</v>
      </c>
      <c r="H2552" t="s">
        <v>231</v>
      </c>
      <c r="J2552" t="s">
        <v>52</v>
      </c>
      <c r="K2552" s="15">
        <v>5000</v>
      </c>
      <c r="M2552">
        <v>45384</v>
      </c>
      <c r="N2552" t="s">
        <v>1013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324837.41121495329</v>
      </c>
      <c r="X2552">
        <v>0</v>
      </c>
      <c r="Y2552">
        <v>324837.41121495329</v>
      </c>
      <c r="Z2552">
        <v>22738.618785046732</v>
      </c>
      <c r="AA2552">
        <v>347576.03</v>
      </c>
      <c r="AB2552" t="s">
        <v>242</v>
      </c>
      <c r="AC2552">
        <v>4</v>
      </c>
      <c r="AD2552">
        <v>20000</v>
      </c>
      <c r="AE2552">
        <v>0</v>
      </c>
      <c r="AF2552">
        <v>0</v>
      </c>
      <c r="AG2552">
        <v>1308.4112149532702</v>
      </c>
      <c r="AH2552" t="s">
        <v>58</v>
      </c>
      <c r="AK2552" t="s">
        <v>798</v>
      </c>
      <c r="AL2552">
        <v>4132301817</v>
      </c>
      <c r="AM2552" t="s">
        <v>691</v>
      </c>
      <c r="AN2552" t="s">
        <v>944</v>
      </c>
      <c r="AO2552" t="s">
        <v>442</v>
      </c>
      <c r="AP2552" t="s">
        <v>430</v>
      </c>
      <c r="AQ2552" t="s">
        <v>230</v>
      </c>
      <c r="AR2552" t="s">
        <v>231</v>
      </c>
      <c r="AT2552" t="s">
        <v>52</v>
      </c>
      <c r="AU2552">
        <v>5000</v>
      </c>
      <c r="AW2552">
        <v>45384</v>
      </c>
      <c r="AX2552" t="s">
        <v>1013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324837.41121495329</v>
      </c>
      <c r="BH2552">
        <v>0</v>
      </c>
      <c r="BI2552">
        <v>324837.41121495329</v>
      </c>
      <c r="BJ2552">
        <v>22738.618785046732</v>
      </c>
      <c r="BK2552">
        <v>347576.03</v>
      </c>
      <c r="BL2552" t="s">
        <v>242</v>
      </c>
      <c r="BM2552">
        <v>4</v>
      </c>
      <c r="BN2552">
        <v>20000</v>
      </c>
      <c r="BO2552">
        <v>0</v>
      </c>
      <c r="BP2552">
        <v>0</v>
      </c>
      <c r="BQ2552">
        <v>1308.4112149532702</v>
      </c>
      <c r="BR2552" t="s">
        <v>58</v>
      </c>
    </row>
    <row r="2553" spans="1:70" x14ac:dyDescent="0.3">
      <c r="A2553" t="s">
        <v>798</v>
      </c>
      <c r="B2553">
        <v>4142301290</v>
      </c>
      <c r="C2553">
        <v>10276970</v>
      </c>
      <c r="D2553" t="s">
        <v>751</v>
      </c>
      <c r="E2553" t="s">
        <v>446</v>
      </c>
      <c r="F2553" t="s">
        <v>430</v>
      </c>
      <c r="G2553" t="s">
        <v>230</v>
      </c>
      <c r="H2553" t="s">
        <v>234</v>
      </c>
      <c r="J2553" t="s">
        <v>52</v>
      </c>
      <c r="K2553" s="15">
        <v>8000</v>
      </c>
      <c r="M2553">
        <v>45384</v>
      </c>
      <c r="N2553" t="s">
        <v>1013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543536.91327102797</v>
      </c>
      <c r="Y2553">
        <v>543536.91327102797</v>
      </c>
      <c r="Z2553">
        <v>38047.583928971959</v>
      </c>
      <c r="AA2553">
        <v>581584.49719999987</v>
      </c>
      <c r="AB2553" t="s">
        <v>242</v>
      </c>
      <c r="AC2553">
        <v>3</v>
      </c>
      <c r="AD2553">
        <v>24000</v>
      </c>
      <c r="AE2553">
        <v>0</v>
      </c>
      <c r="AF2553">
        <v>0</v>
      </c>
      <c r="AG2553">
        <v>1570.0934579439254</v>
      </c>
      <c r="AH2553" t="s">
        <v>58</v>
      </c>
      <c r="AK2553" t="s">
        <v>798</v>
      </c>
      <c r="AL2553">
        <v>4142301290</v>
      </c>
      <c r="AM2553">
        <v>10276970</v>
      </c>
      <c r="AN2553" t="s">
        <v>751</v>
      </c>
      <c r="AO2553" t="s">
        <v>446</v>
      </c>
      <c r="AP2553" t="s">
        <v>430</v>
      </c>
      <c r="AQ2553" t="s">
        <v>230</v>
      </c>
      <c r="AR2553" t="s">
        <v>234</v>
      </c>
      <c r="AT2553" t="s">
        <v>52</v>
      </c>
      <c r="AU2553">
        <v>8000</v>
      </c>
      <c r="AW2553">
        <v>45384</v>
      </c>
      <c r="AX2553" t="s">
        <v>1013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543536.91327102797</v>
      </c>
      <c r="BI2553">
        <v>543536.91327102797</v>
      </c>
      <c r="BJ2553">
        <v>38047.583928971959</v>
      </c>
      <c r="BK2553">
        <v>581584.49719999987</v>
      </c>
      <c r="BL2553" t="s">
        <v>242</v>
      </c>
      <c r="BM2553">
        <v>3</v>
      </c>
      <c r="BN2553">
        <v>24000</v>
      </c>
      <c r="BO2553">
        <v>0</v>
      </c>
      <c r="BP2553">
        <v>0</v>
      </c>
      <c r="BQ2553">
        <v>1570.0934579439254</v>
      </c>
      <c r="BR2553" t="s">
        <v>58</v>
      </c>
    </row>
    <row r="2554" spans="1:70" x14ac:dyDescent="0.3">
      <c r="A2554" t="s">
        <v>798</v>
      </c>
      <c r="B2554">
        <v>4142301423</v>
      </c>
      <c r="C2554">
        <v>10476549</v>
      </c>
      <c r="D2554" t="s">
        <v>217</v>
      </c>
      <c r="E2554" t="s">
        <v>446</v>
      </c>
      <c r="F2554" t="s">
        <v>430</v>
      </c>
      <c r="G2554" t="s">
        <v>230</v>
      </c>
      <c r="H2554" t="s">
        <v>234</v>
      </c>
      <c r="J2554" t="s">
        <v>52</v>
      </c>
      <c r="K2554" s="15">
        <v>4000</v>
      </c>
      <c r="M2554">
        <v>45384</v>
      </c>
      <c r="N2554" t="s">
        <v>1013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232807.06695685571</v>
      </c>
      <c r="Y2554">
        <v>232807.06695685571</v>
      </c>
      <c r="Z2554">
        <v>16296.494686979901</v>
      </c>
      <c r="AA2554">
        <v>249103.56164383559</v>
      </c>
      <c r="AB2554" t="s">
        <v>242</v>
      </c>
      <c r="AC2554">
        <v>4</v>
      </c>
      <c r="AD2554">
        <v>16000</v>
      </c>
      <c r="AE2554">
        <v>0</v>
      </c>
      <c r="AF2554">
        <v>0</v>
      </c>
      <c r="AG2554">
        <v>1046.7289719626169</v>
      </c>
      <c r="AH2554" t="s">
        <v>58</v>
      </c>
      <c r="AK2554" t="s">
        <v>798</v>
      </c>
      <c r="AL2554">
        <v>4142301423</v>
      </c>
      <c r="AM2554">
        <v>10476549</v>
      </c>
      <c r="AN2554" t="s">
        <v>217</v>
      </c>
      <c r="AO2554" t="s">
        <v>446</v>
      </c>
      <c r="AP2554" t="s">
        <v>430</v>
      </c>
      <c r="AQ2554" t="s">
        <v>230</v>
      </c>
      <c r="AR2554" t="s">
        <v>234</v>
      </c>
      <c r="AT2554" t="s">
        <v>52</v>
      </c>
      <c r="AU2554">
        <v>4000</v>
      </c>
      <c r="AW2554">
        <v>45384</v>
      </c>
      <c r="AX2554" t="s">
        <v>1013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232807.06695685571</v>
      </c>
      <c r="BI2554">
        <v>232807.06695685571</v>
      </c>
      <c r="BJ2554">
        <v>16296.494686979901</v>
      </c>
      <c r="BK2554">
        <v>249103.56164383559</v>
      </c>
      <c r="BL2554" t="s">
        <v>242</v>
      </c>
      <c r="BM2554">
        <v>4</v>
      </c>
      <c r="BN2554">
        <v>16000</v>
      </c>
      <c r="BO2554">
        <v>0</v>
      </c>
      <c r="BP2554">
        <v>0</v>
      </c>
      <c r="BQ2554">
        <v>1046.7289719626169</v>
      </c>
      <c r="BR2554" t="s">
        <v>58</v>
      </c>
    </row>
    <row r="2555" spans="1:70" x14ac:dyDescent="0.3">
      <c r="A2555" t="s">
        <v>798</v>
      </c>
      <c r="B2555">
        <v>4312300012</v>
      </c>
      <c r="C2555" t="s">
        <v>61</v>
      </c>
      <c r="D2555" t="s">
        <v>963</v>
      </c>
      <c r="E2555" t="s">
        <v>448</v>
      </c>
      <c r="F2555" t="s">
        <v>433</v>
      </c>
      <c r="G2555" t="s">
        <v>82</v>
      </c>
      <c r="H2555" t="s">
        <v>71</v>
      </c>
      <c r="J2555" t="s">
        <v>52</v>
      </c>
      <c r="K2555" s="15">
        <v>25000</v>
      </c>
      <c r="M2555">
        <v>45384</v>
      </c>
      <c r="N2555" t="s">
        <v>1029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1758789.9813084113</v>
      </c>
      <c r="Y2555">
        <v>1758789.9813084113</v>
      </c>
      <c r="Z2555">
        <v>123115.2986915888</v>
      </c>
      <c r="AA2555">
        <v>1881905.2800000003</v>
      </c>
      <c r="AB2555" t="s">
        <v>242</v>
      </c>
      <c r="AC2555">
        <v>13</v>
      </c>
      <c r="AD2555">
        <v>230165</v>
      </c>
      <c r="AE2555">
        <v>0</v>
      </c>
      <c r="AF2555">
        <v>0</v>
      </c>
      <c r="AG2555">
        <v>15057.523364485982</v>
      </c>
      <c r="AH2555" t="s">
        <v>58</v>
      </c>
      <c r="AK2555" t="s">
        <v>798</v>
      </c>
      <c r="AL2555">
        <v>4312300012</v>
      </c>
      <c r="AM2555" t="s">
        <v>61</v>
      </c>
      <c r="AN2555" t="s">
        <v>963</v>
      </c>
      <c r="AO2555" t="s">
        <v>448</v>
      </c>
      <c r="AP2555" t="s">
        <v>433</v>
      </c>
      <c r="AQ2555" t="s">
        <v>82</v>
      </c>
      <c r="AR2555" t="s">
        <v>71</v>
      </c>
      <c r="AT2555" t="s">
        <v>52</v>
      </c>
      <c r="AU2555">
        <v>25000</v>
      </c>
      <c r="AW2555">
        <v>45384</v>
      </c>
      <c r="AX2555" t="s">
        <v>1029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1758789.9813084113</v>
      </c>
      <c r="BI2555">
        <v>1758789.9813084113</v>
      </c>
      <c r="BJ2555">
        <v>123115.2986915888</v>
      </c>
      <c r="BK2555">
        <v>1881905.2800000003</v>
      </c>
      <c r="BL2555" t="s">
        <v>242</v>
      </c>
      <c r="BM2555">
        <v>13</v>
      </c>
      <c r="BN2555">
        <v>230165</v>
      </c>
      <c r="BO2555">
        <v>0</v>
      </c>
      <c r="BP2555">
        <v>0</v>
      </c>
      <c r="BQ2555">
        <v>15057.523364485982</v>
      </c>
      <c r="BR2555" t="s">
        <v>58</v>
      </c>
    </row>
    <row r="2556" spans="1:70" x14ac:dyDescent="0.3">
      <c r="A2556" t="s">
        <v>798</v>
      </c>
      <c r="B2556">
        <v>62200043</v>
      </c>
      <c r="C2556">
        <v>26069838</v>
      </c>
      <c r="D2556" t="s">
        <v>769</v>
      </c>
      <c r="E2556" t="s">
        <v>435</v>
      </c>
      <c r="F2556" t="s">
        <v>432</v>
      </c>
      <c r="G2556" t="s">
        <v>82</v>
      </c>
      <c r="H2556" t="s">
        <v>82</v>
      </c>
      <c r="J2556" t="s">
        <v>52</v>
      </c>
      <c r="K2556" s="15">
        <v>4500</v>
      </c>
      <c r="M2556">
        <v>45385</v>
      </c>
      <c r="N2556" t="s">
        <v>1029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29294.465753424658</v>
      </c>
      <c r="W2556">
        <v>0</v>
      </c>
      <c r="X2556">
        <v>0</v>
      </c>
      <c r="Y2556">
        <v>29294.465753424658</v>
      </c>
      <c r="Z2556">
        <v>0</v>
      </c>
      <c r="AA2556">
        <v>29294.465753424658</v>
      </c>
      <c r="AB2556" t="s">
        <v>242</v>
      </c>
      <c r="AC2556">
        <v>2</v>
      </c>
      <c r="AD2556">
        <v>9000</v>
      </c>
      <c r="AE2556">
        <v>0</v>
      </c>
      <c r="AF2556">
        <v>0</v>
      </c>
      <c r="AG2556">
        <v>0</v>
      </c>
      <c r="AH2556" t="s">
        <v>58</v>
      </c>
      <c r="AK2556" t="s">
        <v>798</v>
      </c>
      <c r="AL2556">
        <v>4132301706</v>
      </c>
      <c r="AM2556" t="s">
        <v>683</v>
      </c>
      <c r="AN2556" t="s">
        <v>980</v>
      </c>
      <c r="AO2556" t="s">
        <v>442</v>
      </c>
      <c r="AP2556" t="s">
        <v>430</v>
      </c>
      <c r="AQ2556" t="s">
        <v>230</v>
      </c>
      <c r="AR2556" t="s">
        <v>231</v>
      </c>
      <c r="AT2556" t="s">
        <v>52</v>
      </c>
      <c r="AU2556">
        <v>3000</v>
      </c>
      <c r="AW2556">
        <v>45385</v>
      </c>
      <c r="AX2556" t="s">
        <v>1013</v>
      </c>
      <c r="AY2556">
        <v>0</v>
      </c>
      <c r="AZ2556">
        <v>13685.395740616621</v>
      </c>
      <c r="BA2556">
        <v>0</v>
      </c>
      <c r="BB2556">
        <v>0</v>
      </c>
      <c r="BC2556">
        <v>12681.38</v>
      </c>
      <c r="BD2556">
        <v>6221.7236069003684</v>
      </c>
      <c r="BE2556">
        <v>42056.074766355137</v>
      </c>
      <c r="BF2556">
        <v>0</v>
      </c>
      <c r="BG2556">
        <v>299065.42056074768</v>
      </c>
      <c r="BH2556">
        <v>0</v>
      </c>
      <c r="BI2556">
        <v>373709.99467461981</v>
      </c>
      <c r="BJ2556">
        <v>24314.025325380226</v>
      </c>
      <c r="BK2556">
        <v>398024.02</v>
      </c>
      <c r="BL2556" t="s">
        <v>242</v>
      </c>
      <c r="BM2556">
        <v>3</v>
      </c>
      <c r="BN2556">
        <v>9000</v>
      </c>
      <c r="BO2556">
        <v>0</v>
      </c>
      <c r="BP2556">
        <v>0</v>
      </c>
      <c r="BQ2556">
        <v>547.20345966650802</v>
      </c>
      <c r="BR2556" t="s">
        <v>58</v>
      </c>
    </row>
    <row r="2557" spans="1:70" x14ac:dyDescent="0.3">
      <c r="A2557" t="s">
        <v>798</v>
      </c>
      <c r="B2557">
        <v>4132301706</v>
      </c>
      <c r="C2557" t="s">
        <v>683</v>
      </c>
      <c r="D2557" t="s">
        <v>980</v>
      </c>
      <c r="E2557" t="s">
        <v>442</v>
      </c>
      <c r="F2557" t="s">
        <v>430</v>
      </c>
      <c r="G2557" t="s">
        <v>230</v>
      </c>
      <c r="H2557" t="s">
        <v>231</v>
      </c>
      <c r="J2557" t="s">
        <v>52</v>
      </c>
      <c r="K2557" s="15">
        <v>3000</v>
      </c>
      <c r="M2557">
        <v>45385</v>
      </c>
      <c r="N2557" t="s">
        <v>1013</v>
      </c>
      <c r="O2557">
        <v>0</v>
      </c>
      <c r="P2557">
        <v>13685.395740616621</v>
      </c>
      <c r="Q2557">
        <v>0</v>
      </c>
      <c r="R2557">
        <v>0</v>
      </c>
      <c r="S2557">
        <v>12681.38</v>
      </c>
      <c r="T2557">
        <v>6221.7236069003684</v>
      </c>
      <c r="U2557">
        <v>42056.074766355137</v>
      </c>
      <c r="V2557">
        <v>0</v>
      </c>
      <c r="W2557">
        <v>299065.42056074768</v>
      </c>
      <c r="X2557">
        <v>0</v>
      </c>
      <c r="Y2557">
        <v>373709.99467461981</v>
      </c>
      <c r="Z2557">
        <v>24314.025325380226</v>
      </c>
      <c r="AA2557">
        <v>398024.02</v>
      </c>
      <c r="AB2557" t="s">
        <v>242</v>
      </c>
      <c r="AC2557">
        <v>3</v>
      </c>
      <c r="AD2557">
        <v>9000</v>
      </c>
      <c r="AE2557">
        <v>0</v>
      </c>
      <c r="AF2557">
        <v>0</v>
      </c>
      <c r="AG2557">
        <v>547.20345966650802</v>
      </c>
      <c r="AH2557" t="s">
        <v>58</v>
      </c>
      <c r="AK2557" t="s">
        <v>798</v>
      </c>
      <c r="AL2557">
        <v>4142301174</v>
      </c>
      <c r="AM2557">
        <v>10037140</v>
      </c>
      <c r="AN2557" t="s">
        <v>772</v>
      </c>
      <c r="AO2557" t="s">
        <v>446</v>
      </c>
      <c r="AP2557" t="s">
        <v>430</v>
      </c>
      <c r="AQ2557" t="s">
        <v>230</v>
      </c>
      <c r="AR2557" t="s">
        <v>234</v>
      </c>
      <c r="AT2557" t="s">
        <v>52</v>
      </c>
      <c r="AU2557">
        <v>9000</v>
      </c>
      <c r="AW2557">
        <v>45385</v>
      </c>
      <c r="AX2557" t="s">
        <v>1013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252479.43925233645</v>
      </c>
      <c r="BI2557">
        <v>252479.43925233645</v>
      </c>
      <c r="BJ2557">
        <v>17673.560747663552</v>
      </c>
      <c r="BK2557">
        <v>270153</v>
      </c>
      <c r="BL2557" t="s">
        <v>242</v>
      </c>
      <c r="BM2557">
        <v>2</v>
      </c>
      <c r="BN2557">
        <v>42000</v>
      </c>
      <c r="BO2557">
        <v>0</v>
      </c>
      <c r="BP2557">
        <v>0</v>
      </c>
      <c r="BQ2557">
        <v>2747.6635514018708</v>
      </c>
      <c r="BR2557" t="s">
        <v>58</v>
      </c>
    </row>
    <row r="2558" spans="1:70" x14ac:dyDescent="0.3">
      <c r="A2558" t="s">
        <v>798</v>
      </c>
      <c r="B2558">
        <v>4142301174</v>
      </c>
      <c r="C2558">
        <v>10037140</v>
      </c>
      <c r="D2558" t="s">
        <v>772</v>
      </c>
      <c r="E2558" t="s">
        <v>446</v>
      </c>
      <c r="F2558" t="s">
        <v>430</v>
      </c>
      <c r="G2558" t="s">
        <v>230</v>
      </c>
      <c r="H2558" t="s">
        <v>234</v>
      </c>
      <c r="J2558" t="s">
        <v>52</v>
      </c>
      <c r="K2558" s="15">
        <v>9000</v>
      </c>
      <c r="M2558">
        <v>45385</v>
      </c>
      <c r="N2558" t="s">
        <v>1013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252479.43925233645</v>
      </c>
      <c r="Y2558">
        <v>252479.43925233645</v>
      </c>
      <c r="Z2558">
        <v>17673.560747663552</v>
      </c>
      <c r="AA2558">
        <v>270153</v>
      </c>
      <c r="AB2558" t="s">
        <v>242</v>
      </c>
      <c r="AC2558">
        <v>2</v>
      </c>
      <c r="AD2558">
        <v>42000</v>
      </c>
      <c r="AE2558">
        <v>0</v>
      </c>
      <c r="AF2558">
        <v>0</v>
      </c>
      <c r="AG2558">
        <v>2747.6635514018708</v>
      </c>
      <c r="AH2558" t="s">
        <v>58</v>
      </c>
      <c r="AK2558" t="s">
        <v>798</v>
      </c>
      <c r="AL2558">
        <v>62200043</v>
      </c>
      <c r="AM2558">
        <v>26069838</v>
      </c>
      <c r="AN2558" t="s">
        <v>769</v>
      </c>
      <c r="AO2558" t="s">
        <v>435</v>
      </c>
      <c r="AP2558" t="s">
        <v>432</v>
      </c>
      <c r="AQ2558" t="s">
        <v>82</v>
      </c>
      <c r="AR2558" t="s">
        <v>82</v>
      </c>
      <c r="AT2558" t="s">
        <v>52</v>
      </c>
      <c r="AU2558">
        <v>4500</v>
      </c>
      <c r="AW2558">
        <v>45385</v>
      </c>
      <c r="AX2558" t="s">
        <v>1029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29294.465753424658</v>
      </c>
      <c r="BG2558">
        <v>0</v>
      </c>
      <c r="BH2558">
        <v>0</v>
      </c>
      <c r="BI2558">
        <v>29294.465753424658</v>
      </c>
      <c r="BJ2558">
        <v>0</v>
      </c>
      <c r="BK2558">
        <v>29294.465753424658</v>
      </c>
      <c r="BL2558" t="s">
        <v>242</v>
      </c>
      <c r="BM2558">
        <v>2</v>
      </c>
      <c r="BN2558">
        <v>9000</v>
      </c>
      <c r="BO2558">
        <v>0</v>
      </c>
      <c r="BP2558">
        <v>0</v>
      </c>
      <c r="BQ2558">
        <v>0</v>
      </c>
      <c r="BR2558" t="s">
        <v>58</v>
      </c>
    </row>
    <row r="2559" spans="1:70" x14ac:dyDescent="0.3">
      <c r="A2559" t="s">
        <v>798</v>
      </c>
      <c r="B2559">
        <v>62200095</v>
      </c>
      <c r="C2559">
        <v>16244612</v>
      </c>
      <c r="D2559" t="s">
        <v>639</v>
      </c>
      <c r="E2559" t="s">
        <v>435</v>
      </c>
      <c r="F2559" t="s">
        <v>432</v>
      </c>
      <c r="G2559" t="s">
        <v>235</v>
      </c>
      <c r="H2559" t="s">
        <v>235</v>
      </c>
      <c r="J2559" t="s">
        <v>52</v>
      </c>
      <c r="K2559" s="15">
        <v>2000</v>
      </c>
      <c r="M2559">
        <v>45386</v>
      </c>
      <c r="N2559" t="s">
        <v>1013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30352.790000000008</v>
      </c>
      <c r="W2559">
        <v>0</v>
      </c>
      <c r="X2559">
        <v>0</v>
      </c>
      <c r="Y2559">
        <v>30352.790000000008</v>
      </c>
      <c r="Z2559">
        <v>0</v>
      </c>
      <c r="AA2559">
        <v>30352.790000000008</v>
      </c>
      <c r="AB2559" t="s">
        <v>242</v>
      </c>
      <c r="AC2559">
        <v>13</v>
      </c>
      <c r="AD2559">
        <v>26000</v>
      </c>
      <c r="AE2559">
        <v>0</v>
      </c>
      <c r="AF2559">
        <v>0</v>
      </c>
      <c r="AG2559">
        <v>0</v>
      </c>
      <c r="AH2559" t="s">
        <v>58</v>
      </c>
      <c r="AK2559" t="s">
        <v>798</v>
      </c>
      <c r="AL2559">
        <v>62200095</v>
      </c>
      <c r="AM2559">
        <v>16244612</v>
      </c>
      <c r="AN2559" t="s">
        <v>639</v>
      </c>
      <c r="AO2559" t="s">
        <v>435</v>
      </c>
      <c r="AP2559" t="s">
        <v>432</v>
      </c>
      <c r="AQ2559" t="s">
        <v>235</v>
      </c>
      <c r="AR2559" t="s">
        <v>235</v>
      </c>
      <c r="AT2559" t="s">
        <v>52</v>
      </c>
      <c r="AU2559">
        <v>2000</v>
      </c>
      <c r="AW2559">
        <v>45386</v>
      </c>
      <c r="AX2559" t="s">
        <v>1013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30352.790000000008</v>
      </c>
      <c r="BG2559">
        <v>0</v>
      </c>
      <c r="BH2559">
        <v>0</v>
      </c>
      <c r="BI2559">
        <v>30352.790000000008</v>
      </c>
      <c r="BJ2559">
        <v>0</v>
      </c>
      <c r="BK2559">
        <v>30352.790000000008</v>
      </c>
      <c r="BL2559" t="s">
        <v>242</v>
      </c>
      <c r="BM2559">
        <v>13</v>
      </c>
      <c r="BN2559">
        <v>26000</v>
      </c>
      <c r="BO2559">
        <v>0</v>
      </c>
      <c r="BP2559">
        <v>0</v>
      </c>
      <c r="BQ2559">
        <v>0</v>
      </c>
      <c r="BR2559" t="s">
        <v>58</v>
      </c>
    </row>
    <row r="2560" spans="1:70" x14ac:dyDescent="0.3">
      <c r="A2560" t="s">
        <v>798</v>
      </c>
      <c r="B2560">
        <v>2200002</v>
      </c>
      <c r="C2560">
        <v>22961666</v>
      </c>
      <c r="D2560" t="s">
        <v>407</v>
      </c>
      <c r="E2560" t="s">
        <v>435</v>
      </c>
      <c r="F2560" t="s">
        <v>426</v>
      </c>
      <c r="G2560" t="s">
        <v>235</v>
      </c>
      <c r="H2560" t="s">
        <v>235</v>
      </c>
      <c r="J2560" t="s">
        <v>52</v>
      </c>
      <c r="K2560" s="15">
        <v>5000</v>
      </c>
      <c r="M2560">
        <v>45387</v>
      </c>
      <c r="N2560" t="s">
        <v>1013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68625</v>
      </c>
      <c r="W2560">
        <v>0</v>
      </c>
      <c r="X2560">
        <v>0</v>
      </c>
      <c r="Y2560">
        <v>68625</v>
      </c>
      <c r="Z2560">
        <v>0</v>
      </c>
      <c r="AA2560">
        <v>68625</v>
      </c>
      <c r="AB2560" t="s">
        <v>242</v>
      </c>
      <c r="AC2560">
        <v>12</v>
      </c>
      <c r="AD2560">
        <v>60000</v>
      </c>
      <c r="AE2560">
        <v>0</v>
      </c>
      <c r="AF2560">
        <v>0</v>
      </c>
      <c r="AG2560">
        <v>0</v>
      </c>
      <c r="AH2560" t="s">
        <v>58</v>
      </c>
      <c r="AK2560" t="s">
        <v>798</v>
      </c>
      <c r="AL2560">
        <v>62200092</v>
      </c>
      <c r="AM2560">
        <v>18575408</v>
      </c>
      <c r="AN2560" t="s">
        <v>658</v>
      </c>
      <c r="AO2560" t="s">
        <v>435</v>
      </c>
      <c r="AP2560" t="s">
        <v>432</v>
      </c>
      <c r="AQ2560" t="s">
        <v>418</v>
      </c>
      <c r="AR2560" t="s">
        <v>235</v>
      </c>
      <c r="AT2560" t="s">
        <v>52</v>
      </c>
      <c r="AU2560">
        <v>30405.74</v>
      </c>
      <c r="AW2560">
        <v>45387</v>
      </c>
      <c r="AX2560" t="s">
        <v>1053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 t="s">
        <v>242</v>
      </c>
      <c r="BM2560">
        <v>11</v>
      </c>
      <c r="BN2560">
        <v>67405.740000000005</v>
      </c>
      <c r="BO2560">
        <v>0</v>
      </c>
      <c r="BP2560">
        <v>0</v>
      </c>
      <c r="BQ2560">
        <v>0</v>
      </c>
      <c r="BR2560" t="s">
        <v>58</v>
      </c>
    </row>
    <row r="2561" spans="1:70" x14ac:dyDescent="0.3">
      <c r="A2561" t="s">
        <v>798</v>
      </c>
      <c r="B2561">
        <v>2200003</v>
      </c>
      <c r="C2561">
        <v>22961796</v>
      </c>
      <c r="D2561" t="s">
        <v>407</v>
      </c>
      <c r="E2561" t="s">
        <v>435</v>
      </c>
      <c r="F2561" t="s">
        <v>426</v>
      </c>
      <c r="G2561" t="s">
        <v>235</v>
      </c>
      <c r="H2561" t="s">
        <v>235</v>
      </c>
      <c r="J2561" t="s">
        <v>52</v>
      </c>
      <c r="K2561" s="15">
        <v>5000</v>
      </c>
      <c r="M2561">
        <v>45387</v>
      </c>
      <c r="N2561" t="s">
        <v>1013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78250</v>
      </c>
      <c r="W2561">
        <v>0</v>
      </c>
      <c r="X2561">
        <v>0</v>
      </c>
      <c r="Y2561">
        <v>78250</v>
      </c>
      <c r="Z2561">
        <v>0</v>
      </c>
      <c r="AA2561">
        <v>78250</v>
      </c>
      <c r="AB2561" t="s">
        <v>242</v>
      </c>
      <c r="AC2561">
        <v>12</v>
      </c>
      <c r="AD2561">
        <v>60000</v>
      </c>
      <c r="AE2561">
        <v>0</v>
      </c>
      <c r="AF2561">
        <v>0</v>
      </c>
      <c r="AG2561">
        <v>0</v>
      </c>
      <c r="AH2561" t="s">
        <v>58</v>
      </c>
      <c r="AK2561" t="s">
        <v>798</v>
      </c>
      <c r="AL2561">
        <v>2200002</v>
      </c>
      <c r="AM2561">
        <v>22961666</v>
      </c>
      <c r="AN2561" t="s">
        <v>407</v>
      </c>
      <c r="AO2561" t="s">
        <v>435</v>
      </c>
      <c r="AP2561" t="s">
        <v>426</v>
      </c>
      <c r="AQ2561" t="s">
        <v>235</v>
      </c>
      <c r="AR2561" t="s">
        <v>235</v>
      </c>
      <c r="AT2561" t="s">
        <v>52</v>
      </c>
      <c r="AU2561">
        <v>5000</v>
      </c>
      <c r="AW2561">
        <v>45387</v>
      </c>
      <c r="AX2561" t="s">
        <v>1013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68625</v>
      </c>
      <c r="BG2561">
        <v>0</v>
      </c>
      <c r="BH2561">
        <v>0</v>
      </c>
      <c r="BI2561">
        <v>68625</v>
      </c>
      <c r="BJ2561">
        <v>0</v>
      </c>
      <c r="BK2561">
        <v>68625</v>
      </c>
      <c r="BL2561" t="s">
        <v>242</v>
      </c>
      <c r="BM2561">
        <v>12</v>
      </c>
      <c r="BN2561">
        <v>60000</v>
      </c>
      <c r="BO2561">
        <v>0</v>
      </c>
      <c r="BP2561">
        <v>0</v>
      </c>
      <c r="BQ2561">
        <v>0</v>
      </c>
      <c r="BR2561" t="s">
        <v>58</v>
      </c>
    </row>
    <row r="2562" spans="1:70" x14ac:dyDescent="0.3">
      <c r="A2562" t="s">
        <v>798</v>
      </c>
      <c r="B2562">
        <v>62200092</v>
      </c>
      <c r="C2562">
        <v>18575408</v>
      </c>
      <c r="D2562" t="s">
        <v>658</v>
      </c>
      <c r="E2562" t="s">
        <v>435</v>
      </c>
      <c r="F2562" t="s">
        <v>432</v>
      </c>
      <c r="G2562" t="s">
        <v>235</v>
      </c>
      <c r="H2562" t="s">
        <v>235</v>
      </c>
      <c r="J2562" t="s">
        <v>52</v>
      </c>
      <c r="K2562" s="15">
        <v>30405.74</v>
      </c>
      <c r="M2562">
        <v>45387</v>
      </c>
      <c r="N2562" t="s">
        <v>1053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 t="s">
        <v>242</v>
      </c>
      <c r="AC2562">
        <v>12</v>
      </c>
      <c r="AD2562">
        <v>70405.740000000005</v>
      </c>
      <c r="AE2562">
        <v>0</v>
      </c>
      <c r="AF2562">
        <v>0</v>
      </c>
      <c r="AG2562">
        <v>0</v>
      </c>
      <c r="AH2562" t="s">
        <v>58</v>
      </c>
      <c r="AK2562" t="s">
        <v>798</v>
      </c>
      <c r="AL2562">
        <v>2200003</v>
      </c>
      <c r="AM2562">
        <v>22961796</v>
      </c>
      <c r="AN2562" t="s">
        <v>407</v>
      </c>
      <c r="AO2562" t="s">
        <v>435</v>
      </c>
      <c r="AP2562" t="s">
        <v>426</v>
      </c>
      <c r="AQ2562" t="s">
        <v>235</v>
      </c>
      <c r="AR2562" t="s">
        <v>235</v>
      </c>
      <c r="AT2562" t="s">
        <v>52</v>
      </c>
      <c r="AU2562">
        <v>5000</v>
      </c>
      <c r="AW2562">
        <v>45387</v>
      </c>
      <c r="AX2562" t="s">
        <v>1013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78250</v>
      </c>
      <c r="BG2562">
        <v>0</v>
      </c>
      <c r="BH2562">
        <v>0</v>
      </c>
      <c r="BI2562">
        <v>78250</v>
      </c>
      <c r="BJ2562">
        <v>0</v>
      </c>
      <c r="BK2562">
        <v>78250</v>
      </c>
      <c r="BL2562" t="s">
        <v>242</v>
      </c>
      <c r="BM2562">
        <v>12</v>
      </c>
      <c r="BN2562">
        <v>60000</v>
      </c>
      <c r="BO2562">
        <v>0</v>
      </c>
      <c r="BP2562">
        <v>0</v>
      </c>
      <c r="BQ2562">
        <v>0</v>
      </c>
      <c r="BR2562" t="s">
        <v>58</v>
      </c>
    </row>
    <row r="2563" spans="1:70" x14ac:dyDescent="0.3">
      <c r="A2563" t="s">
        <v>798</v>
      </c>
      <c r="B2563">
        <v>4142300221</v>
      </c>
      <c r="C2563">
        <v>10089343</v>
      </c>
      <c r="D2563" t="s">
        <v>194</v>
      </c>
      <c r="E2563" t="s">
        <v>445</v>
      </c>
      <c r="F2563" t="s">
        <v>430</v>
      </c>
      <c r="G2563" t="s">
        <v>230</v>
      </c>
      <c r="H2563" t="s">
        <v>234</v>
      </c>
      <c r="J2563" t="s">
        <v>52</v>
      </c>
      <c r="K2563" s="15">
        <v>15000</v>
      </c>
      <c r="M2563">
        <v>45387</v>
      </c>
      <c r="N2563" t="s">
        <v>1013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74357.94392523366</v>
      </c>
      <c r="Y2563">
        <v>74357.94392523366</v>
      </c>
      <c r="Z2563">
        <v>5205.0560747663567</v>
      </c>
      <c r="AA2563">
        <v>79563.000000000015</v>
      </c>
      <c r="AB2563" t="s">
        <v>242</v>
      </c>
      <c r="AC2563">
        <v>8</v>
      </c>
      <c r="AD2563">
        <v>115000</v>
      </c>
      <c r="AE2563">
        <v>0</v>
      </c>
      <c r="AF2563">
        <v>0</v>
      </c>
      <c r="AG2563">
        <v>7523.3644859813103</v>
      </c>
      <c r="AH2563" t="s">
        <v>58</v>
      </c>
      <c r="AK2563" t="s">
        <v>798</v>
      </c>
      <c r="AL2563">
        <v>4142300221</v>
      </c>
      <c r="AM2563">
        <v>10089343</v>
      </c>
      <c r="AN2563" t="s">
        <v>194</v>
      </c>
      <c r="AO2563" t="s">
        <v>445</v>
      </c>
      <c r="AP2563" t="s">
        <v>430</v>
      </c>
      <c r="AQ2563" t="s">
        <v>230</v>
      </c>
      <c r="AR2563" t="s">
        <v>234</v>
      </c>
      <c r="AT2563" t="s">
        <v>52</v>
      </c>
      <c r="AU2563">
        <v>15000</v>
      </c>
      <c r="AW2563">
        <v>45387</v>
      </c>
      <c r="AX2563" t="s">
        <v>1013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74357.94392523366</v>
      </c>
      <c r="BI2563">
        <v>74357.94392523366</v>
      </c>
      <c r="BJ2563">
        <v>5205.0560747663567</v>
      </c>
      <c r="BK2563">
        <v>79563.000000000015</v>
      </c>
      <c r="BL2563" t="s">
        <v>242</v>
      </c>
      <c r="BM2563">
        <v>8</v>
      </c>
      <c r="BN2563">
        <v>115000</v>
      </c>
      <c r="BO2563">
        <v>0</v>
      </c>
      <c r="BP2563">
        <v>0</v>
      </c>
      <c r="BQ2563">
        <v>7523.3644859813103</v>
      </c>
      <c r="BR2563" t="s">
        <v>58</v>
      </c>
    </row>
    <row r="2564" spans="1:70" x14ac:dyDescent="0.3">
      <c r="A2564" t="s">
        <v>798</v>
      </c>
      <c r="B2564">
        <v>52200012</v>
      </c>
      <c r="C2564">
        <v>26851674</v>
      </c>
      <c r="D2564" t="s">
        <v>637</v>
      </c>
      <c r="E2564" t="s">
        <v>435</v>
      </c>
      <c r="F2564" t="s">
        <v>431</v>
      </c>
      <c r="G2564" t="s">
        <v>230</v>
      </c>
      <c r="H2564" t="s">
        <v>231</v>
      </c>
      <c r="J2564" t="s">
        <v>52</v>
      </c>
      <c r="K2564" s="15">
        <v>2500</v>
      </c>
      <c r="M2564">
        <v>45388</v>
      </c>
      <c r="N2564" t="s">
        <v>1013</v>
      </c>
      <c r="O2564">
        <v>3550.3211766139743</v>
      </c>
      <c r="P2564">
        <v>0</v>
      </c>
      <c r="Q2564">
        <v>0</v>
      </c>
      <c r="R2564">
        <v>0</v>
      </c>
      <c r="S2564">
        <v>0</v>
      </c>
      <c r="T2564">
        <v>7747.3633863420719</v>
      </c>
      <c r="U2564">
        <v>0</v>
      </c>
      <c r="V2564">
        <v>0</v>
      </c>
      <c r="W2564">
        <v>42990.654205607476</v>
      </c>
      <c r="X2564">
        <v>0</v>
      </c>
      <c r="Y2564">
        <v>54288.338768563524</v>
      </c>
      <c r="Z2564">
        <v>3551.6612314364684</v>
      </c>
      <c r="AA2564">
        <v>57839.999999999993</v>
      </c>
      <c r="AB2564" t="s">
        <v>242</v>
      </c>
      <c r="AC2564">
        <v>14</v>
      </c>
      <c r="AD2564">
        <v>33800</v>
      </c>
      <c r="AE2564">
        <v>0</v>
      </c>
      <c r="AF2564">
        <v>0</v>
      </c>
      <c r="AG2564">
        <v>2064.0397031429702</v>
      </c>
      <c r="AH2564" t="s">
        <v>58</v>
      </c>
      <c r="AK2564" t="s">
        <v>798</v>
      </c>
      <c r="AL2564">
        <v>52200012</v>
      </c>
      <c r="AM2564">
        <v>26851674</v>
      </c>
      <c r="AN2564" t="s">
        <v>637</v>
      </c>
      <c r="AO2564" t="s">
        <v>435</v>
      </c>
      <c r="AP2564" t="s">
        <v>431</v>
      </c>
      <c r="AQ2564" t="s">
        <v>230</v>
      </c>
      <c r="AR2564" t="s">
        <v>231</v>
      </c>
      <c r="AT2564" t="s">
        <v>52</v>
      </c>
      <c r="AU2564">
        <v>2500</v>
      </c>
      <c r="AW2564">
        <v>45388</v>
      </c>
      <c r="AX2564" t="s">
        <v>1013</v>
      </c>
      <c r="AY2564">
        <v>3550.3211766139743</v>
      </c>
      <c r="AZ2564">
        <v>0</v>
      </c>
      <c r="BA2564">
        <v>0</v>
      </c>
      <c r="BB2564">
        <v>0</v>
      </c>
      <c r="BC2564">
        <v>0</v>
      </c>
      <c r="BD2564">
        <v>7747.3633863420719</v>
      </c>
      <c r="BE2564">
        <v>0</v>
      </c>
      <c r="BF2564">
        <v>0</v>
      </c>
      <c r="BG2564">
        <v>42990.654205607476</v>
      </c>
      <c r="BH2564">
        <v>0</v>
      </c>
      <c r="BI2564">
        <v>54288.338768563524</v>
      </c>
      <c r="BJ2564">
        <v>3551.6612314364684</v>
      </c>
      <c r="BK2564">
        <v>57839.999999999993</v>
      </c>
      <c r="BL2564" t="s">
        <v>242</v>
      </c>
      <c r="BM2564">
        <v>14</v>
      </c>
      <c r="BN2564">
        <v>33800</v>
      </c>
      <c r="BO2564">
        <v>0</v>
      </c>
      <c r="BP2564">
        <v>0</v>
      </c>
      <c r="BQ2564">
        <v>2064.0397031429702</v>
      </c>
      <c r="BR2564" t="s">
        <v>58</v>
      </c>
    </row>
    <row r="2565" spans="1:70" x14ac:dyDescent="0.3">
      <c r="A2565" t="s">
        <v>798</v>
      </c>
      <c r="B2565">
        <v>52201087</v>
      </c>
      <c r="C2565">
        <v>26018254</v>
      </c>
      <c r="D2565" t="s">
        <v>149</v>
      </c>
      <c r="E2565" t="s">
        <v>438</v>
      </c>
      <c r="F2565" t="s">
        <v>431</v>
      </c>
      <c r="G2565" t="s">
        <v>82</v>
      </c>
      <c r="H2565" t="s">
        <v>83</v>
      </c>
      <c r="J2565" t="s">
        <v>52</v>
      </c>
      <c r="K2565" s="15">
        <v>2000</v>
      </c>
      <c r="M2565">
        <v>45388</v>
      </c>
      <c r="N2565" t="s">
        <v>1013</v>
      </c>
      <c r="O2565">
        <v>0</v>
      </c>
      <c r="P2565">
        <v>0</v>
      </c>
      <c r="Q2565">
        <v>0</v>
      </c>
      <c r="R2565">
        <v>771.04428769737558</v>
      </c>
      <c r="S2565">
        <v>0</v>
      </c>
      <c r="T2565">
        <v>0</v>
      </c>
      <c r="U2565">
        <v>0</v>
      </c>
      <c r="V2565">
        <v>34170.986475817808</v>
      </c>
      <c r="W2565">
        <v>0</v>
      </c>
      <c r="X2565">
        <v>0</v>
      </c>
      <c r="Y2565">
        <v>34942.030763515184</v>
      </c>
      <c r="Z2565">
        <v>2391.9690533072467</v>
      </c>
      <c r="AA2565">
        <v>37333.999816822434</v>
      </c>
      <c r="AB2565" t="s">
        <v>242</v>
      </c>
      <c r="AC2565">
        <v>6</v>
      </c>
      <c r="AD2565">
        <v>12000</v>
      </c>
      <c r="AE2565">
        <v>0</v>
      </c>
      <c r="AF2565">
        <v>0</v>
      </c>
      <c r="AG2565">
        <v>767.51691601758534</v>
      </c>
      <c r="AH2565" t="s">
        <v>58</v>
      </c>
      <c r="AK2565" t="s">
        <v>798</v>
      </c>
      <c r="AL2565">
        <v>52201087</v>
      </c>
      <c r="AM2565">
        <v>26018254</v>
      </c>
      <c r="AN2565" t="s">
        <v>149</v>
      </c>
      <c r="AO2565" t="s">
        <v>438</v>
      </c>
      <c r="AP2565" t="s">
        <v>431</v>
      </c>
      <c r="AQ2565" t="s">
        <v>82</v>
      </c>
      <c r="AR2565" t="s">
        <v>83</v>
      </c>
      <c r="AT2565" t="s">
        <v>52</v>
      </c>
      <c r="AU2565">
        <v>2000</v>
      </c>
      <c r="AW2565">
        <v>45388</v>
      </c>
      <c r="AX2565" t="s">
        <v>1013</v>
      </c>
      <c r="AY2565">
        <v>0</v>
      </c>
      <c r="AZ2565">
        <v>0</v>
      </c>
      <c r="BA2565">
        <v>0</v>
      </c>
      <c r="BB2565">
        <v>771.04428769737558</v>
      </c>
      <c r="BC2565">
        <v>0</v>
      </c>
      <c r="BD2565">
        <v>0</v>
      </c>
      <c r="BE2565">
        <v>0</v>
      </c>
      <c r="BF2565">
        <v>34170.986475817808</v>
      </c>
      <c r="BG2565">
        <v>0</v>
      </c>
      <c r="BH2565">
        <v>0</v>
      </c>
      <c r="BI2565">
        <v>34942.030763515184</v>
      </c>
      <c r="BJ2565">
        <v>2391.9690533072467</v>
      </c>
      <c r="BK2565">
        <v>37333.999816822434</v>
      </c>
      <c r="BL2565" t="s">
        <v>242</v>
      </c>
      <c r="BM2565">
        <v>6</v>
      </c>
      <c r="BN2565">
        <v>12000</v>
      </c>
      <c r="BO2565">
        <v>0</v>
      </c>
      <c r="BP2565">
        <v>0</v>
      </c>
      <c r="BQ2565">
        <v>767.51691601758534</v>
      </c>
      <c r="BR2565" t="s">
        <v>58</v>
      </c>
    </row>
    <row r="2566" spans="1:70" x14ac:dyDescent="0.3">
      <c r="A2566" t="s">
        <v>798</v>
      </c>
      <c r="B2566">
        <v>52201890</v>
      </c>
      <c r="C2566">
        <v>26738561</v>
      </c>
      <c r="D2566" t="s">
        <v>168</v>
      </c>
      <c r="E2566" t="s">
        <v>438</v>
      </c>
      <c r="F2566" t="s">
        <v>431</v>
      </c>
      <c r="G2566" t="s">
        <v>82</v>
      </c>
      <c r="H2566" t="s">
        <v>83</v>
      </c>
      <c r="J2566" t="s">
        <v>52</v>
      </c>
      <c r="K2566" s="15">
        <v>1000</v>
      </c>
      <c r="M2566">
        <v>45388</v>
      </c>
      <c r="N2566" t="s">
        <v>1013</v>
      </c>
      <c r="O2566">
        <v>0</v>
      </c>
      <c r="P2566">
        <v>0</v>
      </c>
      <c r="Q2566">
        <v>0</v>
      </c>
      <c r="R2566">
        <v>1010.8512031708136</v>
      </c>
      <c r="S2566">
        <v>22569.303237261603</v>
      </c>
      <c r="T2566">
        <v>0</v>
      </c>
      <c r="U2566">
        <v>0</v>
      </c>
      <c r="V2566">
        <v>41284.106700381184</v>
      </c>
      <c r="W2566">
        <v>0</v>
      </c>
      <c r="X2566">
        <v>0</v>
      </c>
      <c r="Y2566">
        <v>64864.2611408136</v>
      </c>
      <c r="Z2566">
        <v>4469.7386956349956</v>
      </c>
      <c r="AA2566">
        <v>69333.999836448595</v>
      </c>
      <c r="AB2566" t="s">
        <v>242</v>
      </c>
      <c r="AC2566">
        <v>5</v>
      </c>
      <c r="AD2566">
        <v>5000</v>
      </c>
      <c r="AE2566">
        <v>0</v>
      </c>
      <c r="AF2566">
        <v>0</v>
      </c>
      <c r="AG2566">
        <v>321.99026562799713</v>
      </c>
      <c r="AH2566" t="s">
        <v>58</v>
      </c>
      <c r="AK2566" t="s">
        <v>798</v>
      </c>
      <c r="AL2566">
        <v>52201890</v>
      </c>
      <c r="AM2566">
        <v>26738561</v>
      </c>
      <c r="AN2566" t="s">
        <v>168</v>
      </c>
      <c r="AO2566" t="s">
        <v>438</v>
      </c>
      <c r="AP2566" t="s">
        <v>431</v>
      </c>
      <c r="AQ2566" t="s">
        <v>82</v>
      </c>
      <c r="AR2566" t="s">
        <v>83</v>
      </c>
      <c r="AT2566" t="s">
        <v>52</v>
      </c>
      <c r="AU2566">
        <v>1000</v>
      </c>
      <c r="AW2566">
        <v>45388</v>
      </c>
      <c r="AX2566" t="s">
        <v>1013</v>
      </c>
      <c r="AY2566">
        <v>0</v>
      </c>
      <c r="AZ2566">
        <v>0</v>
      </c>
      <c r="BA2566">
        <v>0</v>
      </c>
      <c r="BB2566">
        <v>1010.8512031708136</v>
      </c>
      <c r="BC2566">
        <v>22569.303237261603</v>
      </c>
      <c r="BD2566">
        <v>0</v>
      </c>
      <c r="BE2566">
        <v>0</v>
      </c>
      <c r="BF2566">
        <v>41284.106700381184</v>
      </c>
      <c r="BG2566">
        <v>0</v>
      </c>
      <c r="BH2566">
        <v>0</v>
      </c>
      <c r="BI2566">
        <v>64864.2611408136</v>
      </c>
      <c r="BJ2566">
        <v>4469.7386956349956</v>
      </c>
      <c r="BK2566">
        <v>69333.999836448595</v>
      </c>
      <c r="BL2566" t="s">
        <v>242</v>
      </c>
      <c r="BM2566">
        <v>5</v>
      </c>
      <c r="BN2566">
        <v>5000</v>
      </c>
      <c r="BO2566">
        <v>0</v>
      </c>
      <c r="BP2566">
        <v>0</v>
      </c>
      <c r="BQ2566">
        <v>321.99026562799713</v>
      </c>
      <c r="BR2566" t="s">
        <v>58</v>
      </c>
    </row>
    <row r="2567" spans="1:70" x14ac:dyDescent="0.3">
      <c r="A2567" t="s">
        <v>798</v>
      </c>
      <c r="B2567">
        <v>4132301694</v>
      </c>
      <c r="C2567" t="s">
        <v>682</v>
      </c>
      <c r="D2567" t="s">
        <v>978</v>
      </c>
      <c r="E2567" t="s">
        <v>442</v>
      </c>
      <c r="F2567" t="s">
        <v>430</v>
      </c>
      <c r="G2567" t="s">
        <v>230</v>
      </c>
      <c r="H2567" t="s">
        <v>231</v>
      </c>
      <c r="J2567" t="s">
        <v>52</v>
      </c>
      <c r="K2567" s="15">
        <v>500</v>
      </c>
      <c r="M2567">
        <v>45388</v>
      </c>
      <c r="N2567" t="s">
        <v>1013</v>
      </c>
      <c r="O2567">
        <v>0</v>
      </c>
      <c r="P2567">
        <v>11744.836985190841</v>
      </c>
      <c r="Q2567">
        <v>0</v>
      </c>
      <c r="R2567">
        <v>0</v>
      </c>
      <c r="S2567">
        <v>29168.45</v>
      </c>
      <c r="T2567">
        <v>43593.610294214173</v>
      </c>
      <c r="U2567">
        <v>67289.719626168226</v>
      </c>
      <c r="V2567">
        <v>0</v>
      </c>
      <c r="W2567">
        <v>271028.03738317755</v>
      </c>
      <c r="X2567">
        <v>0</v>
      </c>
      <c r="Y2567">
        <v>422824.65428875078</v>
      </c>
      <c r="Z2567">
        <v>26733.7957112492</v>
      </c>
      <c r="AA2567">
        <v>449558.44999999995</v>
      </c>
      <c r="AB2567" t="s">
        <v>242</v>
      </c>
      <c r="AC2567">
        <v>3</v>
      </c>
      <c r="AD2567">
        <v>1500</v>
      </c>
      <c r="AE2567">
        <v>0</v>
      </c>
      <c r="AF2567">
        <v>0</v>
      </c>
      <c r="AG2567">
        <v>88.634195292858919</v>
      </c>
      <c r="AH2567" t="s">
        <v>58</v>
      </c>
      <c r="AK2567" t="s">
        <v>798</v>
      </c>
      <c r="AL2567">
        <v>4132301694</v>
      </c>
      <c r="AM2567" t="s">
        <v>682</v>
      </c>
      <c r="AN2567" t="s">
        <v>978</v>
      </c>
      <c r="AO2567" t="s">
        <v>442</v>
      </c>
      <c r="AP2567" t="s">
        <v>430</v>
      </c>
      <c r="AQ2567" t="s">
        <v>230</v>
      </c>
      <c r="AR2567" t="s">
        <v>231</v>
      </c>
      <c r="AT2567" t="s">
        <v>52</v>
      </c>
      <c r="AU2567">
        <v>500</v>
      </c>
      <c r="AW2567">
        <v>45388</v>
      </c>
      <c r="AX2567" t="s">
        <v>1013</v>
      </c>
      <c r="AY2567">
        <v>0</v>
      </c>
      <c r="AZ2567">
        <v>11744.836985190841</v>
      </c>
      <c r="BA2567">
        <v>0</v>
      </c>
      <c r="BB2567">
        <v>0</v>
      </c>
      <c r="BC2567">
        <v>29168.45</v>
      </c>
      <c r="BD2567">
        <v>43593.610294214173</v>
      </c>
      <c r="BE2567">
        <v>67289.719626168226</v>
      </c>
      <c r="BF2567">
        <v>0</v>
      </c>
      <c r="BG2567">
        <v>271028.03738317755</v>
      </c>
      <c r="BH2567">
        <v>0</v>
      </c>
      <c r="BI2567">
        <v>422824.65428875078</v>
      </c>
      <c r="BJ2567">
        <v>26733.7957112492</v>
      </c>
      <c r="BK2567">
        <v>449558.44999999995</v>
      </c>
      <c r="BL2567" t="s">
        <v>242</v>
      </c>
      <c r="BM2567">
        <v>3</v>
      </c>
      <c r="BN2567">
        <v>1500</v>
      </c>
      <c r="BO2567">
        <v>0</v>
      </c>
      <c r="BP2567">
        <v>0</v>
      </c>
      <c r="BQ2567">
        <v>88.634195292858919</v>
      </c>
      <c r="BR2567" t="s">
        <v>58</v>
      </c>
    </row>
    <row r="2568" spans="1:70" x14ac:dyDescent="0.3">
      <c r="A2568" t="s">
        <v>798</v>
      </c>
      <c r="B2568">
        <v>4302300030</v>
      </c>
      <c r="C2568">
        <v>901014009060</v>
      </c>
      <c r="D2568" t="s">
        <v>226</v>
      </c>
      <c r="E2568" t="s">
        <v>447</v>
      </c>
      <c r="F2568" t="s">
        <v>433</v>
      </c>
      <c r="G2568" t="s">
        <v>82</v>
      </c>
      <c r="H2568" t="s">
        <v>83</v>
      </c>
      <c r="J2568" t="s">
        <v>52</v>
      </c>
      <c r="K2568" s="15">
        <v>20000</v>
      </c>
      <c r="M2568">
        <v>45388</v>
      </c>
      <c r="N2568" t="s">
        <v>1013</v>
      </c>
      <c r="O2568">
        <v>0</v>
      </c>
      <c r="P2568">
        <v>0</v>
      </c>
      <c r="Q2568">
        <v>25135.589526563392</v>
      </c>
      <c r="R2568">
        <v>24628.69</v>
      </c>
      <c r="S2568">
        <v>0</v>
      </c>
      <c r="T2568">
        <v>0</v>
      </c>
      <c r="U2568">
        <v>0</v>
      </c>
      <c r="V2568">
        <v>542382.0071714361</v>
      </c>
      <c r="W2568">
        <v>0</v>
      </c>
      <c r="X2568">
        <v>0</v>
      </c>
      <c r="Y2568">
        <v>592146.28669799946</v>
      </c>
      <c r="Z2568">
        <v>37966.740502000532</v>
      </c>
      <c r="AA2568">
        <v>630113.02720000001</v>
      </c>
      <c r="AB2568" t="s">
        <v>242</v>
      </c>
      <c r="AC2568">
        <v>11</v>
      </c>
      <c r="AD2568">
        <v>207000</v>
      </c>
      <c r="AE2568">
        <v>0</v>
      </c>
      <c r="AF2568">
        <v>0</v>
      </c>
      <c r="AG2568">
        <v>12391.956697999474</v>
      </c>
      <c r="AH2568" t="s">
        <v>58</v>
      </c>
      <c r="AK2568" t="s">
        <v>798</v>
      </c>
      <c r="AL2568">
        <v>4302300030</v>
      </c>
      <c r="AM2568">
        <v>901014009060</v>
      </c>
      <c r="AN2568" t="s">
        <v>226</v>
      </c>
      <c r="AO2568" t="s">
        <v>447</v>
      </c>
      <c r="AP2568" t="s">
        <v>433</v>
      </c>
      <c r="AQ2568" t="s">
        <v>82</v>
      </c>
      <c r="AR2568" t="s">
        <v>83</v>
      </c>
      <c r="AT2568" t="s">
        <v>52</v>
      </c>
      <c r="AU2568">
        <v>20000</v>
      </c>
      <c r="AW2568">
        <v>45388</v>
      </c>
      <c r="AX2568" t="s">
        <v>1013</v>
      </c>
      <c r="AY2568">
        <v>0</v>
      </c>
      <c r="AZ2568">
        <v>0</v>
      </c>
      <c r="BA2568">
        <v>25135.589526563392</v>
      </c>
      <c r="BB2568">
        <v>24628.69</v>
      </c>
      <c r="BC2568">
        <v>0</v>
      </c>
      <c r="BD2568">
        <v>0</v>
      </c>
      <c r="BE2568">
        <v>0</v>
      </c>
      <c r="BF2568">
        <v>542382.0071714361</v>
      </c>
      <c r="BG2568">
        <v>0</v>
      </c>
      <c r="BH2568">
        <v>0</v>
      </c>
      <c r="BI2568">
        <v>592146.28669799946</v>
      </c>
      <c r="BJ2568">
        <v>37966.740502000532</v>
      </c>
      <c r="BK2568">
        <v>630113.02720000001</v>
      </c>
      <c r="BL2568" t="s">
        <v>242</v>
      </c>
      <c r="BM2568">
        <v>11</v>
      </c>
      <c r="BN2568">
        <v>207000</v>
      </c>
      <c r="BO2568">
        <v>0</v>
      </c>
      <c r="BP2568">
        <v>0</v>
      </c>
      <c r="BQ2568">
        <v>12391.956697999474</v>
      </c>
      <c r="BR2568" t="s">
        <v>58</v>
      </c>
    </row>
    <row r="2569" spans="1:70" x14ac:dyDescent="0.3">
      <c r="A2569" t="s">
        <v>798</v>
      </c>
      <c r="B2569">
        <v>4302300033</v>
      </c>
      <c r="C2569">
        <v>901015003340</v>
      </c>
      <c r="D2569" t="s">
        <v>226</v>
      </c>
      <c r="E2569" t="s">
        <v>447</v>
      </c>
      <c r="F2569" t="s">
        <v>433</v>
      </c>
      <c r="G2569" t="s">
        <v>82</v>
      </c>
      <c r="H2569" t="s">
        <v>83</v>
      </c>
      <c r="J2569" t="s">
        <v>52</v>
      </c>
      <c r="K2569" s="15">
        <v>69526.59</v>
      </c>
      <c r="M2569">
        <v>45388</v>
      </c>
      <c r="N2569" t="s">
        <v>1013</v>
      </c>
      <c r="O2569">
        <v>0</v>
      </c>
      <c r="P2569">
        <v>0</v>
      </c>
      <c r="Q2569">
        <v>77160.122178850783</v>
      </c>
      <c r="R2569">
        <v>40974.17</v>
      </c>
      <c r="S2569">
        <v>123919.86431883101</v>
      </c>
      <c r="T2569">
        <v>0</v>
      </c>
      <c r="U2569">
        <v>0</v>
      </c>
      <c r="V2569">
        <v>1237914.08</v>
      </c>
      <c r="W2569">
        <v>0</v>
      </c>
      <c r="X2569">
        <v>0</v>
      </c>
      <c r="Y2569">
        <v>1479968.2364976818</v>
      </c>
      <c r="Z2569">
        <v>95328.376102318172</v>
      </c>
      <c r="AA2569">
        <v>1575296.6126000001</v>
      </c>
      <c r="AB2569" t="s">
        <v>242</v>
      </c>
      <c r="AC2569">
        <v>7</v>
      </c>
      <c r="AD2569">
        <v>159526.59</v>
      </c>
      <c r="AE2569">
        <v>0</v>
      </c>
      <c r="AF2569">
        <v>0</v>
      </c>
      <c r="AG2569">
        <v>9599.956497681831</v>
      </c>
      <c r="AH2569" t="s">
        <v>58</v>
      </c>
      <c r="AK2569" t="s">
        <v>798</v>
      </c>
      <c r="AL2569">
        <v>4302300033</v>
      </c>
      <c r="AM2569">
        <v>901015003340</v>
      </c>
      <c r="AN2569" t="s">
        <v>226</v>
      </c>
      <c r="AO2569" t="s">
        <v>447</v>
      </c>
      <c r="AP2569" t="s">
        <v>433</v>
      </c>
      <c r="AQ2569" t="s">
        <v>82</v>
      </c>
      <c r="AR2569" t="s">
        <v>83</v>
      </c>
      <c r="AT2569" t="s">
        <v>52</v>
      </c>
      <c r="AU2569">
        <v>69526.59</v>
      </c>
      <c r="AW2569">
        <v>45388</v>
      </c>
      <c r="AX2569" t="s">
        <v>1013</v>
      </c>
      <c r="AY2569">
        <v>0</v>
      </c>
      <c r="AZ2569">
        <v>0</v>
      </c>
      <c r="BA2569">
        <v>77160.122178850783</v>
      </c>
      <c r="BB2569">
        <v>40974.17</v>
      </c>
      <c r="BC2569">
        <v>123919.86431883101</v>
      </c>
      <c r="BD2569">
        <v>0</v>
      </c>
      <c r="BE2569">
        <v>0</v>
      </c>
      <c r="BF2569">
        <v>1237914.08</v>
      </c>
      <c r="BG2569">
        <v>0</v>
      </c>
      <c r="BH2569">
        <v>0</v>
      </c>
      <c r="BI2569">
        <v>1479968.2364976818</v>
      </c>
      <c r="BJ2569">
        <v>95328.376102318172</v>
      </c>
      <c r="BK2569">
        <v>1575296.6126000001</v>
      </c>
      <c r="BL2569" t="s">
        <v>242</v>
      </c>
      <c r="BM2569">
        <v>7</v>
      </c>
      <c r="BN2569">
        <v>159526.59</v>
      </c>
      <c r="BO2569">
        <v>0</v>
      </c>
      <c r="BP2569">
        <v>0</v>
      </c>
      <c r="BQ2569">
        <v>9599.956497681831</v>
      </c>
      <c r="BR2569" t="s">
        <v>58</v>
      </c>
    </row>
    <row r="2570" spans="1:70" x14ac:dyDescent="0.3">
      <c r="A2570" t="s">
        <v>798</v>
      </c>
      <c r="B2570">
        <v>4302300036</v>
      </c>
      <c r="C2570">
        <v>901015004180</v>
      </c>
      <c r="D2570" t="s">
        <v>226</v>
      </c>
      <c r="E2570" t="s">
        <v>447</v>
      </c>
      <c r="F2570" t="s">
        <v>433</v>
      </c>
      <c r="G2570" t="s">
        <v>82</v>
      </c>
      <c r="H2570" t="s">
        <v>83</v>
      </c>
      <c r="J2570" t="s">
        <v>52</v>
      </c>
      <c r="K2570" s="15">
        <v>20000</v>
      </c>
      <c r="M2570">
        <v>45388</v>
      </c>
      <c r="N2570" t="s">
        <v>1013</v>
      </c>
      <c r="O2570">
        <v>0</v>
      </c>
      <c r="P2570">
        <v>0</v>
      </c>
      <c r="Q2570">
        <v>59692.564140409013</v>
      </c>
      <c r="R2570">
        <v>32364.02</v>
      </c>
      <c r="S2570">
        <v>29780.650336066316</v>
      </c>
      <c r="T2570">
        <v>0</v>
      </c>
      <c r="U2570">
        <v>0</v>
      </c>
      <c r="V2570">
        <v>1054424.3799999999</v>
      </c>
      <c r="W2570">
        <v>0</v>
      </c>
      <c r="X2570">
        <v>0</v>
      </c>
      <c r="Y2570">
        <v>1176261.6144764752</v>
      </c>
      <c r="Z2570">
        <v>75894.352123524644</v>
      </c>
      <c r="AA2570">
        <v>1252155.9665999999</v>
      </c>
      <c r="AB2570" t="s">
        <v>242</v>
      </c>
      <c r="AC2570">
        <v>11</v>
      </c>
      <c r="AD2570">
        <v>213000</v>
      </c>
      <c r="AE2570">
        <v>0</v>
      </c>
      <c r="AF2570">
        <v>0</v>
      </c>
      <c r="AG2570">
        <v>12837.814476475356</v>
      </c>
      <c r="AH2570" t="s">
        <v>58</v>
      </c>
      <c r="AK2570" t="s">
        <v>798</v>
      </c>
      <c r="AL2570">
        <v>4302300036</v>
      </c>
      <c r="AM2570">
        <v>901015004180</v>
      </c>
      <c r="AN2570" t="s">
        <v>226</v>
      </c>
      <c r="AO2570" t="s">
        <v>447</v>
      </c>
      <c r="AP2570" t="s">
        <v>433</v>
      </c>
      <c r="AQ2570" t="s">
        <v>82</v>
      </c>
      <c r="AR2570" t="s">
        <v>83</v>
      </c>
      <c r="AT2570" t="s">
        <v>52</v>
      </c>
      <c r="AU2570">
        <v>20000</v>
      </c>
      <c r="AW2570">
        <v>45388</v>
      </c>
      <c r="AX2570" t="s">
        <v>1013</v>
      </c>
      <c r="AY2570">
        <v>0</v>
      </c>
      <c r="AZ2570">
        <v>0</v>
      </c>
      <c r="BA2570">
        <v>59692.564140409013</v>
      </c>
      <c r="BB2570">
        <v>32364.02</v>
      </c>
      <c r="BC2570">
        <v>29780.650336066316</v>
      </c>
      <c r="BD2570">
        <v>0</v>
      </c>
      <c r="BE2570">
        <v>0</v>
      </c>
      <c r="BF2570">
        <v>1054424.3799999999</v>
      </c>
      <c r="BG2570">
        <v>0</v>
      </c>
      <c r="BH2570">
        <v>0</v>
      </c>
      <c r="BI2570">
        <v>1176261.6144764752</v>
      </c>
      <c r="BJ2570">
        <v>75894.352123524644</v>
      </c>
      <c r="BK2570">
        <v>1252155.9665999999</v>
      </c>
      <c r="BL2570" t="s">
        <v>242</v>
      </c>
      <c r="BM2570">
        <v>11</v>
      </c>
      <c r="BN2570">
        <v>213000</v>
      </c>
      <c r="BO2570">
        <v>0</v>
      </c>
      <c r="BP2570">
        <v>0</v>
      </c>
      <c r="BQ2570">
        <v>12837.814476475356</v>
      </c>
      <c r="BR2570" t="s">
        <v>58</v>
      </c>
    </row>
    <row r="2571" spans="1:70" x14ac:dyDescent="0.3">
      <c r="A2571" t="s">
        <v>798</v>
      </c>
      <c r="B2571">
        <v>4302300041</v>
      </c>
      <c r="C2571">
        <v>901016004670</v>
      </c>
      <c r="D2571" t="s">
        <v>226</v>
      </c>
      <c r="E2571" t="s">
        <v>447</v>
      </c>
      <c r="F2571" t="s">
        <v>433</v>
      </c>
      <c r="G2571" t="s">
        <v>82</v>
      </c>
      <c r="H2571" t="s">
        <v>83</v>
      </c>
      <c r="J2571" t="s">
        <v>52</v>
      </c>
      <c r="K2571" s="15">
        <v>52871.26</v>
      </c>
      <c r="M2571">
        <v>45388</v>
      </c>
      <c r="N2571" t="s">
        <v>1013</v>
      </c>
      <c r="O2571">
        <v>0</v>
      </c>
      <c r="P2571">
        <v>0</v>
      </c>
      <c r="Q2571">
        <v>61531.652213373549</v>
      </c>
      <c r="R2571">
        <v>26910.12</v>
      </c>
      <c r="S2571">
        <v>51594.653351987363</v>
      </c>
      <c r="T2571">
        <v>0</v>
      </c>
      <c r="U2571">
        <v>0</v>
      </c>
      <c r="V2571">
        <v>981107.15</v>
      </c>
      <c r="W2571">
        <v>0</v>
      </c>
      <c r="X2571">
        <v>0</v>
      </c>
      <c r="Y2571">
        <v>1121143.575565361</v>
      </c>
      <c r="Z2571">
        <v>72289.12623463913</v>
      </c>
      <c r="AA2571">
        <v>1193432.7018000002</v>
      </c>
      <c r="AB2571" t="s">
        <v>242</v>
      </c>
      <c r="AC2571">
        <v>6</v>
      </c>
      <c r="AD2571">
        <v>112871.26000000001</v>
      </c>
      <c r="AE2571">
        <v>0</v>
      </c>
      <c r="AF2571">
        <v>0</v>
      </c>
      <c r="AG2571">
        <v>6799.3755653608896</v>
      </c>
      <c r="AH2571" t="s">
        <v>58</v>
      </c>
      <c r="AK2571" t="s">
        <v>798</v>
      </c>
      <c r="AL2571">
        <v>4302300041</v>
      </c>
      <c r="AM2571">
        <v>901016004670</v>
      </c>
      <c r="AN2571" t="s">
        <v>226</v>
      </c>
      <c r="AO2571" t="s">
        <v>447</v>
      </c>
      <c r="AP2571" t="s">
        <v>433</v>
      </c>
      <c r="AQ2571" t="s">
        <v>82</v>
      </c>
      <c r="AR2571" t="s">
        <v>83</v>
      </c>
      <c r="AT2571" t="s">
        <v>52</v>
      </c>
      <c r="AU2571">
        <v>52871.26</v>
      </c>
      <c r="AW2571">
        <v>45388</v>
      </c>
      <c r="AX2571" t="s">
        <v>1013</v>
      </c>
      <c r="AY2571">
        <v>0</v>
      </c>
      <c r="AZ2571">
        <v>0</v>
      </c>
      <c r="BA2571">
        <v>61531.652213373549</v>
      </c>
      <c r="BB2571">
        <v>26910.12</v>
      </c>
      <c r="BC2571">
        <v>51594.653351987363</v>
      </c>
      <c r="BD2571">
        <v>0</v>
      </c>
      <c r="BE2571">
        <v>0</v>
      </c>
      <c r="BF2571">
        <v>981107.15</v>
      </c>
      <c r="BG2571">
        <v>0</v>
      </c>
      <c r="BH2571">
        <v>0</v>
      </c>
      <c r="BI2571">
        <v>1121143.575565361</v>
      </c>
      <c r="BJ2571">
        <v>72289.12623463913</v>
      </c>
      <c r="BK2571">
        <v>1193432.7018000002</v>
      </c>
      <c r="BL2571" t="s">
        <v>242</v>
      </c>
      <c r="BM2571">
        <v>6</v>
      </c>
      <c r="BN2571">
        <v>112871.26000000001</v>
      </c>
      <c r="BO2571">
        <v>0</v>
      </c>
      <c r="BP2571">
        <v>0</v>
      </c>
      <c r="BQ2571">
        <v>6799.3755653608896</v>
      </c>
      <c r="BR2571" t="s">
        <v>58</v>
      </c>
    </row>
    <row r="2572" spans="1:70" x14ac:dyDescent="0.3">
      <c r="A2572" t="s">
        <v>798</v>
      </c>
      <c r="B2572">
        <v>4342300003</v>
      </c>
      <c r="C2572" t="s">
        <v>695</v>
      </c>
      <c r="D2572" t="s">
        <v>985</v>
      </c>
      <c r="E2572" t="s">
        <v>448</v>
      </c>
      <c r="F2572" t="s">
        <v>433</v>
      </c>
      <c r="G2572" t="s">
        <v>230</v>
      </c>
      <c r="H2572" t="s">
        <v>231</v>
      </c>
      <c r="J2572" t="s">
        <v>52</v>
      </c>
      <c r="K2572" s="15">
        <v>10000</v>
      </c>
      <c r="M2572">
        <v>45388</v>
      </c>
      <c r="N2572" t="s">
        <v>1013</v>
      </c>
      <c r="O2572">
        <v>0</v>
      </c>
      <c r="P2572">
        <v>2624.2048821722383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208122.88328768947</v>
      </c>
      <c r="X2572">
        <v>0</v>
      </c>
      <c r="Y2572">
        <v>210747.0881698617</v>
      </c>
      <c r="Z2572">
        <v>14568.601830138265</v>
      </c>
      <c r="AA2572">
        <v>225315.68999999997</v>
      </c>
      <c r="AB2572" t="s">
        <v>242</v>
      </c>
      <c r="AC2572">
        <v>3</v>
      </c>
      <c r="AD2572">
        <v>30000</v>
      </c>
      <c r="AE2572">
        <v>0</v>
      </c>
      <c r="AF2572">
        <v>0</v>
      </c>
      <c r="AG2572">
        <v>1938.032095095381</v>
      </c>
      <c r="AH2572" t="s">
        <v>58</v>
      </c>
      <c r="AK2572" t="s">
        <v>798</v>
      </c>
      <c r="AL2572">
        <v>4342300003</v>
      </c>
      <c r="AM2572" t="s">
        <v>695</v>
      </c>
      <c r="AN2572" t="s">
        <v>985</v>
      </c>
      <c r="AO2572" t="s">
        <v>448</v>
      </c>
      <c r="AP2572" t="s">
        <v>433</v>
      </c>
      <c r="AQ2572" t="s">
        <v>230</v>
      </c>
      <c r="AR2572" t="s">
        <v>231</v>
      </c>
      <c r="AT2572" t="s">
        <v>52</v>
      </c>
      <c r="AU2572">
        <v>10000</v>
      </c>
      <c r="AW2572">
        <v>45388</v>
      </c>
      <c r="AX2572" t="s">
        <v>1013</v>
      </c>
      <c r="AY2572">
        <v>0</v>
      </c>
      <c r="AZ2572">
        <v>2624.2048821722383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208122.88328768947</v>
      </c>
      <c r="BH2572">
        <v>0</v>
      </c>
      <c r="BI2572">
        <v>210747.0881698617</v>
      </c>
      <c r="BJ2572">
        <v>14568.601830138265</v>
      </c>
      <c r="BK2572">
        <v>225315.68999999997</v>
      </c>
      <c r="BL2572" t="s">
        <v>242</v>
      </c>
      <c r="BM2572">
        <v>3</v>
      </c>
      <c r="BN2572">
        <v>30000</v>
      </c>
      <c r="BO2572">
        <v>0</v>
      </c>
      <c r="BP2572">
        <v>0</v>
      </c>
      <c r="BQ2572">
        <v>1938.032095095381</v>
      </c>
      <c r="BR2572" t="s">
        <v>58</v>
      </c>
    </row>
    <row r="2573" spans="1:70" x14ac:dyDescent="0.3">
      <c r="A2573" t="s">
        <v>798</v>
      </c>
      <c r="B2573">
        <v>42201244</v>
      </c>
      <c r="C2573">
        <v>2755007156</v>
      </c>
      <c r="D2573" t="s">
        <v>1004</v>
      </c>
      <c r="E2573" t="s">
        <v>439</v>
      </c>
      <c r="F2573" t="s">
        <v>430</v>
      </c>
      <c r="G2573" t="s">
        <v>230</v>
      </c>
      <c r="H2573" t="s">
        <v>234</v>
      </c>
      <c r="J2573" t="s">
        <v>52</v>
      </c>
      <c r="K2573" s="15">
        <v>100000</v>
      </c>
      <c r="M2573">
        <v>45389</v>
      </c>
      <c r="N2573" t="s">
        <v>1029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980057.94392523367</v>
      </c>
      <c r="Y2573">
        <v>980057.94392523367</v>
      </c>
      <c r="Z2573">
        <v>68604.056074766369</v>
      </c>
      <c r="AA2573">
        <v>1048662</v>
      </c>
      <c r="AB2573" t="s">
        <v>242</v>
      </c>
      <c r="AC2573">
        <v>1</v>
      </c>
      <c r="AD2573">
        <v>100000</v>
      </c>
      <c r="AE2573">
        <v>0</v>
      </c>
      <c r="AF2573">
        <v>0</v>
      </c>
      <c r="AG2573">
        <v>6542.0560747663549</v>
      </c>
      <c r="AH2573" t="s">
        <v>72</v>
      </c>
      <c r="AK2573" t="s">
        <v>798</v>
      </c>
      <c r="AL2573">
        <v>42201244</v>
      </c>
      <c r="AM2573">
        <v>2755007156</v>
      </c>
      <c r="AN2573" t="s">
        <v>1004</v>
      </c>
      <c r="AO2573" t="s">
        <v>439</v>
      </c>
      <c r="AP2573" t="s">
        <v>430</v>
      </c>
      <c r="AQ2573" t="s">
        <v>230</v>
      </c>
      <c r="AR2573" t="s">
        <v>234</v>
      </c>
      <c r="AT2573" t="s">
        <v>52</v>
      </c>
      <c r="AU2573">
        <v>100000</v>
      </c>
      <c r="AW2573">
        <v>45389</v>
      </c>
      <c r="AX2573" t="s">
        <v>1029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980057.94392523367</v>
      </c>
      <c r="BI2573">
        <v>980057.94392523367</v>
      </c>
      <c r="BJ2573">
        <v>68604.056074766369</v>
      </c>
      <c r="BK2573">
        <v>1048662</v>
      </c>
      <c r="BL2573" t="s">
        <v>242</v>
      </c>
      <c r="BM2573">
        <v>1</v>
      </c>
      <c r="BN2573">
        <v>100000</v>
      </c>
      <c r="BO2573">
        <v>0</v>
      </c>
      <c r="BP2573">
        <v>0</v>
      </c>
      <c r="BQ2573">
        <v>6542.0560747663549</v>
      </c>
      <c r="BR2573" t="s">
        <v>72</v>
      </c>
    </row>
    <row r="2574" spans="1:70" x14ac:dyDescent="0.3">
      <c r="A2574" t="s">
        <v>798</v>
      </c>
      <c r="B2574">
        <v>52201351</v>
      </c>
      <c r="C2574">
        <v>22940816</v>
      </c>
      <c r="D2574" t="s">
        <v>155</v>
      </c>
      <c r="E2574" t="s">
        <v>438</v>
      </c>
      <c r="F2574" t="s">
        <v>431</v>
      </c>
      <c r="G2574" t="s">
        <v>82</v>
      </c>
      <c r="H2574" t="s">
        <v>83</v>
      </c>
      <c r="J2574" t="s">
        <v>52</v>
      </c>
      <c r="K2574" s="15">
        <v>500</v>
      </c>
      <c r="M2574">
        <v>45390</v>
      </c>
      <c r="N2574" t="s">
        <v>1013</v>
      </c>
      <c r="O2574">
        <v>0</v>
      </c>
      <c r="P2574">
        <v>0</v>
      </c>
      <c r="Q2574">
        <v>0</v>
      </c>
      <c r="R2574">
        <v>732.38177495217644</v>
      </c>
      <c r="S2574">
        <v>13304.481375486252</v>
      </c>
      <c r="T2574">
        <v>0</v>
      </c>
      <c r="U2574">
        <v>0</v>
      </c>
      <c r="V2574">
        <v>73829.741339665459</v>
      </c>
      <c r="W2574">
        <v>0</v>
      </c>
      <c r="X2574">
        <v>0</v>
      </c>
      <c r="Y2574">
        <v>87866.604490103884</v>
      </c>
      <c r="Z2574">
        <v>6099.3955900606206</v>
      </c>
      <c r="AA2574">
        <v>93966.000080164507</v>
      </c>
      <c r="AB2574" t="s">
        <v>242</v>
      </c>
      <c r="AC2574">
        <v>27</v>
      </c>
      <c r="AD2574">
        <v>18900</v>
      </c>
      <c r="AE2574">
        <v>0</v>
      </c>
      <c r="AF2574">
        <v>0</v>
      </c>
      <c r="AG2574">
        <v>1226.0717049034133</v>
      </c>
      <c r="AH2574" t="s">
        <v>58</v>
      </c>
      <c r="AK2574" t="s">
        <v>798</v>
      </c>
      <c r="AL2574">
        <v>52201351</v>
      </c>
      <c r="AM2574">
        <v>22940816</v>
      </c>
      <c r="AN2574" t="s">
        <v>155</v>
      </c>
      <c r="AO2574" t="s">
        <v>438</v>
      </c>
      <c r="AP2574" t="s">
        <v>431</v>
      </c>
      <c r="AQ2574" t="s">
        <v>82</v>
      </c>
      <c r="AR2574" t="s">
        <v>83</v>
      </c>
      <c r="AT2574" t="s">
        <v>52</v>
      </c>
      <c r="AU2574">
        <v>500</v>
      </c>
      <c r="AW2574">
        <v>45390</v>
      </c>
      <c r="AX2574" t="s">
        <v>1013</v>
      </c>
      <c r="AY2574">
        <v>0</v>
      </c>
      <c r="AZ2574">
        <v>0</v>
      </c>
      <c r="BA2574">
        <v>0</v>
      </c>
      <c r="BB2574">
        <v>732.38177495217644</v>
      </c>
      <c r="BC2574">
        <v>13304.481375486252</v>
      </c>
      <c r="BD2574">
        <v>0</v>
      </c>
      <c r="BE2574">
        <v>0</v>
      </c>
      <c r="BF2574">
        <v>73829.741339665459</v>
      </c>
      <c r="BG2574">
        <v>0</v>
      </c>
      <c r="BH2574">
        <v>0</v>
      </c>
      <c r="BI2574">
        <v>87866.604490103884</v>
      </c>
      <c r="BJ2574">
        <v>6099.3955900606206</v>
      </c>
      <c r="BK2574">
        <v>93966.000080164507</v>
      </c>
      <c r="BL2574" t="s">
        <v>242</v>
      </c>
      <c r="BM2574">
        <v>27</v>
      </c>
      <c r="BN2574">
        <v>18900</v>
      </c>
      <c r="BO2574">
        <v>0</v>
      </c>
      <c r="BP2574">
        <v>0</v>
      </c>
      <c r="BQ2574">
        <v>1226.0717049034133</v>
      </c>
      <c r="BR2574" t="s">
        <v>58</v>
      </c>
    </row>
    <row r="2575" spans="1:70" x14ac:dyDescent="0.3">
      <c r="A2575" t="s">
        <v>798</v>
      </c>
      <c r="B2575">
        <v>42201075</v>
      </c>
      <c r="C2575">
        <v>2759026295</v>
      </c>
      <c r="D2575" t="s">
        <v>1005</v>
      </c>
      <c r="E2575" t="s">
        <v>439</v>
      </c>
      <c r="F2575" t="s">
        <v>430</v>
      </c>
      <c r="G2575" t="s">
        <v>233</v>
      </c>
      <c r="H2575" t="s">
        <v>234</v>
      </c>
      <c r="J2575" t="s">
        <v>416</v>
      </c>
      <c r="K2575" s="15">
        <v>0.1076</v>
      </c>
      <c r="M2575">
        <v>45391</v>
      </c>
      <c r="N2575" t="s">
        <v>1016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140167.01614953272</v>
      </c>
      <c r="Y2575">
        <v>140167.01614953272</v>
      </c>
      <c r="Z2575">
        <v>9811.6911304672922</v>
      </c>
      <c r="AA2575">
        <v>149978.70728</v>
      </c>
      <c r="AB2575" t="s">
        <v>242</v>
      </c>
      <c r="AC2575">
        <v>2</v>
      </c>
      <c r="AD2575">
        <v>83030.95</v>
      </c>
      <c r="AE2575">
        <v>0</v>
      </c>
      <c r="AF2575">
        <v>0</v>
      </c>
      <c r="AG2575">
        <v>5431.9313084112146</v>
      </c>
      <c r="AH2575" t="s">
        <v>58</v>
      </c>
      <c r="AK2575" t="s">
        <v>798</v>
      </c>
      <c r="AL2575">
        <v>42201075</v>
      </c>
      <c r="AM2575">
        <v>2759026295</v>
      </c>
      <c r="AN2575" t="s">
        <v>1005</v>
      </c>
      <c r="AO2575" t="s">
        <v>439</v>
      </c>
      <c r="AP2575" t="s">
        <v>430</v>
      </c>
      <c r="AQ2575" t="s">
        <v>233</v>
      </c>
      <c r="AR2575" t="s">
        <v>234</v>
      </c>
      <c r="AT2575" t="s">
        <v>416</v>
      </c>
      <c r="AU2575">
        <v>0.1076</v>
      </c>
      <c r="AW2575">
        <v>45391</v>
      </c>
      <c r="AX2575" t="s">
        <v>1016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140167.01614953272</v>
      </c>
      <c r="BI2575">
        <v>140167.01614953272</v>
      </c>
      <c r="BJ2575">
        <v>9811.6911304672922</v>
      </c>
      <c r="BK2575">
        <v>149978.70728</v>
      </c>
      <c r="BL2575" t="s">
        <v>242</v>
      </c>
      <c r="BM2575">
        <v>2</v>
      </c>
      <c r="BN2575">
        <v>83030.95</v>
      </c>
      <c r="BO2575">
        <v>0</v>
      </c>
      <c r="BP2575">
        <v>0</v>
      </c>
      <c r="BQ2575">
        <v>5431.9313084112146</v>
      </c>
      <c r="BR2575" t="s">
        <v>58</v>
      </c>
    </row>
    <row r="2576" spans="1:70" x14ac:dyDescent="0.3">
      <c r="A2576" t="s">
        <v>798</v>
      </c>
      <c r="B2576">
        <v>52200185</v>
      </c>
      <c r="C2576">
        <v>24837727</v>
      </c>
      <c r="D2576" t="s">
        <v>133</v>
      </c>
      <c r="E2576" t="s">
        <v>436</v>
      </c>
      <c r="F2576" t="s">
        <v>431</v>
      </c>
      <c r="G2576" t="s">
        <v>82</v>
      </c>
      <c r="H2576" t="s">
        <v>83</v>
      </c>
      <c r="J2576" t="s">
        <v>52</v>
      </c>
      <c r="K2576" s="15">
        <v>2000</v>
      </c>
      <c r="M2576">
        <v>45391</v>
      </c>
      <c r="N2576" t="s">
        <v>1013</v>
      </c>
      <c r="O2576">
        <v>0</v>
      </c>
      <c r="P2576">
        <v>0</v>
      </c>
      <c r="Q2576">
        <v>0</v>
      </c>
      <c r="R2576">
        <v>751.81896718290466</v>
      </c>
      <c r="S2576">
        <v>4695.1342450120446</v>
      </c>
      <c r="T2576">
        <v>0</v>
      </c>
      <c r="U2576">
        <v>0</v>
      </c>
      <c r="V2576">
        <v>51964.847111538125</v>
      </c>
      <c r="W2576">
        <v>0</v>
      </c>
      <c r="X2576">
        <v>0</v>
      </c>
      <c r="Y2576">
        <v>57411.800323733078</v>
      </c>
      <c r="Z2576">
        <v>3966.1986949585121</v>
      </c>
      <c r="AA2576">
        <v>61377.999018691589</v>
      </c>
      <c r="AB2576" t="s">
        <v>242</v>
      </c>
      <c r="AC2576">
        <v>9</v>
      </c>
      <c r="AD2576">
        <v>18000</v>
      </c>
      <c r="AE2576">
        <v>0</v>
      </c>
      <c r="AF2576">
        <v>0</v>
      </c>
      <c r="AG2576">
        <v>1161.988156731592</v>
      </c>
      <c r="AH2576" t="s">
        <v>58</v>
      </c>
      <c r="AK2576" t="s">
        <v>798</v>
      </c>
      <c r="AL2576">
        <v>52200185</v>
      </c>
      <c r="AM2576">
        <v>24837727</v>
      </c>
      <c r="AN2576" t="s">
        <v>133</v>
      </c>
      <c r="AO2576" t="s">
        <v>436</v>
      </c>
      <c r="AP2576" t="s">
        <v>431</v>
      </c>
      <c r="AQ2576" t="s">
        <v>82</v>
      </c>
      <c r="AR2576" t="s">
        <v>83</v>
      </c>
      <c r="AT2576" t="s">
        <v>52</v>
      </c>
      <c r="AU2576">
        <v>2000</v>
      </c>
      <c r="AW2576">
        <v>45391</v>
      </c>
      <c r="AX2576" t="s">
        <v>1013</v>
      </c>
      <c r="AY2576">
        <v>0</v>
      </c>
      <c r="AZ2576">
        <v>0</v>
      </c>
      <c r="BA2576">
        <v>0</v>
      </c>
      <c r="BB2576">
        <v>751.81896718290466</v>
      </c>
      <c r="BC2576">
        <v>4695.1342450120446</v>
      </c>
      <c r="BD2576">
        <v>0</v>
      </c>
      <c r="BE2576">
        <v>0</v>
      </c>
      <c r="BF2576">
        <v>51964.847111538125</v>
      </c>
      <c r="BG2576">
        <v>0</v>
      </c>
      <c r="BH2576">
        <v>0</v>
      </c>
      <c r="BI2576">
        <v>57411.800323733078</v>
      </c>
      <c r="BJ2576">
        <v>3966.1986949585121</v>
      </c>
      <c r="BK2576">
        <v>61377.999018691589</v>
      </c>
      <c r="BL2576" t="s">
        <v>242</v>
      </c>
      <c r="BM2576">
        <v>9</v>
      </c>
      <c r="BN2576">
        <v>18000</v>
      </c>
      <c r="BO2576">
        <v>0</v>
      </c>
      <c r="BP2576">
        <v>0</v>
      </c>
      <c r="BQ2576">
        <v>1161.988156731592</v>
      </c>
      <c r="BR2576" t="s">
        <v>58</v>
      </c>
    </row>
    <row r="2577" spans="1:70" x14ac:dyDescent="0.3">
      <c r="A2577" t="s">
        <v>798</v>
      </c>
      <c r="B2577">
        <v>4132301968</v>
      </c>
      <c r="C2577" t="s">
        <v>799</v>
      </c>
      <c r="D2577" t="s">
        <v>1006</v>
      </c>
      <c r="E2577" t="s">
        <v>442</v>
      </c>
      <c r="F2577" t="s">
        <v>430</v>
      </c>
      <c r="G2577" t="s">
        <v>230</v>
      </c>
      <c r="H2577" t="s">
        <v>231</v>
      </c>
      <c r="J2577" t="s">
        <v>52</v>
      </c>
      <c r="K2577" s="15">
        <v>5000</v>
      </c>
      <c r="M2577">
        <v>45391</v>
      </c>
      <c r="N2577" t="s">
        <v>1013</v>
      </c>
      <c r="O2577">
        <v>0</v>
      </c>
      <c r="P2577">
        <v>28069.978561966545</v>
      </c>
      <c r="Q2577">
        <v>0</v>
      </c>
      <c r="R2577">
        <v>0</v>
      </c>
      <c r="S2577">
        <v>424247.74</v>
      </c>
      <c r="T2577">
        <v>56047.683586947154</v>
      </c>
      <c r="U2577">
        <v>78504.672897196258</v>
      </c>
      <c r="V2577">
        <v>0</v>
      </c>
      <c r="W2577">
        <v>560747.66355140181</v>
      </c>
      <c r="X2577">
        <v>0</v>
      </c>
      <c r="Y2577">
        <v>1147617.7385975118</v>
      </c>
      <c r="Z2577">
        <v>48671.001402488168</v>
      </c>
      <c r="AA2577">
        <v>1196288.74</v>
      </c>
      <c r="AB2577" t="s">
        <v>242</v>
      </c>
      <c r="AC2577">
        <v>1</v>
      </c>
      <c r="AD2577">
        <v>5000</v>
      </c>
      <c r="AE2577">
        <v>0</v>
      </c>
      <c r="AF2577">
        <v>0</v>
      </c>
      <c r="AG2577">
        <v>198.1574760165031</v>
      </c>
      <c r="AH2577" t="s">
        <v>72</v>
      </c>
      <c r="AK2577" t="s">
        <v>798</v>
      </c>
      <c r="AL2577">
        <v>4132301968</v>
      </c>
      <c r="AM2577" t="s">
        <v>799</v>
      </c>
      <c r="AN2577" t="s">
        <v>1006</v>
      </c>
      <c r="AO2577" t="s">
        <v>442</v>
      </c>
      <c r="AP2577" t="s">
        <v>430</v>
      </c>
      <c r="AQ2577" t="s">
        <v>230</v>
      </c>
      <c r="AR2577" t="s">
        <v>231</v>
      </c>
      <c r="AT2577" t="s">
        <v>52</v>
      </c>
      <c r="AU2577">
        <v>5000</v>
      </c>
      <c r="AW2577">
        <v>45391</v>
      </c>
      <c r="AX2577" t="s">
        <v>1013</v>
      </c>
      <c r="AY2577">
        <v>0</v>
      </c>
      <c r="AZ2577">
        <v>28069.978561966545</v>
      </c>
      <c r="BA2577">
        <v>0</v>
      </c>
      <c r="BB2577">
        <v>0</v>
      </c>
      <c r="BC2577">
        <v>424247.74</v>
      </c>
      <c r="BD2577">
        <v>56047.683586947154</v>
      </c>
      <c r="BE2577">
        <v>78504.672897196258</v>
      </c>
      <c r="BF2577">
        <v>0</v>
      </c>
      <c r="BG2577">
        <v>560747.66355140181</v>
      </c>
      <c r="BH2577">
        <v>0</v>
      </c>
      <c r="BI2577">
        <v>1147617.7385975118</v>
      </c>
      <c r="BJ2577">
        <v>48671.001402488168</v>
      </c>
      <c r="BK2577">
        <v>1196288.74</v>
      </c>
      <c r="BL2577" t="s">
        <v>242</v>
      </c>
      <c r="BM2577">
        <v>1</v>
      </c>
      <c r="BN2577">
        <v>5000</v>
      </c>
      <c r="BO2577">
        <v>0</v>
      </c>
      <c r="BP2577">
        <v>0</v>
      </c>
      <c r="BQ2577">
        <v>198.1574760165031</v>
      </c>
      <c r="BR2577" t="s">
        <v>72</v>
      </c>
    </row>
    <row r="2578" spans="1:70" x14ac:dyDescent="0.3">
      <c r="A2578" t="s">
        <v>798</v>
      </c>
      <c r="B2578">
        <v>5212300001</v>
      </c>
      <c r="C2578" t="s">
        <v>65</v>
      </c>
      <c r="D2578" t="s">
        <v>971</v>
      </c>
      <c r="E2578" t="s">
        <v>448</v>
      </c>
      <c r="F2578" t="s">
        <v>434</v>
      </c>
      <c r="G2578" t="s">
        <v>82</v>
      </c>
      <c r="H2578" t="s">
        <v>71</v>
      </c>
      <c r="J2578" t="s">
        <v>52</v>
      </c>
      <c r="K2578" s="15">
        <v>33170</v>
      </c>
      <c r="M2578">
        <v>45391</v>
      </c>
      <c r="N2578" t="s">
        <v>1013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423579.43925233645</v>
      </c>
      <c r="Y2578">
        <v>423579.43925233645</v>
      </c>
      <c r="Z2578">
        <v>29650.560747663556</v>
      </c>
      <c r="AA2578">
        <v>453230</v>
      </c>
      <c r="AB2578" t="s">
        <v>242</v>
      </c>
      <c r="AC2578">
        <v>4</v>
      </c>
      <c r="AD2578">
        <v>131680</v>
      </c>
      <c r="AE2578">
        <v>0</v>
      </c>
      <c r="AF2578">
        <v>0</v>
      </c>
      <c r="AG2578">
        <v>8614.5794392523385</v>
      </c>
      <c r="AH2578" t="s">
        <v>58</v>
      </c>
      <c r="AK2578" t="s">
        <v>798</v>
      </c>
      <c r="AL2578">
        <v>5212300001</v>
      </c>
      <c r="AM2578" t="s">
        <v>65</v>
      </c>
      <c r="AN2578" t="s">
        <v>971</v>
      </c>
      <c r="AO2578" t="s">
        <v>448</v>
      </c>
      <c r="AP2578" t="s">
        <v>434</v>
      </c>
      <c r="AQ2578" t="s">
        <v>82</v>
      </c>
      <c r="AR2578" t="s">
        <v>71</v>
      </c>
      <c r="AT2578" t="s">
        <v>52</v>
      </c>
      <c r="AU2578">
        <v>33170</v>
      </c>
      <c r="AW2578">
        <v>45391</v>
      </c>
      <c r="AX2578" t="s">
        <v>1013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423579.43925233645</v>
      </c>
      <c r="BI2578">
        <v>423579.43925233645</v>
      </c>
      <c r="BJ2578">
        <v>29650.560747663556</v>
      </c>
      <c r="BK2578">
        <v>453230</v>
      </c>
      <c r="BL2578" t="s">
        <v>242</v>
      </c>
      <c r="BM2578">
        <v>4</v>
      </c>
      <c r="BN2578">
        <v>131680</v>
      </c>
      <c r="BO2578">
        <v>0</v>
      </c>
      <c r="BP2578">
        <v>0</v>
      </c>
      <c r="BQ2578">
        <v>8614.5794392523385</v>
      </c>
      <c r="BR2578" t="s">
        <v>58</v>
      </c>
    </row>
    <row r="2579" spans="1:70" x14ac:dyDescent="0.3">
      <c r="A2579" t="s">
        <v>798</v>
      </c>
      <c r="B2579">
        <v>52200750</v>
      </c>
      <c r="C2579">
        <v>26151957</v>
      </c>
      <c r="D2579" t="s">
        <v>141</v>
      </c>
      <c r="E2579" t="s">
        <v>438</v>
      </c>
      <c r="F2579" t="s">
        <v>431</v>
      </c>
      <c r="G2579" t="s">
        <v>82</v>
      </c>
      <c r="H2579" t="s">
        <v>83</v>
      </c>
      <c r="J2579" t="s">
        <v>52</v>
      </c>
      <c r="K2579" s="15">
        <v>1000</v>
      </c>
      <c r="M2579">
        <v>45392</v>
      </c>
      <c r="N2579" t="s">
        <v>1013</v>
      </c>
      <c r="O2579">
        <v>0</v>
      </c>
      <c r="P2579">
        <v>0</v>
      </c>
      <c r="Q2579">
        <v>0</v>
      </c>
      <c r="R2579">
        <v>785.73051836996092</v>
      </c>
      <c r="S2579">
        <v>17392.710688862957</v>
      </c>
      <c r="T2579">
        <v>0</v>
      </c>
      <c r="U2579">
        <v>0</v>
      </c>
      <c r="V2579">
        <v>47756.1392450563</v>
      </c>
      <c r="W2579">
        <v>0</v>
      </c>
      <c r="X2579">
        <v>0</v>
      </c>
      <c r="Y2579">
        <v>65934.580452289214</v>
      </c>
      <c r="Z2579">
        <v>4560.4194953743481</v>
      </c>
      <c r="AA2579">
        <v>70494.999947663557</v>
      </c>
      <c r="AB2579" t="s">
        <v>242</v>
      </c>
      <c r="AC2579">
        <v>16</v>
      </c>
      <c r="AD2579">
        <v>17000</v>
      </c>
      <c r="AE2579">
        <v>0</v>
      </c>
      <c r="AF2579">
        <v>0</v>
      </c>
      <c r="AG2579">
        <v>1098.7861086784092</v>
      </c>
      <c r="AH2579" t="s">
        <v>58</v>
      </c>
      <c r="AK2579" t="s">
        <v>798</v>
      </c>
      <c r="AL2579">
        <v>52200750</v>
      </c>
      <c r="AM2579">
        <v>26151957</v>
      </c>
      <c r="AN2579" t="s">
        <v>141</v>
      </c>
      <c r="AO2579" t="s">
        <v>438</v>
      </c>
      <c r="AP2579" t="s">
        <v>431</v>
      </c>
      <c r="AQ2579" t="s">
        <v>82</v>
      </c>
      <c r="AR2579" t="s">
        <v>83</v>
      </c>
      <c r="AT2579" t="s">
        <v>52</v>
      </c>
      <c r="AU2579">
        <v>1000</v>
      </c>
      <c r="AW2579">
        <v>45392</v>
      </c>
      <c r="AX2579" t="s">
        <v>1013</v>
      </c>
      <c r="AY2579">
        <v>0</v>
      </c>
      <c r="AZ2579">
        <v>0</v>
      </c>
      <c r="BA2579">
        <v>0</v>
      </c>
      <c r="BB2579">
        <v>785.73051836996092</v>
      </c>
      <c r="BC2579">
        <v>17392.710688862957</v>
      </c>
      <c r="BD2579">
        <v>0</v>
      </c>
      <c r="BE2579">
        <v>0</v>
      </c>
      <c r="BF2579">
        <v>47756.1392450563</v>
      </c>
      <c r="BG2579">
        <v>0</v>
      </c>
      <c r="BH2579">
        <v>0</v>
      </c>
      <c r="BI2579">
        <v>65934.580452289214</v>
      </c>
      <c r="BJ2579">
        <v>4560.4194953743481</v>
      </c>
      <c r="BK2579">
        <v>70494.999947663557</v>
      </c>
      <c r="BL2579" t="s">
        <v>242</v>
      </c>
      <c r="BM2579">
        <v>16</v>
      </c>
      <c r="BN2579">
        <v>17000</v>
      </c>
      <c r="BO2579">
        <v>0</v>
      </c>
      <c r="BP2579">
        <v>0</v>
      </c>
      <c r="BQ2579">
        <v>1098.7861086784092</v>
      </c>
      <c r="BR2579" t="s">
        <v>58</v>
      </c>
    </row>
    <row r="2580" spans="1:70" x14ac:dyDescent="0.3">
      <c r="A2580" t="s">
        <v>798</v>
      </c>
      <c r="B2580">
        <v>4132301344</v>
      </c>
      <c r="C2580" t="s">
        <v>940</v>
      </c>
      <c r="D2580" t="s">
        <v>1007</v>
      </c>
      <c r="E2580" t="s">
        <v>442</v>
      </c>
      <c r="F2580" t="s">
        <v>430</v>
      </c>
      <c r="G2580" t="s">
        <v>230</v>
      </c>
      <c r="H2580" t="s">
        <v>231</v>
      </c>
      <c r="J2580" t="s">
        <v>52</v>
      </c>
      <c r="K2580" s="15">
        <v>1000</v>
      </c>
      <c r="M2580">
        <v>45392</v>
      </c>
      <c r="N2580" t="s">
        <v>1013</v>
      </c>
      <c r="O2580">
        <v>0</v>
      </c>
      <c r="P2580">
        <v>19466.390466362856</v>
      </c>
      <c r="Q2580">
        <v>0</v>
      </c>
      <c r="R2580">
        <v>0</v>
      </c>
      <c r="S2580">
        <v>299709.57</v>
      </c>
      <c r="T2580">
        <v>18077.2051716235</v>
      </c>
      <c r="U2580">
        <v>14953.271028037383</v>
      </c>
      <c r="V2580">
        <v>0</v>
      </c>
      <c r="W2580">
        <v>579439.25233644864</v>
      </c>
      <c r="X2580">
        <v>0</v>
      </c>
      <c r="Y2580">
        <v>931645.68900247244</v>
      </c>
      <c r="Z2580">
        <v>42872.880997527674</v>
      </c>
      <c r="AA2580">
        <v>974518.57000000007</v>
      </c>
      <c r="AB2580" t="s">
        <v>242</v>
      </c>
      <c r="AC2580">
        <v>1</v>
      </c>
      <c r="AD2580">
        <v>1000</v>
      </c>
      <c r="AE2580">
        <v>0</v>
      </c>
      <c r="AF2580">
        <v>0</v>
      </c>
      <c r="AG2580">
        <v>43.006852939626128</v>
      </c>
      <c r="AH2580" t="s">
        <v>72</v>
      </c>
      <c r="AK2580" t="s">
        <v>798</v>
      </c>
      <c r="AL2580">
        <v>4132301344</v>
      </c>
      <c r="AM2580" t="s">
        <v>940</v>
      </c>
      <c r="AN2580" t="s">
        <v>1007</v>
      </c>
      <c r="AO2580" t="s">
        <v>442</v>
      </c>
      <c r="AP2580" t="s">
        <v>430</v>
      </c>
      <c r="AQ2580" t="s">
        <v>230</v>
      </c>
      <c r="AR2580" t="s">
        <v>231</v>
      </c>
      <c r="AT2580" t="s">
        <v>52</v>
      </c>
      <c r="AU2580">
        <v>1000</v>
      </c>
      <c r="AW2580">
        <v>45392</v>
      </c>
      <c r="AX2580" t="s">
        <v>1013</v>
      </c>
      <c r="AY2580">
        <v>0</v>
      </c>
      <c r="AZ2580">
        <v>19466.390466362856</v>
      </c>
      <c r="BA2580">
        <v>0</v>
      </c>
      <c r="BB2580">
        <v>0</v>
      </c>
      <c r="BC2580">
        <v>299709.57</v>
      </c>
      <c r="BD2580">
        <v>18077.2051716235</v>
      </c>
      <c r="BE2580">
        <v>14953.271028037383</v>
      </c>
      <c r="BF2580">
        <v>0</v>
      </c>
      <c r="BG2580">
        <v>579439.25233644864</v>
      </c>
      <c r="BH2580">
        <v>0</v>
      </c>
      <c r="BI2580">
        <v>931645.68900247244</v>
      </c>
      <c r="BJ2580">
        <v>42872.880997527674</v>
      </c>
      <c r="BK2580">
        <v>974518.57000000007</v>
      </c>
      <c r="BL2580" t="s">
        <v>242</v>
      </c>
      <c r="BM2580">
        <v>1</v>
      </c>
      <c r="BN2580">
        <v>1000</v>
      </c>
      <c r="BO2580">
        <v>0</v>
      </c>
      <c r="BP2580">
        <v>0</v>
      </c>
      <c r="BQ2580">
        <v>43.006852939626128</v>
      </c>
      <c r="BR2580" t="s">
        <v>72</v>
      </c>
    </row>
    <row r="2581" spans="1:70" x14ac:dyDescent="0.3">
      <c r="A2581" t="s">
        <v>798</v>
      </c>
      <c r="B2581">
        <v>4302300005</v>
      </c>
      <c r="C2581">
        <v>901019061099</v>
      </c>
      <c r="D2581" t="s">
        <v>222</v>
      </c>
      <c r="E2581" t="s">
        <v>447</v>
      </c>
      <c r="F2581" t="s">
        <v>433</v>
      </c>
      <c r="G2581" t="s">
        <v>82</v>
      </c>
      <c r="H2581" t="s">
        <v>83</v>
      </c>
      <c r="J2581" t="s">
        <v>52</v>
      </c>
      <c r="K2581" s="15">
        <v>20000</v>
      </c>
      <c r="M2581">
        <v>45392</v>
      </c>
      <c r="N2581" t="s">
        <v>1013</v>
      </c>
      <c r="O2581">
        <v>0</v>
      </c>
      <c r="P2581">
        <v>0</v>
      </c>
      <c r="Q2581">
        <v>98109.999503629631</v>
      </c>
      <c r="R2581">
        <v>2677.89</v>
      </c>
      <c r="S2581">
        <v>0</v>
      </c>
      <c r="T2581">
        <v>0</v>
      </c>
      <c r="U2581">
        <v>0</v>
      </c>
      <c r="V2581">
        <v>1407729.2566321217</v>
      </c>
      <c r="W2581">
        <v>0</v>
      </c>
      <c r="X2581">
        <v>0</v>
      </c>
      <c r="Y2581">
        <v>1508517.1461357514</v>
      </c>
      <c r="Z2581">
        <v>98541.04796424853</v>
      </c>
      <c r="AA2581">
        <v>1607058.1941</v>
      </c>
      <c r="AB2581" t="s">
        <v>242</v>
      </c>
      <c r="AC2581">
        <v>3</v>
      </c>
      <c r="AD2581">
        <v>89000</v>
      </c>
      <c r="AE2581">
        <v>0</v>
      </c>
      <c r="AF2581">
        <v>0</v>
      </c>
      <c r="AG2581">
        <v>5432.4461357514701</v>
      </c>
      <c r="AH2581" t="s">
        <v>58</v>
      </c>
      <c r="AK2581" t="s">
        <v>798</v>
      </c>
      <c r="AL2581">
        <v>4302300005</v>
      </c>
      <c r="AM2581">
        <v>901019061099</v>
      </c>
      <c r="AN2581" t="s">
        <v>222</v>
      </c>
      <c r="AO2581" t="s">
        <v>447</v>
      </c>
      <c r="AP2581" t="s">
        <v>433</v>
      </c>
      <c r="AQ2581" t="s">
        <v>82</v>
      </c>
      <c r="AR2581" t="s">
        <v>83</v>
      </c>
      <c r="AT2581" t="s">
        <v>52</v>
      </c>
      <c r="AU2581">
        <v>20000</v>
      </c>
      <c r="AW2581">
        <v>45392</v>
      </c>
      <c r="AX2581" t="s">
        <v>1013</v>
      </c>
      <c r="AY2581">
        <v>0</v>
      </c>
      <c r="AZ2581">
        <v>0</v>
      </c>
      <c r="BA2581">
        <v>98109.999503629631</v>
      </c>
      <c r="BB2581">
        <v>2677.89</v>
      </c>
      <c r="BC2581">
        <v>0</v>
      </c>
      <c r="BD2581">
        <v>0</v>
      </c>
      <c r="BE2581">
        <v>0</v>
      </c>
      <c r="BF2581">
        <v>1407729.2566321217</v>
      </c>
      <c r="BG2581">
        <v>0</v>
      </c>
      <c r="BH2581">
        <v>0</v>
      </c>
      <c r="BI2581">
        <v>1508517.1461357514</v>
      </c>
      <c r="BJ2581">
        <v>98541.04796424853</v>
      </c>
      <c r="BK2581">
        <v>1607058.1941</v>
      </c>
      <c r="BL2581" t="s">
        <v>242</v>
      </c>
      <c r="BM2581">
        <v>3</v>
      </c>
      <c r="BN2581">
        <v>89000</v>
      </c>
      <c r="BO2581">
        <v>0</v>
      </c>
      <c r="BP2581">
        <v>0</v>
      </c>
      <c r="BQ2581">
        <v>5432.4461357514701</v>
      </c>
      <c r="BR2581" t="s">
        <v>58</v>
      </c>
    </row>
    <row r="2582" spans="1:70" x14ac:dyDescent="0.3">
      <c r="A2582" t="s">
        <v>798</v>
      </c>
      <c r="B2582">
        <v>4302300006</v>
      </c>
      <c r="C2582">
        <v>901021066959</v>
      </c>
      <c r="D2582" t="s">
        <v>222</v>
      </c>
      <c r="E2582" t="s">
        <v>447</v>
      </c>
      <c r="F2582" t="s">
        <v>433</v>
      </c>
      <c r="G2582" t="s">
        <v>82</v>
      </c>
      <c r="H2582" t="s">
        <v>83</v>
      </c>
      <c r="J2582" t="s">
        <v>52</v>
      </c>
      <c r="K2582" s="15">
        <v>20000</v>
      </c>
      <c r="M2582">
        <v>45392</v>
      </c>
      <c r="N2582" t="s">
        <v>1013</v>
      </c>
      <c r="O2582">
        <v>0</v>
      </c>
      <c r="P2582">
        <v>0</v>
      </c>
      <c r="Q2582">
        <v>213662.60695842688</v>
      </c>
      <c r="R2582">
        <v>2049.62</v>
      </c>
      <c r="S2582">
        <v>0</v>
      </c>
      <c r="T2582">
        <v>0</v>
      </c>
      <c r="U2582">
        <v>0</v>
      </c>
      <c r="V2582">
        <v>2583148.1142444606</v>
      </c>
      <c r="W2582">
        <v>0</v>
      </c>
      <c r="X2582">
        <v>0</v>
      </c>
      <c r="Y2582">
        <v>2798860.3412028877</v>
      </c>
      <c r="Z2582">
        <v>180820.36799711225</v>
      </c>
      <c r="AA2582">
        <v>2979680.7091999999</v>
      </c>
      <c r="AB2582" t="s">
        <v>242</v>
      </c>
      <c r="AC2582">
        <v>5</v>
      </c>
      <c r="AD2582">
        <v>191851</v>
      </c>
      <c r="AE2582">
        <v>0</v>
      </c>
      <c r="AF2582">
        <v>0</v>
      </c>
      <c r="AG2582">
        <v>11581.251202887739</v>
      </c>
      <c r="AH2582" t="s">
        <v>58</v>
      </c>
      <c r="AK2582" t="s">
        <v>798</v>
      </c>
      <c r="AL2582">
        <v>4302300006</v>
      </c>
      <c r="AM2582">
        <v>901021066959</v>
      </c>
      <c r="AN2582" t="s">
        <v>222</v>
      </c>
      <c r="AO2582" t="s">
        <v>447</v>
      </c>
      <c r="AP2582" t="s">
        <v>433</v>
      </c>
      <c r="AQ2582" t="s">
        <v>82</v>
      </c>
      <c r="AR2582" t="s">
        <v>83</v>
      </c>
      <c r="AT2582" t="s">
        <v>52</v>
      </c>
      <c r="AU2582">
        <v>20000</v>
      </c>
      <c r="AW2582">
        <v>45392</v>
      </c>
      <c r="AX2582" t="s">
        <v>1013</v>
      </c>
      <c r="AY2582">
        <v>0</v>
      </c>
      <c r="AZ2582">
        <v>0</v>
      </c>
      <c r="BA2582">
        <v>213662.60695842688</v>
      </c>
      <c r="BB2582">
        <v>2049.62</v>
      </c>
      <c r="BC2582">
        <v>0</v>
      </c>
      <c r="BD2582">
        <v>0</v>
      </c>
      <c r="BE2582">
        <v>0</v>
      </c>
      <c r="BF2582">
        <v>2583148.1142444606</v>
      </c>
      <c r="BG2582">
        <v>0</v>
      </c>
      <c r="BH2582">
        <v>0</v>
      </c>
      <c r="BI2582">
        <v>2798860.3412028877</v>
      </c>
      <c r="BJ2582">
        <v>180820.36799711225</v>
      </c>
      <c r="BK2582">
        <v>2979680.7091999999</v>
      </c>
      <c r="BL2582" t="s">
        <v>242</v>
      </c>
      <c r="BM2582">
        <v>5</v>
      </c>
      <c r="BN2582">
        <v>191851</v>
      </c>
      <c r="BO2582">
        <v>0</v>
      </c>
      <c r="BP2582">
        <v>0</v>
      </c>
      <c r="BQ2582">
        <v>11581.251202887739</v>
      </c>
      <c r="BR2582" t="s">
        <v>58</v>
      </c>
    </row>
    <row r="2583" spans="1:70" x14ac:dyDescent="0.3">
      <c r="A2583" t="s">
        <v>798</v>
      </c>
      <c r="B2583">
        <v>4302300007</v>
      </c>
      <c r="C2583">
        <v>901021083430</v>
      </c>
      <c r="D2583" t="s">
        <v>222</v>
      </c>
      <c r="E2583" t="s">
        <v>447</v>
      </c>
      <c r="F2583" t="s">
        <v>433</v>
      </c>
      <c r="G2583" t="s">
        <v>82</v>
      </c>
      <c r="H2583" t="s">
        <v>83</v>
      </c>
      <c r="J2583" t="s">
        <v>52</v>
      </c>
      <c r="K2583" s="15">
        <v>20000</v>
      </c>
      <c r="M2583">
        <v>45392</v>
      </c>
      <c r="N2583" t="s">
        <v>1013</v>
      </c>
      <c r="O2583">
        <v>0</v>
      </c>
      <c r="P2583">
        <v>0</v>
      </c>
      <c r="Q2583">
        <v>74160.348561531544</v>
      </c>
      <c r="R2583">
        <v>469.7</v>
      </c>
      <c r="S2583">
        <v>0</v>
      </c>
      <c r="T2583">
        <v>0</v>
      </c>
      <c r="U2583">
        <v>0</v>
      </c>
      <c r="V2583">
        <v>890592.93854062469</v>
      </c>
      <c r="W2583">
        <v>0</v>
      </c>
      <c r="X2583">
        <v>0</v>
      </c>
      <c r="Y2583">
        <v>965222.98710215627</v>
      </c>
      <c r="Z2583">
        <v>62341.505697843735</v>
      </c>
      <c r="AA2583">
        <v>1027564.4928</v>
      </c>
      <c r="AB2583" t="s">
        <v>242</v>
      </c>
      <c r="AC2583">
        <v>4</v>
      </c>
      <c r="AD2583">
        <v>75450</v>
      </c>
      <c r="AE2583">
        <v>0</v>
      </c>
      <c r="AF2583">
        <v>0</v>
      </c>
      <c r="AG2583">
        <v>4553.2271021562683</v>
      </c>
      <c r="AH2583" t="s">
        <v>58</v>
      </c>
      <c r="AK2583" t="s">
        <v>798</v>
      </c>
      <c r="AL2583">
        <v>4302300007</v>
      </c>
      <c r="AM2583">
        <v>901021083430</v>
      </c>
      <c r="AN2583" t="s">
        <v>222</v>
      </c>
      <c r="AO2583" t="s">
        <v>447</v>
      </c>
      <c r="AP2583" t="s">
        <v>433</v>
      </c>
      <c r="AQ2583" t="s">
        <v>82</v>
      </c>
      <c r="AR2583" t="s">
        <v>83</v>
      </c>
      <c r="AT2583" t="s">
        <v>52</v>
      </c>
      <c r="AU2583">
        <v>20000</v>
      </c>
      <c r="AW2583">
        <v>45392</v>
      </c>
      <c r="AX2583" t="s">
        <v>1013</v>
      </c>
      <c r="AY2583">
        <v>0</v>
      </c>
      <c r="AZ2583">
        <v>0</v>
      </c>
      <c r="BA2583">
        <v>74160.348561531544</v>
      </c>
      <c r="BB2583">
        <v>469.7</v>
      </c>
      <c r="BC2583">
        <v>0</v>
      </c>
      <c r="BD2583">
        <v>0</v>
      </c>
      <c r="BE2583">
        <v>0</v>
      </c>
      <c r="BF2583">
        <v>890592.93854062469</v>
      </c>
      <c r="BG2583">
        <v>0</v>
      </c>
      <c r="BH2583">
        <v>0</v>
      </c>
      <c r="BI2583">
        <v>965222.98710215627</v>
      </c>
      <c r="BJ2583">
        <v>62341.505697843735</v>
      </c>
      <c r="BK2583">
        <v>1027564.4928</v>
      </c>
      <c r="BL2583" t="s">
        <v>242</v>
      </c>
      <c r="BM2583">
        <v>4</v>
      </c>
      <c r="BN2583">
        <v>75450</v>
      </c>
      <c r="BO2583">
        <v>0</v>
      </c>
      <c r="BP2583">
        <v>0</v>
      </c>
      <c r="BQ2583">
        <v>4553.2271021562683</v>
      </c>
      <c r="BR2583" t="s">
        <v>58</v>
      </c>
    </row>
    <row r="2584" spans="1:70" x14ac:dyDescent="0.3">
      <c r="A2584" t="s">
        <v>798</v>
      </c>
      <c r="B2584">
        <v>42201075</v>
      </c>
      <c r="C2584">
        <v>2759026295</v>
      </c>
      <c r="D2584" t="s">
        <v>1005</v>
      </c>
      <c r="E2584" t="s">
        <v>439</v>
      </c>
      <c r="F2584" t="s">
        <v>430</v>
      </c>
      <c r="G2584" t="s">
        <v>419</v>
      </c>
      <c r="H2584" t="s">
        <v>234</v>
      </c>
      <c r="J2584" t="s">
        <v>52</v>
      </c>
      <c r="K2584" s="15">
        <v>150000</v>
      </c>
      <c r="M2584">
        <v>45393</v>
      </c>
      <c r="N2584" t="s">
        <v>1018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 t="s">
        <v>242</v>
      </c>
      <c r="AC2584">
        <v>3</v>
      </c>
      <c r="AD2584">
        <v>233030.95</v>
      </c>
      <c r="AE2584">
        <v>0</v>
      </c>
      <c r="AF2584">
        <v>0</v>
      </c>
      <c r="AG2584">
        <v>15245.015420560761</v>
      </c>
      <c r="AH2584" t="s">
        <v>58</v>
      </c>
      <c r="AK2584" t="s">
        <v>798</v>
      </c>
      <c r="AL2584">
        <v>42201075</v>
      </c>
      <c r="AM2584">
        <v>2759026295</v>
      </c>
      <c r="AN2584" t="s">
        <v>1005</v>
      </c>
      <c r="AO2584" t="s">
        <v>439</v>
      </c>
      <c r="AP2584" t="s">
        <v>430</v>
      </c>
      <c r="AQ2584" t="s">
        <v>419</v>
      </c>
      <c r="AR2584" t="s">
        <v>234</v>
      </c>
      <c r="AT2584" t="s">
        <v>52</v>
      </c>
      <c r="AU2584">
        <v>150000</v>
      </c>
      <c r="AW2584">
        <v>45393</v>
      </c>
      <c r="AX2584" t="s">
        <v>1018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 t="s">
        <v>242</v>
      </c>
      <c r="BM2584">
        <v>3</v>
      </c>
      <c r="BN2584">
        <v>233030.95</v>
      </c>
      <c r="BO2584">
        <v>0</v>
      </c>
      <c r="BP2584">
        <v>0</v>
      </c>
      <c r="BQ2584">
        <v>15245.015420560761</v>
      </c>
      <c r="BR2584" t="s">
        <v>58</v>
      </c>
    </row>
    <row r="2585" spans="1:70" x14ac:dyDescent="0.3">
      <c r="A2585" t="s">
        <v>798</v>
      </c>
      <c r="B2585">
        <v>52200619</v>
      </c>
      <c r="C2585">
        <v>6102060118</v>
      </c>
      <c r="D2585" t="s">
        <v>138</v>
      </c>
      <c r="E2585" t="s">
        <v>437</v>
      </c>
      <c r="F2585" t="s">
        <v>431</v>
      </c>
      <c r="G2585" t="s">
        <v>82</v>
      </c>
      <c r="H2585" t="s">
        <v>83</v>
      </c>
      <c r="J2585" t="s">
        <v>52</v>
      </c>
      <c r="K2585" s="15">
        <v>800</v>
      </c>
      <c r="M2585">
        <v>45393</v>
      </c>
      <c r="N2585" t="s">
        <v>1013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1996.4299065420594</v>
      </c>
      <c r="W2585">
        <v>0</v>
      </c>
      <c r="X2585">
        <v>0</v>
      </c>
      <c r="Y2585">
        <v>1996.4299065420594</v>
      </c>
      <c r="Z2585">
        <v>139.75009345794416</v>
      </c>
      <c r="AA2585">
        <v>2136.1800000000035</v>
      </c>
      <c r="AB2585" t="s">
        <v>242</v>
      </c>
      <c r="AC2585">
        <v>23</v>
      </c>
      <c r="AD2585">
        <v>15800</v>
      </c>
      <c r="AE2585">
        <v>0</v>
      </c>
      <c r="AF2585">
        <v>0</v>
      </c>
      <c r="AG2585">
        <v>1033.6448598130842</v>
      </c>
      <c r="AH2585" t="s">
        <v>58</v>
      </c>
      <c r="AK2585" t="s">
        <v>798</v>
      </c>
      <c r="AL2585">
        <v>52200619</v>
      </c>
      <c r="AM2585">
        <v>6102060118</v>
      </c>
      <c r="AN2585" t="s">
        <v>138</v>
      </c>
      <c r="AO2585" t="s">
        <v>437</v>
      </c>
      <c r="AP2585" t="s">
        <v>431</v>
      </c>
      <c r="AQ2585" t="s">
        <v>82</v>
      </c>
      <c r="AR2585" t="s">
        <v>83</v>
      </c>
      <c r="AT2585" t="s">
        <v>52</v>
      </c>
      <c r="AU2585">
        <v>800</v>
      </c>
      <c r="AW2585">
        <v>45393</v>
      </c>
      <c r="AX2585" t="s">
        <v>1013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1996.4299065420594</v>
      </c>
      <c r="BG2585">
        <v>0</v>
      </c>
      <c r="BH2585">
        <v>0</v>
      </c>
      <c r="BI2585">
        <v>1996.4299065420594</v>
      </c>
      <c r="BJ2585">
        <v>139.75009345794416</v>
      </c>
      <c r="BK2585">
        <v>2136.1800000000035</v>
      </c>
      <c r="BL2585" t="s">
        <v>242</v>
      </c>
      <c r="BM2585">
        <v>23</v>
      </c>
      <c r="BN2585">
        <v>15800</v>
      </c>
      <c r="BO2585">
        <v>0</v>
      </c>
      <c r="BP2585">
        <v>0</v>
      </c>
      <c r="BQ2585">
        <v>1033.6448598130842</v>
      </c>
      <c r="BR2585" t="s">
        <v>58</v>
      </c>
    </row>
    <row r="2586" spans="1:70" x14ac:dyDescent="0.3">
      <c r="A2586" t="s">
        <v>798</v>
      </c>
      <c r="B2586">
        <v>4132301575</v>
      </c>
      <c r="C2586" t="s">
        <v>681</v>
      </c>
      <c r="D2586" t="s">
        <v>943</v>
      </c>
      <c r="E2586" t="s">
        <v>442</v>
      </c>
      <c r="F2586" t="s">
        <v>430</v>
      </c>
      <c r="G2586" t="s">
        <v>230</v>
      </c>
      <c r="H2586" t="s">
        <v>231</v>
      </c>
      <c r="J2586" t="s">
        <v>52</v>
      </c>
      <c r="K2586" s="15">
        <v>1000</v>
      </c>
      <c r="M2586">
        <v>45393</v>
      </c>
      <c r="N2586" t="s">
        <v>1013</v>
      </c>
      <c r="O2586">
        <v>0</v>
      </c>
      <c r="P2586">
        <v>14913.166098735259</v>
      </c>
      <c r="Q2586">
        <v>0</v>
      </c>
      <c r="R2586">
        <v>0</v>
      </c>
      <c r="S2586">
        <v>0</v>
      </c>
      <c r="T2586">
        <v>4797.9756086586349</v>
      </c>
      <c r="U2586">
        <v>33644.859813084113</v>
      </c>
      <c r="V2586">
        <v>0</v>
      </c>
      <c r="W2586">
        <v>392523.36448598129</v>
      </c>
      <c r="X2586">
        <v>0</v>
      </c>
      <c r="Y2586">
        <v>445879.36600645928</v>
      </c>
      <c r="Z2586">
        <v>30167.633993540687</v>
      </c>
      <c r="AA2586">
        <v>476047</v>
      </c>
      <c r="AB2586" t="s">
        <v>242</v>
      </c>
      <c r="AC2586">
        <v>4</v>
      </c>
      <c r="AD2586">
        <v>4000</v>
      </c>
      <c r="AE2586">
        <v>0</v>
      </c>
      <c r="AF2586">
        <v>0</v>
      </c>
      <c r="AG2586">
        <v>252.92675412286769</v>
      </c>
      <c r="AH2586" t="s">
        <v>58</v>
      </c>
      <c r="AK2586" t="s">
        <v>798</v>
      </c>
      <c r="AL2586">
        <v>4132301575</v>
      </c>
      <c r="AM2586" t="s">
        <v>681</v>
      </c>
      <c r="AN2586" t="s">
        <v>943</v>
      </c>
      <c r="AO2586" t="s">
        <v>442</v>
      </c>
      <c r="AP2586" t="s">
        <v>430</v>
      </c>
      <c r="AQ2586" t="s">
        <v>230</v>
      </c>
      <c r="AR2586" t="s">
        <v>231</v>
      </c>
      <c r="AT2586" t="s">
        <v>52</v>
      </c>
      <c r="AU2586">
        <v>1000</v>
      </c>
      <c r="AW2586">
        <v>45393</v>
      </c>
      <c r="AX2586" t="s">
        <v>1013</v>
      </c>
      <c r="AY2586">
        <v>0</v>
      </c>
      <c r="AZ2586">
        <v>14913.166098735259</v>
      </c>
      <c r="BA2586">
        <v>0</v>
      </c>
      <c r="BB2586">
        <v>0</v>
      </c>
      <c r="BC2586">
        <v>0</v>
      </c>
      <c r="BD2586">
        <v>4797.9756086586349</v>
      </c>
      <c r="BE2586">
        <v>33644.859813084113</v>
      </c>
      <c r="BF2586">
        <v>0</v>
      </c>
      <c r="BG2586">
        <v>392523.36448598129</v>
      </c>
      <c r="BH2586">
        <v>0</v>
      </c>
      <c r="BI2586">
        <v>445879.36600645928</v>
      </c>
      <c r="BJ2586">
        <v>30167.633993540687</v>
      </c>
      <c r="BK2586">
        <v>476047</v>
      </c>
      <c r="BL2586" t="s">
        <v>242</v>
      </c>
      <c r="BM2586">
        <v>4</v>
      </c>
      <c r="BN2586">
        <v>4000</v>
      </c>
      <c r="BO2586">
        <v>0</v>
      </c>
      <c r="BP2586">
        <v>0</v>
      </c>
      <c r="BQ2586">
        <v>252.92675412286769</v>
      </c>
      <c r="BR2586" t="s">
        <v>58</v>
      </c>
    </row>
    <row r="2587" spans="1:70" x14ac:dyDescent="0.3">
      <c r="A2587" t="s">
        <v>798</v>
      </c>
      <c r="B2587">
        <v>4232300101</v>
      </c>
      <c r="C2587">
        <v>129790</v>
      </c>
      <c r="D2587" t="s">
        <v>764</v>
      </c>
      <c r="E2587" t="s">
        <v>443</v>
      </c>
      <c r="F2587" t="s">
        <v>431</v>
      </c>
      <c r="G2587" t="s">
        <v>230</v>
      </c>
      <c r="H2587" t="s">
        <v>231</v>
      </c>
      <c r="J2587" t="s">
        <v>52</v>
      </c>
      <c r="K2587" s="15">
        <v>67300</v>
      </c>
      <c r="M2587">
        <v>45393</v>
      </c>
      <c r="N2587" t="s">
        <v>1029</v>
      </c>
      <c r="O2587">
        <v>0</v>
      </c>
      <c r="P2587">
        <v>19327.596810676852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610248.97494329256</v>
      </c>
      <c r="X2587">
        <v>0</v>
      </c>
      <c r="Y2587">
        <v>629576.57175396942</v>
      </c>
      <c r="Z2587">
        <v>42717.428246030482</v>
      </c>
      <c r="AA2587">
        <v>672293.99999999988</v>
      </c>
      <c r="AB2587" t="s">
        <v>242</v>
      </c>
      <c r="AC2587">
        <v>2</v>
      </c>
      <c r="AD2587">
        <v>187300</v>
      </c>
      <c r="AE2587">
        <v>0</v>
      </c>
      <c r="AF2587">
        <v>0</v>
      </c>
      <c r="AG2587">
        <v>11871.842782006897</v>
      </c>
      <c r="AH2587" t="s">
        <v>58</v>
      </c>
      <c r="AK2587" t="s">
        <v>798</v>
      </c>
      <c r="AL2587">
        <v>4232300101</v>
      </c>
      <c r="AM2587">
        <v>129790</v>
      </c>
      <c r="AN2587" t="s">
        <v>764</v>
      </c>
      <c r="AO2587" t="s">
        <v>443</v>
      </c>
      <c r="AP2587" t="s">
        <v>431</v>
      </c>
      <c r="AQ2587" t="s">
        <v>230</v>
      </c>
      <c r="AR2587" t="s">
        <v>231</v>
      </c>
      <c r="AT2587" t="s">
        <v>52</v>
      </c>
      <c r="AU2587">
        <v>67300</v>
      </c>
      <c r="AW2587">
        <v>45393</v>
      </c>
      <c r="AX2587" t="s">
        <v>1029</v>
      </c>
      <c r="AY2587">
        <v>0</v>
      </c>
      <c r="AZ2587">
        <v>19327.596810676852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610248.97494329256</v>
      </c>
      <c r="BH2587">
        <v>0</v>
      </c>
      <c r="BI2587">
        <v>629576.57175396942</v>
      </c>
      <c r="BJ2587">
        <v>42717.428246030482</v>
      </c>
      <c r="BK2587">
        <v>672293.99999999988</v>
      </c>
      <c r="BL2587" t="s">
        <v>242</v>
      </c>
      <c r="BM2587">
        <v>2</v>
      </c>
      <c r="BN2587">
        <v>187300</v>
      </c>
      <c r="BO2587">
        <v>0</v>
      </c>
      <c r="BP2587">
        <v>0</v>
      </c>
      <c r="BQ2587">
        <v>11871.842782006897</v>
      </c>
      <c r="BR2587" t="s">
        <v>58</v>
      </c>
    </row>
    <row r="2588" spans="1:70" x14ac:dyDescent="0.3">
      <c r="A2588" t="s">
        <v>798</v>
      </c>
      <c r="B2588">
        <v>52201220</v>
      </c>
      <c r="C2588">
        <v>25378599</v>
      </c>
      <c r="D2588" t="s">
        <v>150</v>
      </c>
      <c r="E2588" t="s">
        <v>438</v>
      </c>
      <c r="F2588" t="s">
        <v>431</v>
      </c>
      <c r="G2588" t="s">
        <v>82</v>
      </c>
      <c r="H2588" t="s">
        <v>83</v>
      </c>
      <c r="J2588" t="s">
        <v>52</v>
      </c>
      <c r="K2588" s="15">
        <v>1000</v>
      </c>
      <c r="M2588">
        <v>45394</v>
      </c>
      <c r="N2588" t="s">
        <v>1013</v>
      </c>
      <c r="O2588">
        <v>0</v>
      </c>
      <c r="P2588">
        <v>0</v>
      </c>
      <c r="Q2588">
        <v>0</v>
      </c>
      <c r="R2588">
        <v>645.10079870638936</v>
      </c>
      <c r="S2588">
        <v>8125.4498666195004</v>
      </c>
      <c r="T2588">
        <v>0</v>
      </c>
      <c r="U2588">
        <v>0</v>
      </c>
      <c r="V2588">
        <v>79718.38097920474</v>
      </c>
      <c r="W2588">
        <v>0</v>
      </c>
      <c r="X2588">
        <v>0</v>
      </c>
      <c r="Y2588">
        <v>88488.931644530632</v>
      </c>
      <c r="Z2588">
        <v>6149.0681592076971</v>
      </c>
      <c r="AA2588">
        <v>94637.999803738334</v>
      </c>
      <c r="AB2588" t="s">
        <v>242</v>
      </c>
      <c r="AC2588">
        <v>14</v>
      </c>
      <c r="AD2588">
        <v>20000</v>
      </c>
      <c r="AE2588">
        <v>0</v>
      </c>
      <c r="AF2588">
        <v>0</v>
      </c>
      <c r="AG2588">
        <v>1298.8009868312593</v>
      </c>
      <c r="AH2588" t="s">
        <v>58</v>
      </c>
      <c r="AK2588" t="s">
        <v>798</v>
      </c>
      <c r="AL2588">
        <v>52201220</v>
      </c>
      <c r="AM2588">
        <v>25378599</v>
      </c>
      <c r="AN2588" t="s">
        <v>150</v>
      </c>
      <c r="AO2588" t="s">
        <v>438</v>
      </c>
      <c r="AP2588" t="s">
        <v>431</v>
      </c>
      <c r="AQ2588" t="s">
        <v>82</v>
      </c>
      <c r="AR2588" t="s">
        <v>83</v>
      </c>
      <c r="AT2588" t="s">
        <v>52</v>
      </c>
      <c r="AU2588">
        <v>1000</v>
      </c>
      <c r="AW2588">
        <v>45394</v>
      </c>
      <c r="AX2588" t="s">
        <v>1013</v>
      </c>
      <c r="AY2588">
        <v>0</v>
      </c>
      <c r="AZ2588">
        <v>0</v>
      </c>
      <c r="BA2588">
        <v>0</v>
      </c>
      <c r="BB2588">
        <v>645.10079870638936</v>
      </c>
      <c r="BC2588">
        <v>8125.4498666195004</v>
      </c>
      <c r="BD2588">
        <v>0</v>
      </c>
      <c r="BE2588">
        <v>0</v>
      </c>
      <c r="BF2588">
        <v>79718.38097920474</v>
      </c>
      <c r="BG2588">
        <v>0</v>
      </c>
      <c r="BH2588">
        <v>0</v>
      </c>
      <c r="BI2588">
        <v>88488.931644530632</v>
      </c>
      <c r="BJ2588">
        <v>6149.0681592076971</v>
      </c>
      <c r="BK2588">
        <v>94637.999803738334</v>
      </c>
      <c r="BL2588" t="s">
        <v>242</v>
      </c>
      <c r="BM2588">
        <v>14</v>
      </c>
      <c r="BN2588">
        <v>20000</v>
      </c>
      <c r="BO2588">
        <v>0</v>
      </c>
      <c r="BP2588">
        <v>0</v>
      </c>
      <c r="BQ2588">
        <v>1298.8009868312593</v>
      </c>
      <c r="BR2588" t="s">
        <v>58</v>
      </c>
    </row>
    <row r="2589" spans="1:70" x14ac:dyDescent="0.3">
      <c r="A2589" t="s">
        <v>798</v>
      </c>
      <c r="B2589">
        <v>52201351</v>
      </c>
      <c r="C2589">
        <v>22940816</v>
      </c>
      <c r="D2589" t="s">
        <v>155</v>
      </c>
      <c r="E2589" t="s">
        <v>438</v>
      </c>
      <c r="F2589" t="s">
        <v>431</v>
      </c>
      <c r="G2589" t="s">
        <v>82</v>
      </c>
      <c r="H2589" t="s">
        <v>83</v>
      </c>
      <c r="J2589" t="s">
        <v>52</v>
      </c>
      <c r="K2589" s="15">
        <v>500</v>
      </c>
      <c r="M2589">
        <v>45397</v>
      </c>
      <c r="N2589" t="s">
        <v>1013</v>
      </c>
      <c r="O2589">
        <v>0</v>
      </c>
      <c r="P2589">
        <v>0</v>
      </c>
      <c r="Q2589">
        <v>0</v>
      </c>
      <c r="R2589">
        <v>728.21419741118552</v>
      </c>
      <c r="S2589">
        <v>12841.086588141383</v>
      </c>
      <c r="T2589">
        <v>0</v>
      </c>
      <c r="U2589">
        <v>0</v>
      </c>
      <c r="V2589">
        <v>73829.741339665459</v>
      </c>
      <c r="W2589">
        <v>0</v>
      </c>
      <c r="X2589">
        <v>0</v>
      </c>
      <c r="Y2589">
        <v>87399.042125218024</v>
      </c>
      <c r="Z2589">
        <v>6066.9579549464788</v>
      </c>
      <c r="AA2589">
        <v>93466.000080164507</v>
      </c>
      <c r="AB2589" t="s">
        <v>242</v>
      </c>
      <c r="AC2589">
        <v>28</v>
      </c>
      <c r="AD2589">
        <v>19400</v>
      </c>
      <c r="AE2589">
        <v>0</v>
      </c>
      <c r="AF2589">
        <v>0</v>
      </c>
      <c r="AG2589">
        <v>1258.5093400175542</v>
      </c>
      <c r="AH2589" t="s">
        <v>58</v>
      </c>
      <c r="AK2589" t="s">
        <v>798</v>
      </c>
      <c r="AL2589">
        <v>52201351</v>
      </c>
      <c r="AM2589">
        <v>22940816</v>
      </c>
      <c r="AN2589" t="s">
        <v>155</v>
      </c>
      <c r="AO2589" t="s">
        <v>438</v>
      </c>
      <c r="AP2589" t="s">
        <v>431</v>
      </c>
      <c r="AQ2589" t="s">
        <v>82</v>
      </c>
      <c r="AR2589" t="s">
        <v>83</v>
      </c>
      <c r="AT2589" t="s">
        <v>52</v>
      </c>
      <c r="AU2589">
        <v>500</v>
      </c>
      <c r="AW2589">
        <v>45397</v>
      </c>
      <c r="AX2589" t="s">
        <v>1013</v>
      </c>
      <c r="AY2589">
        <v>0</v>
      </c>
      <c r="AZ2589">
        <v>0</v>
      </c>
      <c r="BA2589">
        <v>0</v>
      </c>
      <c r="BB2589">
        <v>728.21419741118552</v>
      </c>
      <c r="BC2589">
        <v>12841.086588141383</v>
      </c>
      <c r="BD2589">
        <v>0</v>
      </c>
      <c r="BE2589">
        <v>0</v>
      </c>
      <c r="BF2589">
        <v>73829.741339665459</v>
      </c>
      <c r="BG2589">
        <v>0</v>
      </c>
      <c r="BH2589">
        <v>0</v>
      </c>
      <c r="BI2589">
        <v>87399.042125218024</v>
      </c>
      <c r="BJ2589">
        <v>6066.9579549464788</v>
      </c>
      <c r="BK2589">
        <v>93466.000080164507</v>
      </c>
      <c r="BL2589" t="s">
        <v>242</v>
      </c>
      <c r="BM2589">
        <v>28</v>
      </c>
      <c r="BN2589">
        <v>19400</v>
      </c>
      <c r="BO2589">
        <v>0</v>
      </c>
      <c r="BP2589">
        <v>0</v>
      </c>
      <c r="BQ2589">
        <v>1258.5093400175542</v>
      </c>
      <c r="BR2589" t="s">
        <v>58</v>
      </c>
    </row>
    <row r="2590" spans="1:70" x14ac:dyDescent="0.3">
      <c r="A2590" t="s">
        <v>798</v>
      </c>
      <c r="B2590">
        <v>4142301025</v>
      </c>
      <c r="C2590">
        <v>10501272</v>
      </c>
      <c r="D2590" t="s">
        <v>215</v>
      </c>
      <c r="E2590" t="s">
        <v>445</v>
      </c>
      <c r="F2590" t="s">
        <v>430</v>
      </c>
      <c r="G2590" t="s">
        <v>230</v>
      </c>
      <c r="H2590" t="s">
        <v>234</v>
      </c>
      <c r="J2590" t="s">
        <v>52</v>
      </c>
      <c r="K2590" s="15">
        <v>4500</v>
      </c>
      <c r="M2590">
        <v>45399</v>
      </c>
      <c r="N2590" t="s">
        <v>1013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537302.64485981304</v>
      </c>
      <c r="Y2590">
        <v>537302.64485981304</v>
      </c>
      <c r="Z2590">
        <v>37611.185140186913</v>
      </c>
      <c r="AA2590">
        <v>574913.82999999996</v>
      </c>
      <c r="AB2590" t="s">
        <v>242</v>
      </c>
      <c r="AC2590">
        <v>8</v>
      </c>
      <c r="AD2590">
        <v>73000</v>
      </c>
      <c r="AE2590">
        <v>0</v>
      </c>
      <c r="AF2590">
        <v>0</v>
      </c>
      <c r="AG2590">
        <v>4775.7009345794377</v>
      </c>
      <c r="AH2590" t="s">
        <v>58</v>
      </c>
      <c r="AK2590" t="s">
        <v>798</v>
      </c>
      <c r="AL2590">
        <v>4142301025</v>
      </c>
      <c r="AM2590">
        <v>10501272</v>
      </c>
      <c r="AN2590" t="s">
        <v>215</v>
      </c>
      <c r="AO2590" t="s">
        <v>445</v>
      </c>
      <c r="AP2590" t="s">
        <v>430</v>
      </c>
      <c r="AQ2590" t="s">
        <v>230</v>
      </c>
      <c r="AR2590" t="s">
        <v>234</v>
      </c>
      <c r="AT2590" t="s">
        <v>52</v>
      </c>
      <c r="AU2590">
        <v>4500</v>
      </c>
      <c r="AW2590">
        <v>45399</v>
      </c>
      <c r="AX2590" t="s">
        <v>1013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537302.64485981304</v>
      </c>
      <c r="BI2590">
        <v>537302.64485981304</v>
      </c>
      <c r="BJ2590">
        <v>37611.185140186913</v>
      </c>
      <c r="BK2590">
        <v>574913.82999999996</v>
      </c>
      <c r="BL2590" t="s">
        <v>242</v>
      </c>
      <c r="BM2590">
        <v>8</v>
      </c>
      <c r="BN2590">
        <v>73000</v>
      </c>
      <c r="BO2590">
        <v>0</v>
      </c>
      <c r="BP2590">
        <v>0</v>
      </c>
      <c r="BQ2590">
        <v>4775.7009345794377</v>
      </c>
      <c r="BR2590" t="s">
        <v>58</v>
      </c>
    </row>
    <row r="2591" spans="1:70" x14ac:dyDescent="0.3">
      <c r="A2591" t="s">
        <v>798</v>
      </c>
      <c r="B2591">
        <v>4132300425</v>
      </c>
      <c r="C2591">
        <v>1011500206</v>
      </c>
      <c r="D2591" t="s">
        <v>176</v>
      </c>
      <c r="E2591" t="s">
        <v>441</v>
      </c>
      <c r="F2591" t="s">
        <v>430</v>
      </c>
      <c r="G2591" t="s">
        <v>233</v>
      </c>
      <c r="H2591" t="s">
        <v>231</v>
      </c>
      <c r="J2591" t="s">
        <v>52</v>
      </c>
      <c r="K2591" s="15">
        <v>3000</v>
      </c>
      <c r="M2591">
        <v>45400</v>
      </c>
      <c r="N2591" t="s">
        <v>1013</v>
      </c>
      <c r="O2591">
        <v>0</v>
      </c>
      <c r="P2591">
        <v>915.40767321749763</v>
      </c>
      <c r="Q2591">
        <v>0</v>
      </c>
      <c r="R2591">
        <v>0</v>
      </c>
      <c r="S2591">
        <v>58047.945205479453</v>
      </c>
      <c r="T2591">
        <v>152721.1143240958</v>
      </c>
      <c r="U2591">
        <v>0</v>
      </c>
      <c r="V2591">
        <v>0</v>
      </c>
      <c r="W2591">
        <v>0</v>
      </c>
      <c r="X2591">
        <v>0</v>
      </c>
      <c r="Y2591">
        <v>211684.46720279276</v>
      </c>
      <c r="Z2591">
        <v>10690.478002686707</v>
      </c>
      <c r="AA2591">
        <v>222374.94520547945</v>
      </c>
      <c r="AB2591" t="s">
        <v>242</v>
      </c>
      <c r="AC2591">
        <v>8</v>
      </c>
      <c r="AD2591">
        <v>24000</v>
      </c>
      <c r="AE2591">
        <v>0</v>
      </c>
      <c r="AF2591">
        <v>0</v>
      </c>
      <c r="AG2591">
        <v>1131.4752683413317</v>
      </c>
      <c r="AH2591" t="s">
        <v>58</v>
      </c>
      <c r="AK2591" t="s">
        <v>798</v>
      </c>
      <c r="AL2591">
        <v>4132300425</v>
      </c>
      <c r="AM2591">
        <v>1011500206</v>
      </c>
      <c r="AN2591" t="s">
        <v>176</v>
      </c>
      <c r="AO2591" t="s">
        <v>441</v>
      </c>
      <c r="AP2591" t="s">
        <v>430</v>
      </c>
      <c r="AQ2591" t="s">
        <v>233</v>
      </c>
      <c r="AR2591" t="s">
        <v>231</v>
      </c>
      <c r="AT2591" t="s">
        <v>52</v>
      </c>
      <c r="AU2591">
        <v>3000</v>
      </c>
      <c r="AW2591">
        <v>45400</v>
      </c>
      <c r="AX2591" t="s">
        <v>1013</v>
      </c>
      <c r="AY2591">
        <v>0</v>
      </c>
      <c r="AZ2591">
        <v>915.40767321749763</v>
      </c>
      <c r="BA2591">
        <v>0</v>
      </c>
      <c r="BB2591">
        <v>0</v>
      </c>
      <c r="BC2591">
        <v>58047.945205479453</v>
      </c>
      <c r="BD2591">
        <v>152721.1143240958</v>
      </c>
      <c r="BE2591">
        <v>0</v>
      </c>
      <c r="BF2591">
        <v>0</v>
      </c>
      <c r="BG2591">
        <v>0</v>
      </c>
      <c r="BH2591">
        <v>0</v>
      </c>
      <c r="BI2591">
        <v>211684.46720279276</v>
      </c>
      <c r="BJ2591">
        <v>10690.478002686707</v>
      </c>
      <c r="BK2591">
        <v>222374.94520547945</v>
      </c>
      <c r="BL2591" t="s">
        <v>242</v>
      </c>
      <c r="BM2591">
        <v>8</v>
      </c>
      <c r="BN2591">
        <v>24000</v>
      </c>
      <c r="BO2591">
        <v>0</v>
      </c>
      <c r="BP2591">
        <v>0</v>
      </c>
      <c r="BQ2591">
        <v>1131.4752683413317</v>
      </c>
      <c r="BR2591" t="s">
        <v>58</v>
      </c>
    </row>
    <row r="2592" spans="1:70" x14ac:dyDescent="0.3">
      <c r="A2592" t="s">
        <v>798</v>
      </c>
      <c r="B2592">
        <v>42200737</v>
      </c>
      <c r="C2592">
        <v>2754011893</v>
      </c>
      <c r="D2592" t="s">
        <v>952</v>
      </c>
      <c r="E2592" t="s">
        <v>439</v>
      </c>
      <c r="F2592" t="s">
        <v>430</v>
      </c>
      <c r="G2592" t="s">
        <v>233</v>
      </c>
      <c r="H2592" t="s">
        <v>234</v>
      </c>
      <c r="J2592" t="s">
        <v>52</v>
      </c>
      <c r="K2592" s="15">
        <v>1000</v>
      </c>
      <c r="M2592">
        <v>45401</v>
      </c>
      <c r="N2592" t="s">
        <v>1013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568234.48598130792</v>
      </c>
      <c r="Y2592">
        <v>568234.48598130792</v>
      </c>
      <c r="Z2592">
        <v>39776.414018691561</v>
      </c>
      <c r="AA2592">
        <v>608010.89999999944</v>
      </c>
      <c r="AB2592" t="s">
        <v>242</v>
      </c>
      <c r="AC2592">
        <v>11</v>
      </c>
      <c r="AD2592">
        <v>11000</v>
      </c>
      <c r="AE2592">
        <v>0</v>
      </c>
      <c r="AF2592">
        <v>0</v>
      </c>
      <c r="AG2592">
        <v>719.62616822429914</v>
      </c>
      <c r="AH2592" t="s">
        <v>58</v>
      </c>
      <c r="AK2592" t="s">
        <v>798</v>
      </c>
      <c r="AL2592">
        <v>42200737</v>
      </c>
      <c r="AM2592">
        <v>2754011893</v>
      </c>
      <c r="AN2592" t="s">
        <v>952</v>
      </c>
      <c r="AO2592" t="s">
        <v>439</v>
      </c>
      <c r="AP2592" t="s">
        <v>430</v>
      </c>
      <c r="AQ2592" t="s">
        <v>233</v>
      </c>
      <c r="AR2592" t="s">
        <v>234</v>
      </c>
      <c r="AT2592" t="s">
        <v>52</v>
      </c>
      <c r="AU2592">
        <v>1000</v>
      </c>
      <c r="AW2592">
        <v>45401</v>
      </c>
      <c r="AX2592" t="s">
        <v>1013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568234.48598130792</v>
      </c>
      <c r="BI2592">
        <v>568234.48598130792</v>
      </c>
      <c r="BJ2592">
        <v>39776.414018691561</v>
      </c>
      <c r="BK2592">
        <v>608010.89999999944</v>
      </c>
      <c r="BL2592" t="s">
        <v>242</v>
      </c>
      <c r="BM2592">
        <v>11</v>
      </c>
      <c r="BN2592">
        <v>11000</v>
      </c>
      <c r="BO2592">
        <v>0</v>
      </c>
      <c r="BP2592">
        <v>0</v>
      </c>
      <c r="BQ2592">
        <v>719.62616822429914</v>
      </c>
      <c r="BR2592" t="s">
        <v>58</v>
      </c>
    </row>
    <row r="2593" spans="1:70" x14ac:dyDescent="0.3">
      <c r="A2593" t="s">
        <v>798</v>
      </c>
      <c r="B2593">
        <v>42200889</v>
      </c>
      <c r="C2593">
        <v>2754011907</v>
      </c>
      <c r="D2593" t="s">
        <v>952</v>
      </c>
      <c r="E2593" t="s">
        <v>439</v>
      </c>
      <c r="F2593" t="s">
        <v>430</v>
      </c>
      <c r="G2593" t="s">
        <v>233</v>
      </c>
      <c r="H2593" t="s">
        <v>234</v>
      </c>
      <c r="J2593" t="s">
        <v>52</v>
      </c>
      <c r="K2593" s="15">
        <v>1000</v>
      </c>
      <c r="M2593">
        <v>45401</v>
      </c>
      <c r="N2593" t="s">
        <v>1013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378262.61682243005</v>
      </c>
      <c r="Y2593">
        <v>378262.61682243005</v>
      </c>
      <c r="Z2593">
        <v>26478.383177570107</v>
      </c>
      <c r="AA2593">
        <v>404741.00000000017</v>
      </c>
      <c r="AB2593" t="s">
        <v>242</v>
      </c>
      <c r="AC2593">
        <v>9</v>
      </c>
      <c r="AD2593">
        <v>9000</v>
      </c>
      <c r="AE2593">
        <v>0</v>
      </c>
      <c r="AF2593">
        <v>0</v>
      </c>
      <c r="AG2593">
        <v>588.78504672897202</v>
      </c>
      <c r="AH2593" t="s">
        <v>58</v>
      </c>
      <c r="AK2593" t="s">
        <v>798</v>
      </c>
      <c r="AL2593">
        <v>42200889</v>
      </c>
      <c r="AM2593">
        <v>2754011907</v>
      </c>
      <c r="AN2593" t="s">
        <v>952</v>
      </c>
      <c r="AO2593" t="s">
        <v>439</v>
      </c>
      <c r="AP2593" t="s">
        <v>430</v>
      </c>
      <c r="AQ2593" t="s">
        <v>233</v>
      </c>
      <c r="AR2593" t="s">
        <v>234</v>
      </c>
      <c r="AT2593" t="s">
        <v>52</v>
      </c>
      <c r="AU2593">
        <v>1000</v>
      </c>
      <c r="AW2593">
        <v>45401</v>
      </c>
      <c r="AX2593" t="s">
        <v>1013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378262.61682243005</v>
      </c>
      <c r="BI2593">
        <v>378262.61682243005</v>
      </c>
      <c r="BJ2593">
        <v>26478.383177570107</v>
      </c>
      <c r="BK2593">
        <v>404741.00000000017</v>
      </c>
      <c r="BL2593" t="s">
        <v>242</v>
      </c>
      <c r="BM2593">
        <v>9</v>
      </c>
      <c r="BN2593">
        <v>9000</v>
      </c>
      <c r="BO2593">
        <v>0</v>
      </c>
      <c r="BP2593">
        <v>0</v>
      </c>
      <c r="BQ2593">
        <v>588.78504672897202</v>
      </c>
      <c r="BR2593" t="s">
        <v>58</v>
      </c>
    </row>
    <row r="2594" spans="1:70" x14ac:dyDescent="0.3">
      <c r="A2594" t="s">
        <v>798</v>
      </c>
      <c r="B2594">
        <v>52200085</v>
      </c>
      <c r="C2594">
        <v>26393637</v>
      </c>
      <c r="D2594" t="s">
        <v>656</v>
      </c>
      <c r="E2594" t="s">
        <v>436</v>
      </c>
      <c r="F2594" t="s">
        <v>431</v>
      </c>
      <c r="G2594" t="s">
        <v>235</v>
      </c>
      <c r="H2594" t="s">
        <v>236</v>
      </c>
      <c r="J2594" t="s">
        <v>52</v>
      </c>
      <c r="K2594" s="15">
        <v>3000</v>
      </c>
      <c r="M2594">
        <v>45401</v>
      </c>
      <c r="N2594" t="s">
        <v>1013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150994.39252336451</v>
      </c>
      <c r="W2594">
        <v>0</v>
      </c>
      <c r="X2594">
        <v>0</v>
      </c>
      <c r="Y2594">
        <v>150994.39252336451</v>
      </c>
      <c r="Z2594">
        <v>10569.607476635518</v>
      </c>
      <c r="AA2594">
        <v>161564.00000000003</v>
      </c>
      <c r="AB2594" t="s">
        <v>242</v>
      </c>
      <c r="AC2594">
        <v>4</v>
      </c>
      <c r="AD2594">
        <v>11000</v>
      </c>
      <c r="AE2594">
        <v>0</v>
      </c>
      <c r="AF2594">
        <v>0</v>
      </c>
      <c r="AG2594">
        <v>718.74350228649428</v>
      </c>
      <c r="AH2594" t="s">
        <v>58</v>
      </c>
      <c r="AK2594" t="s">
        <v>798</v>
      </c>
      <c r="AL2594">
        <v>52200085</v>
      </c>
      <c r="AM2594">
        <v>26393637</v>
      </c>
      <c r="AN2594" t="s">
        <v>656</v>
      </c>
      <c r="AO2594" t="s">
        <v>436</v>
      </c>
      <c r="AP2594" t="s">
        <v>431</v>
      </c>
      <c r="AQ2594" t="s">
        <v>235</v>
      </c>
      <c r="AR2594" t="s">
        <v>236</v>
      </c>
      <c r="AT2594" t="s">
        <v>52</v>
      </c>
      <c r="AU2594">
        <v>3000</v>
      </c>
      <c r="AW2594">
        <v>45401</v>
      </c>
      <c r="AX2594" t="s">
        <v>1013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150994.39252336451</v>
      </c>
      <c r="BG2594">
        <v>0</v>
      </c>
      <c r="BH2594">
        <v>0</v>
      </c>
      <c r="BI2594">
        <v>150994.39252336451</v>
      </c>
      <c r="BJ2594">
        <v>10569.607476635518</v>
      </c>
      <c r="BK2594">
        <v>161564.00000000003</v>
      </c>
      <c r="BL2594" t="s">
        <v>242</v>
      </c>
      <c r="BM2594">
        <v>4</v>
      </c>
      <c r="BN2594">
        <v>11000</v>
      </c>
      <c r="BO2594">
        <v>0</v>
      </c>
      <c r="BP2594">
        <v>0</v>
      </c>
      <c r="BQ2594">
        <v>718.74350228649428</v>
      </c>
      <c r="BR2594" t="s">
        <v>58</v>
      </c>
    </row>
    <row r="2595" spans="1:70" x14ac:dyDescent="0.3">
      <c r="A2595" t="s">
        <v>798</v>
      </c>
      <c r="B2595">
        <v>4142300600</v>
      </c>
      <c r="C2595">
        <v>10261717</v>
      </c>
      <c r="D2595" t="s">
        <v>202</v>
      </c>
      <c r="E2595" t="s">
        <v>445</v>
      </c>
      <c r="F2595" t="s">
        <v>430</v>
      </c>
      <c r="G2595" t="s">
        <v>230</v>
      </c>
      <c r="H2595" t="s">
        <v>234</v>
      </c>
      <c r="J2595" t="s">
        <v>52</v>
      </c>
      <c r="K2595" s="15">
        <v>10000</v>
      </c>
      <c r="M2595">
        <v>45401</v>
      </c>
      <c r="N2595" t="s">
        <v>1013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161339.90654205615</v>
      </c>
      <c r="Y2595">
        <v>161339.90654205615</v>
      </c>
      <c r="Z2595">
        <v>11293.793457943932</v>
      </c>
      <c r="AA2595">
        <v>172633.70000000007</v>
      </c>
      <c r="AB2595" t="s">
        <v>242</v>
      </c>
      <c r="AC2595">
        <v>10</v>
      </c>
      <c r="AD2595">
        <v>190000</v>
      </c>
      <c r="AE2595">
        <v>0</v>
      </c>
      <c r="AF2595">
        <v>0</v>
      </c>
      <c r="AG2595">
        <v>12429.906542056071</v>
      </c>
      <c r="AH2595" t="s">
        <v>58</v>
      </c>
      <c r="AK2595" t="s">
        <v>798</v>
      </c>
      <c r="AL2595">
        <v>4142300600</v>
      </c>
      <c r="AM2595">
        <v>10261717</v>
      </c>
      <c r="AN2595" t="s">
        <v>202</v>
      </c>
      <c r="AO2595" t="s">
        <v>445</v>
      </c>
      <c r="AP2595" t="s">
        <v>430</v>
      </c>
      <c r="AQ2595" t="s">
        <v>230</v>
      </c>
      <c r="AR2595" t="s">
        <v>234</v>
      </c>
      <c r="AT2595" t="s">
        <v>52</v>
      </c>
      <c r="AU2595">
        <v>10000</v>
      </c>
      <c r="AW2595">
        <v>45401</v>
      </c>
      <c r="AX2595" t="s">
        <v>1013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161339.90654205615</v>
      </c>
      <c r="BI2595">
        <v>161339.90654205615</v>
      </c>
      <c r="BJ2595">
        <v>11293.793457943932</v>
      </c>
      <c r="BK2595">
        <v>172633.70000000007</v>
      </c>
      <c r="BL2595" t="s">
        <v>242</v>
      </c>
      <c r="BM2595">
        <v>10</v>
      </c>
      <c r="BN2595">
        <v>190000</v>
      </c>
      <c r="BO2595">
        <v>0</v>
      </c>
      <c r="BP2595">
        <v>0</v>
      </c>
      <c r="BQ2595">
        <v>12429.906542056071</v>
      </c>
      <c r="BR2595" t="s">
        <v>58</v>
      </c>
    </row>
    <row r="2596" spans="1:70" x14ac:dyDescent="0.3">
      <c r="A2596" t="s">
        <v>798</v>
      </c>
      <c r="B2596">
        <v>4142300602</v>
      </c>
      <c r="C2596">
        <v>10263779</v>
      </c>
      <c r="D2596" t="s">
        <v>785</v>
      </c>
      <c r="E2596" t="s">
        <v>445</v>
      </c>
      <c r="F2596" t="s">
        <v>430</v>
      </c>
      <c r="G2596" t="s">
        <v>237</v>
      </c>
      <c r="H2596" t="s">
        <v>234</v>
      </c>
      <c r="J2596" t="s">
        <v>450</v>
      </c>
      <c r="K2596" s="15">
        <v>146600</v>
      </c>
      <c r="M2596">
        <v>45401</v>
      </c>
      <c r="N2596" t="s">
        <v>1031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1220907.4776597107</v>
      </c>
      <c r="Y2596">
        <v>1220907.4776597107</v>
      </c>
      <c r="Z2596">
        <v>85463.523436179763</v>
      </c>
      <c r="AA2596">
        <v>1306371.0010958905</v>
      </c>
      <c r="AB2596" t="s">
        <v>242</v>
      </c>
      <c r="AC2596">
        <v>0</v>
      </c>
      <c r="AD2596">
        <v>0</v>
      </c>
      <c r="AE2596">
        <v>0</v>
      </c>
      <c r="AF2596">
        <v>156600</v>
      </c>
      <c r="AG2596">
        <v>10244.859813084118</v>
      </c>
      <c r="AH2596" t="s">
        <v>58</v>
      </c>
      <c r="AK2596" t="s">
        <v>798</v>
      </c>
      <c r="AL2596">
        <v>4142300602</v>
      </c>
      <c r="AM2596">
        <v>10263779</v>
      </c>
      <c r="AN2596" t="s">
        <v>785</v>
      </c>
      <c r="AO2596" t="s">
        <v>445</v>
      </c>
      <c r="AP2596" t="s">
        <v>430</v>
      </c>
      <c r="AQ2596" t="s">
        <v>237</v>
      </c>
      <c r="AR2596" t="s">
        <v>234</v>
      </c>
      <c r="AT2596" t="s">
        <v>450</v>
      </c>
      <c r="AU2596">
        <v>146600</v>
      </c>
      <c r="AW2596">
        <v>45401</v>
      </c>
      <c r="AX2596" t="s">
        <v>1031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1220907.4776597107</v>
      </c>
      <c r="BI2596">
        <v>1220907.4776597107</v>
      </c>
      <c r="BJ2596">
        <v>85463.523436179763</v>
      </c>
      <c r="BK2596">
        <v>1306371.0010958905</v>
      </c>
      <c r="BL2596" t="s">
        <v>242</v>
      </c>
      <c r="BM2596">
        <v>0</v>
      </c>
      <c r="BN2596">
        <v>0</v>
      </c>
      <c r="BO2596">
        <v>0</v>
      </c>
      <c r="BP2596">
        <v>156600</v>
      </c>
      <c r="BQ2596">
        <v>10244.859813084118</v>
      </c>
      <c r="BR2596" t="s">
        <v>58</v>
      </c>
    </row>
    <row r="2597" spans="1:70" x14ac:dyDescent="0.3">
      <c r="A2597" t="s">
        <v>798</v>
      </c>
      <c r="B2597">
        <v>12200153</v>
      </c>
      <c r="C2597">
        <v>19444639</v>
      </c>
      <c r="D2597" t="s">
        <v>114</v>
      </c>
      <c r="E2597" t="s">
        <v>438</v>
      </c>
      <c r="F2597" t="s">
        <v>427</v>
      </c>
      <c r="G2597" t="s">
        <v>82</v>
      </c>
      <c r="H2597" t="s">
        <v>82</v>
      </c>
      <c r="J2597" t="s">
        <v>52</v>
      </c>
      <c r="K2597" s="15">
        <v>3000</v>
      </c>
      <c r="M2597">
        <v>45402</v>
      </c>
      <c r="N2597" t="s">
        <v>1013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122162.72740332247</v>
      </c>
      <c r="W2597">
        <v>0</v>
      </c>
      <c r="X2597">
        <v>0</v>
      </c>
      <c r="Y2597">
        <v>122162.72740332247</v>
      </c>
      <c r="Z2597">
        <v>0</v>
      </c>
      <c r="AA2597">
        <v>122162.72740332247</v>
      </c>
      <c r="AB2597" t="s">
        <v>242</v>
      </c>
      <c r="AC2597">
        <v>10</v>
      </c>
      <c r="AD2597">
        <v>52390</v>
      </c>
      <c r="AE2597">
        <v>0</v>
      </c>
      <c r="AF2597">
        <v>0</v>
      </c>
      <c r="AG2597">
        <v>0</v>
      </c>
      <c r="AH2597" t="s">
        <v>58</v>
      </c>
      <c r="AK2597" t="s">
        <v>798</v>
      </c>
      <c r="AL2597">
        <v>52201672</v>
      </c>
      <c r="AM2597">
        <v>24761551</v>
      </c>
      <c r="AN2597" t="s">
        <v>670</v>
      </c>
      <c r="AO2597" t="s">
        <v>438</v>
      </c>
      <c r="AP2597" t="s">
        <v>431</v>
      </c>
      <c r="AQ2597" t="s">
        <v>421</v>
      </c>
      <c r="AR2597" t="s">
        <v>231</v>
      </c>
      <c r="AT2597" t="s">
        <v>52</v>
      </c>
      <c r="AU2597">
        <v>67010</v>
      </c>
      <c r="AW2597">
        <v>45402</v>
      </c>
      <c r="AX2597" t="s">
        <v>1017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 t="s">
        <v>242</v>
      </c>
      <c r="BM2597">
        <v>2</v>
      </c>
      <c r="BN2597">
        <v>68510</v>
      </c>
      <c r="BO2597">
        <v>0</v>
      </c>
      <c r="BP2597">
        <v>0</v>
      </c>
      <c r="BQ2597">
        <v>4175.7943925233621</v>
      </c>
      <c r="BR2597" t="s">
        <v>58</v>
      </c>
    </row>
    <row r="2598" spans="1:70" x14ac:dyDescent="0.3">
      <c r="A2598" t="s">
        <v>798</v>
      </c>
      <c r="B2598">
        <v>52200970</v>
      </c>
      <c r="C2598">
        <v>26133770</v>
      </c>
      <c r="D2598" t="s">
        <v>145</v>
      </c>
      <c r="E2598" t="s">
        <v>438</v>
      </c>
      <c r="F2598" t="s">
        <v>431</v>
      </c>
      <c r="G2598" t="s">
        <v>82</v>
      </c>
      <c r="H2598" t="s">
        <v>83</v>
      </c>
      <c r="J2598" t="s">
        <v>52</v>
      </c>
      <c r="K2598" s="15">
        <v>1000</v>
      </c>
      <c r="M2598">
        <v>45402</v>
      </c>
      <c r="N2598" t="s">
        <v>1013</v>
      </c>
      <c r="O2598">
        <v>0</v>
      </c>
      <c r="P2598">
        <v>0</v>
      </c>
      <c r="Q2598">
        <v>0</v>
      </c>
      <c r="R2598">
        <v>650.48736856976257</v>
      </c>
      <c r="S2598">
        <v>6095.1278854387756</v>
      </c>
      <c r="T2598">
        <v>0</v>
      </c>
      <c r="U2598">
        <v>0</v>
      </c>
      <c r="V2598">
        <v>38829.650696647303</v>
      </c>
      <c r="W2598">
        <v>0</v>
      </c>
      <c r="X2598">
        <v>0</v>
      </c>
      <c r="Y2598">
        <v>45575.265950655841</v>
      </c>
      <c r="Z2598">
        <v>3144.7345007460258</v>
      </c>
      <c r="AA2598">
        <v>48720.000451401866</v>
      </c>
      <c r="AB2598" t="s">
        <v>242</v>
      </c>
      <c r="AC2598">
        <v>5</v>
      </c>
      <c r="AD2598">
        <v>9835</v>
      </c>
      <c r="AE2598">
        <v>0</v>
      </c>
      <c r="AF2598">
        <v>0</v>
      </c>
      <c r="AG2598">
        <v>634.15337925222752</v>
      </c>
      <c r="AH2598" t="s">
        <v>58</v>
      </c>
      <c r="AK2598" t="s">
        <v>798</v>
      </c>
      <c r="AL2598">
        <v>52200970</v>
      </c>
      <c r="AM2598">
        <v>26133770</v>
      </c>
      <c r="AN2598" t="s">
        <v>145</v>
      </c>
      <c r="AO2598" t="s">
        <v>438</v>
      </c>
      <c r="AP2598" t="s">
        <v>431</v>
      </c>
      <c r="AQ2598" t="s">
        <v>82</v>
      </c>
      <c r="AR2598" t="s">
        <v>83</v>
      </c>
      <c r="AT2598" t="s">
        <v>52</v>
      </c>
      <c r="AU2598">
        <v>1000</v>
      </c>
      <c r="AW2598">
        <v>45402</v>
      </c>
      <c r="AX2598" t="s">
        <v>1013</v>
      </c>
      <c r="AY2598">
        <v>0</v>
      </c>
      <c r="AZ2598">
        <v>0</v>
      </c>
      <c r="BA2598">
        <v>0</v>
      </c>
      <c r="BB2598">
        <v>650.48736856976257</v>
      </c>
      <c r="BC2598">
        <v>6095.1278854387756</v>
      </c>
      <c r="BD2598">
        <v>0</v>
      </c>
      <c r="BE2598">
        <v>0</v>
      </c>
      <c r="BF2598">
        <v>38829.650696647303</v>
      </c>
      <c r="BG2598">
        <v>0</v>
      </c>
      <c r="BH2598">
        <v>0</v>
      </c>
      <c r="BI2598">
        <v>45575.265950655841</v>
      </c>
      <c r="BJ2598">
        <v>3144.7345007460258</v>
      </c>
      <c r="BK2598">
        <v>48720.000451401866</v>
      </c>
      <c r="BL2598" t="s">
        <v>242</v>
      </c>
      <c r="BM2598">
        <v>5</v>
      </c>
      <c r="BN2598">
        <v>9835</v>
      </c>
      <c r="BO2598">
        <v>0</v>
      </c>
      <c r="BP2598">
        <v>0</v>
      </c>
      <c r="BQ2598">
        <v>634.15337925222752</v>
      </c>
      <c r="BR2598" t="s">
        <v>58</v>
      </c>
    </row>
    <row r="2599" spans="1:70" x14ac:dyDescent="0.3">
      <c r="A2599" t="s">
        <v>798</v>
      </c>
      <c r="B2599">
        <v>52201672</v>
      </c>
      <c r="C2599">
        <v>24761551</v>
      </c>
      <c r="D2599" t="s">
        <v>670</v>
      </c>
      <c r="E2599" t="s">
        <v>438</v>
      </c>
      <c r="F2599" t="s">
        <v>431</v>
      </c>
      <c r="G2599" t="s">
        <v>230</v>
      </c>
      <c r="H2599" t="s">
        <v>231</v>
      </c>
      <c r="J2599" t="s">
        <v>52</v>
      </c>
      <c r="K2599" s="15">
        <v>67010</v>
      </c>
      <c r="M2599">
        <v>45402</v>
      </c>
      <c r="N2599" t="s">
        <v>1017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 t="s">
        <v>242</v>
      </c>
      <c r="AC2599">
        <v>2</v>
      </c>
      <c r="AD2599">
        <v>68510</v>
      </c>
      <c r="AE2599">
        <v>0</v>
      </c>
      <c r="AF2599">
        <v>0</v>
      </c>
      <c r="AG2599">
        <v>4175.7943925233621</v>
      </c>
      <c r="AH2599" t="s">
        <v>58</v>
      </c>
      <c r="AK2599" t="s">
        <v>798</v>
      </c>
      <c r="AL2599">
        <v>4142300044</v>
      </c>
      <c r="AM2599">
        <v>120810</v>
      </c>
      <c r="AN2599" t="s">
        <v>955</v>
      </c>
      <c r="AO2599" t="s">
        <v>444</v>
      </c>
      <c r="AP2599" t="s">
        <v>430</v>
      </c>
      <c r="AQ2599" t="s">
        <v>233</v>
      </c>
      <c r="AR2599" t="s">
        <v>231</v>
      </c>
      <c r="AT2599" t="s">
        <v>52</v>
      </c>
      <c r="AU2599">
        <v>1637</v>
      </c>
      <c r="AW2599">
        <v>45402</v>
      </c>
      <c r="AX2599" t="s">
        <v>1013</v>
      </c>
      <c r="AY2599">
        <v>0</v>
      </c>
      <c r="AZ2599">
        <v>0</v>
      </c>
      <c r="BA2599">
        <v>8041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8041</v>
      </c>
      <c r="BJ2599">
        <v>0</v>
      </c>
      <c r="BK2599">
        <v>8041</v>
      </c>
      <c r="BL2599" t="s">
        <v>242</v>
      </c>
      <c r="BM2599">
        <v>9</v>
      </c>
      <c r="BN2599">
        <v>17959</v>
      </c>
      <c r="BO2599">
        <v>0</v>
      </c>
      <c r="BP2599">
        <v>0</v>
      </c>
      <c r="BQ2599">
        <v>0</v>
      </c>
      <c r="BR2599" t="s">
        <v>58</v>
      </c>
    </row>
    <row r="2600" spans="1:70" x14ac:dyDescent="0.3">
      <c r="A2600" t="s">
        <v>798</v>
      </c>
      <c r="B2600">
        <v>4132301163</v>
      </c>
      <c r="C2600">
        <v>9010144563</v>
      </c>
      <c r="D2600" t="s">
        <v>737</v>
      </c>
      <c r="E2600" t="s">
        <v>441</v>
      </c>
      <c r="F2600" t="s">
        <v>430</v>
      </c>
      <c r="G2600" t="s">
        <v>326</v>
      </c>
      <c r="H2600" t="s">
        <v>236</v>
      </c>
      <c r="J2600" t="s">
        <v>52</v>
      </c>
      <c r="K2600" s="15">
        <v>1000</v>
      </c>
      <c r="M2600">
        <v>45402</v>
      </c>
      <c r="N2600" t="s">
        <v>1013</v>
      </c>
      <c r="O2600">
        <v>0</v>
      </c>
      <c r="P2600">
        <v>0</v>
      </c>
      <c r="Q2600">
        <v>0</v>
      </c>
      <c r="R2600">
        <v>0</v>
      </c>
      <c r="S2600">
        <v>34217.231748399914</v>
      </c>
      <c r="T2600">
        <v>0</v>
      </c>
      <c r="U2600">
        <v>0</v>
      </c>
      <c r="V2600">
        <v>69459.50687961599</v>
      </c>
      <c r="W2600">
        <v>0</v>
      </c>
      <c r="X2600">
        <v>0</v>
      </c>
      <c r="Y2600">
        <v>103676.73862801591</v>
      </c>
      <c r="Z2600">
        <v>4862.1654815731199</v>
      </c>
      <c r="AA2600">
        <v>108538.90410958903</v>
      </c>
      <c r="AB2600" t="s">
        <v>242</v>
      </c>
      <c r="AC2600">
        <v>3</v>
      </c>
      <c r="AD2600">
        <v>4000</v>
      </c>
      <c r="AE2600">
        <v>0</v>
      </c>
      <c r="AF2600">
        <v>0</v>
      </c>
      <c r="AG2600">
        <v>175.21769599697313</v>
      </c>
      <c r="AH2600" t="s">
        <v>58</v>
      </c>
      <c r="AK2600" t="s">
        <v>798</v>
      </c>
      <c r="AL2600">
        <v>12200153</v>
      </c>
      <c r="AM2600">
        <v>19444639</v>
      </c>
      <c r="AN2600" t="s">
        <v>114</v>
      </c>
      <c r="AO2600" t="s">
        <v>438</v>
      </c>
      <c r="AP2600" t="s">
        <v>427</v>
      </c>
      <c r="AQ2600" t="s">
        <v>82</v>
      </c>
      <c r="AR2600" t="s">
        <v>82</v>
      </c>
      <c r="AT2600" t="s">
        <v>52</v>
      </c>
      <c r="AU2600">
        <v>3000</v>
      </c>
      <c r="AW2600">
        <v>45402</v>
      </c>
      <c r="AX2600" t="s">
        <v>1013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122162.72740332247</v>
      </c>
      <c r="BG2600">
        <v>0</v>
      </c>
      <c r="BH2600">
        <v>0</v>
      </c>
      <c r="BI2600">
        <v>122162.72740332247</v>
      </c>
      <c r="BJ2600">
        <v>0</v>
      </c>
      <c r="BK2600">
        <v>122162.72740332247</v>
      </c>
      <c r="BL2600" t="s">
        <v>242</v>
      </c>
      <c r="BM2600">
        <v>10</v>
      </c>
      <c r="BN2600">
        <v>52390</v>
      </c>
      <c r="BO2600">
        <v>0</v>
      </c>
      <c r="BP2600">
        <v>0</v>
      </c>
      <c r="BQ2600">
        <v>0</v>
      </c>
      <c r="BR2600" t="s">
        <v>58</v>
      </c>
    </row>
    <row r="2601" spans="1:70" x14ac:dyDescent="0.3">
      <c r="A2601" t="s">
        <v>798</v>
      </c>
      <c r="B2601">
        <v>4142300044</v>
      </c>
      <c r="C2601">
        <v>120810</v>
      </c>
      <c r="D2601" t="s">
        <v>955</v>
      </c>
      <c r="E2601" t="s">
        <v>444</v>
      </c>
      <c r="F2601" t="s">
        <v>430</v>
      </c>
      <c r="G2601" t="s">
        <v>233</v>
      </c>
      <c r="H2601" t="s">
        <v>231</v>
      </c>
      <c r="J2601" t="s">
        <v>52</v>
      </c>
      <c r="K2601" s="15">
        <v>1637</v>
      </c>
      <c r="M2601">
        <v>45402</v>
      </c>
      <c r="N2601" t="s">
        <v>1013</v>
      </c>
      <c r="O2601">
        <v>0</v>
      </c>
      <c r="P2601">
        <v>0</v>
      </c>
      <c r="Q2601">
        <v>8041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8041</v>
      </c>
      <c r="Z2601">
        <v>0</v>
      </c>
      <c r="AA2601">
        <v>8041</v>
      </c>
      <c r="AB2601" t="s">
        <v>242</v>
      </c>
      <c r="AC2601">
        <v>9</v>
      </c>
      <c r="AD2601">
        <v>17959</v>
      </c>
      <c r="AE2601">
        <v>0</v>
      </c>
      <c r="AF2601">
        <v>0</v>
      </c>
      <c r="AG2601">
        <v>0</v>
      </c>
      <c r="AH2601" t="s">
        <v>58</v>
      </c>
      <c r="AK2601" t="s">
        <v>798</v>
      </c>
      <c r="AL2601">
        <v>4132301163</v>
      </c>
      <c r="AM2601">
        <v>9010144563</v>
      </c>
      <c r="AN2601" t="s">
        <v>737</v>
      </c>
      <c r="AO2601" t="s">
        <v>441</v>
      </c>
      <c r="AP2601" t="s">
        <v>430</v>
      </c>
      <c r="AQ2601" t="s">
        <v>326</v>
      </c>
      <c r="AR2601" t="s">
        <v>236</v>
      </c>
      <c r="AT2601" t="s">
        <v>52</v>
      </c>
      <c r="AU2601">
        <v>1000</v>
      </c>
      <c r="AW2601">
        <v>45402</v>
      </c>
      <c r="AX2601" t="s">
        <v>1013</v>
      </c>
      <c r="AY2601">
        <v>0</v>
      </c>
      <c r="AZ2601">
        <v>0</v>
      </c>
      <c r="BA2601">
        <v>0</v>
      </c>
      <c r="BB2601">
        <v>0</v>
      </c>
      <c r="BC2601">
        <v>34217.231748399914</v>
      </c>
      <c r="BD2601">
        <v>0</v>
      </c>
      <c r="BE2601">
        <v>0</v>
      </c>
      <c r="BF2601">
        <v>69459.50687961599</v>
      </c>
      <c r="BG2601">
        <v>0</v>
      </c>
      <c r="BH2601">
        <v>0</v>
      </c>
      <c r="BI2601">
        <v>103676.73862801591</v>
      </c>
      <c r="BJ2601">
        <v>4862.1654815731199</v>
      </c>
      <c r="BK2601">
        <v>108538.90410958903</v>
      </c>
      <c r="BL2601" t="s">
        <v>242</v>
      </c>
      <c r="BM2601">
        <v>3</v>
      </c>
      <c r="BN2601">
        <v>4000</v>
      </c>
      <c r="BO2601">
        <v>0</v>
      </c>
      <c r="BP2601">
        <v>0</v>
      </c>
      <c r="BQ2601">
        <v>175.21769599697313</v>
      </c>
      <c r="BR2601" t="s">
        <v>58</v>
      </c>
    </row>
    <row r="2602" spans="1:70" x14ac:dyDescent="0.3">
      <c r="A2602" t="s">
        <v>798</v>
      </c>
      <c r="B2602">
        <v>52200247</v>
      </c>
      <c r="C2602">
        <v>23477201</v>
      </c>
      <c r="D2602" t="s">
        <v>135</v>
      </c>
      <c r="E2602" t="s">
        <v>436</v>
      </c>
      <c r="F2602" t="s">
        <v>431</v>
      </c>
      <c r="G2602" t="s">
        <v>82</v>
      </c>
      <c r="H2602" t="s">
        <v>83</v>
      </c>
      <c r="J2602" t="s">
        <v>52</v>
      </c>
      <c r="K2602" s="15">
        <v>1000</v>
      </c>
      <c r="M2602">
        <v>45403</v>
      </c>
      <c r="N2602" t="s">
        <v>1013</v>
      </c>
      <c r="O2602">
        <v>0</v>
      </c>
      <c r="P2602">
        <v>0</v>
      </c>
      <c r="Q2602">
        <v>0</v>
      </c>
      <c r="R2602">
        <v>540.78502753493433</v>
      </c>
      <c r="S2602">
        <v>1043.5031238864735</v>
      </c>
      <c r="T2602">
        <v>0</v>
      </c>
      <c r="U2602">
        <v>0</v>
      </c>
      <c r="V2602">
        <v>46605.297542143431</v>
      </c>
      <c r="W2602">
        <v>0</v>
      </c>
      <c r="X2602">
        <v>0</v>
      </c>
      <c r="Y2602">
        <v>48189.585693564841</v>
      </c>
      <c r="Z2602">
        <v>3335.4160466220937</v>
      </c>
      <c r="AA2602">
        <v>51525.001740186934</v>
      </c>
      <c r="AB2602" t="s">
        <v>242</v>
      </c>
      <c r="AC2602">
        <v>11</v>
      </c>
      <c r="AD2602">
        <v>22000</v>
      </c>
      <c r="AE2602">
        <v>0</v>
      </c>
      <c r="AF2602">
        <v>0</v>
      </c>
      <c r="AG2602">
        <v>1422.8177120817254</v>
      </c>
      <c r="AH2602" t="s">
        <v>58</v>
      </c>
      <c r="AK2602" t="s">
        <v>798</v>
      </c>
      <c r="AL2602">
        <v>52200247</v>
      </c>
      <c r="AM2602">
        <v>23477201</v>
      </c>
      <c r="AN2602" t="s">
        <v>135</v>
      </c>
      <c r="AO2602" t="s">
        <v>436</v>
      </c>
      <c r="AP2602" t="s">
        <v>431</v>
      </c>
      <c r="AQ2602" t="s">
        <v>82</v>
      </c>
      <c r="AR2602" t="s">
        <v>83</v>
      </c>
      <c r="AT2602" t="s">
        <v>52</v>
      </c>
      <c r="AU2602">
        <v>1000</v>
      </c>
      <c r="AW2602">
        <v>45403</v>
      </c>
      <c r="AX2602" t="s">
        <v>1013</v>
      </c>
      <c r="AY2602">
        <v>0</v>
      </c>
      <c r="AZ2602">
        <v>0</v>
      </c>
      <c r="BA2602">
        <v>0</v>
      </c>
      <c r="BB2602">
        <v>540.78502753493433</v>
      </c>
      <c r="BC2602">
        <v>1043.5031238864735</v>
      </c>
      <c r="BD2602">
        <v>0</v>
      </c>
      <c r="BE2602">
        <v>0</v>
      </c>
      <c r="BF2602">
        <v>46605.297542143431</v>
      </c>
      <c r="BG2602">
        <v>0</v>
      </c>
      <c r="BH2602">
        <v>0</v>
      </c>
      <c r="BI2602">
        <v>48189.585693564841</v>
      </c>
      <c r="BJ2602">
        <v>3335.4160466220937</v>
      </c>
      <c r="BK2602">
        <v>51525.001740186934</v>
      </c>
      <c r="BL2602" t="s">
        <v>242</v>
      </c>
      <c r="BM2602">
        <v>11</v>
      </c>
      <c r="BN2602">
        <v>22000</v>
      </c>
      <c r="BO2602">
        <v>0</v>
      </c>
      <c r="BP2602">
        <v>0</v>
      </c>
      <c r="BQ2602">
        <v>1422.8177120817254</v>
      </c>
      <c r="BR2602" t="s">
        <v>58</v>
      </c>
    </row>
    <row r="2603" spans="1:70" x14ac:dyDescent="0.3">
      <c r="A2603" t="s">
        <v>798</v>
      </c>
      <c r="B2603">
        <v>4142301135</v>
      </c>
      <c r="C2603">
        <v>10066787</v>
      </c>
      <c r="D2603" t="s">
        <v>775</v>
      </c>
      <c r="E2603" t="s">
        <v>445</v>
      </c>
      <c r="F2603" t="s">
        <v>430</v>
      </c>
      <c r="G2603" t="s">
        <v>230</v>
      </c>
      <c r="H2603" t="s">
        <v>234</v>
      </c>
      <c r="J2603" t="s">
        <v>52</v>
      </c>
      <c r="K2603" s="15">
        <v>50000</v>
      </c>
      <c r="M2603">
        <v>45403</v>
      </c>
      <c r="N2603" t="s">
        <v>1054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300056.92056074762</v>
      </c>
      <c r="Y2603">
        <v>300056.92056074762</v>
      </c>
      <c r="Z2603">
        <v>21003.984439252334</v>
      </c>
      <c r="AA2603">
        <v>321060.90499999997</v>
      </c>
      <c r="AB2603" t="s">
        <v>242</v>
      </c>
      <c r="AC2603">
        <v>2</v>
      </c>
      <c r="AD2603">
        <v>100000</v>
      </c>
      <c r="AE2603">
        <v>0</v>
      </c>
      <c r="AF2603">
        <v>0</v>
      </c>
      <c r="AG2603">
        <v>6542.0560747663549</v>
      </c>
      <c r="AH2603" t="s">
        <v>58</v>
      </c>
      <c r="AK2603" t="s">
        <v>798</v>
      </c>
      <c r="AL2603">
        <v>4142301135</v>
      </c>
      <c r="AM2603">
        <v>10066787</v>
      </c>
      <c r="AN2603" t="s">
        <v>775</v>
      </c>
      <c r="AO2603" t="s">
        <v>445</v>
      </c>
      <c r="AP2603" t="s">
        <v>430</v>
      </c>
      <c r="AQ2603" t="s">
        <v>230</v>
      </c>
      <c r="AR2603" t="s">
        <v>234</v>
      </c>
      <c r="AT2603" t="s">
        <v>52</v>
      </c>
      <c r="AU2603">
        <v>50000</v>
      </c>
      <c r="AW2603">
        <v>45403</v>
      </c>
      <c r="AX2603" t="s">
        <v>1054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300056.92056074762</v>
      </c>
      <c r="BI2603">
        <v>300056.92056074762</v>
      </c>
      <c r="BJ2603">
        <v>21003.984439252334</v>
      </c>
      <c r="BK2603">
        <v>321060.90499999997</v>
      </c>
      <c r="BL2603" t="s">
        <v>242</v>
      </c>
      <c r="BM2603">
        <v>2</v>
      </c>
      <c r="BN2603">
        <v>100000</v>
      </c>
      <c r="BO2603">
        <v>0</v>
      </c>
      <c r="BP2603">
        <v>0</v>
      </c>
      <c r="BQ2603">
        <v>6542.0560747663549</v>
      </c>
      <c r="BR2603" t="s">
        <v>58</v>
      </c>
    </row>
    <row r="2604" spans="1:70" x14ac:dyDescent="0.3">
      <c r="A2604" t="s">
        <v>798</v>
      </c>
      <c r="B2604">
        <v>4142300416</v>
      </c>
      <c r="C2604">
        <v>10179898</v>
      </c>
      <c r="D2604" t="s">
        <v>198</v>
      </c>
      <c r="E2604" t="s">
        <v>445</v>
      </c>
      <c r="F2604" t="s">
        <v>430</v>
      </c>
      <c r="G2604" t="s">
        <v>230</v>
      </c>
      <c r="H2604" t="s">
        <v>234</v>
      </c>
      <c r="J2604" t="s">
        <v>52</v>
      </c>
      <c r="K2604" s="15">
        <v>7200</v>
      </c>
      <c r="M2604">
        <v>45404</v>
      </c>
      <c r="N2604" t="s">
        <v>1029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282950.45794392517</v>
      </c>
      <c r="Y2604">
        <v>282950.45794392517</v>
      </c>
      <c r="Z2604">
        <v>19806.532056074764</v>
      </c>
      <c r="AA2604">
        <v>302756.98999999993</v>
      </c>
      <c r="AB2604" t="s">
        <v>242</v>
      </c>
      <c r="AC2604">
        <v>18</v>
      </c>
      <c r="AD2604">
        <v>74000</v>
      </c>
      <c r="AE2604">
        <v>0</v>
      </c>
      <c r="AF2604">
        <v>0</v>
      </c>
      <c r="AG2604">
        <v>4841.1214953271019</v>
      </c>
      <c r="AH2604" t="s">
        <v>58</v>
      </c>
      <c r="AK2604" t="s">
        <v>798</v>
      </c>
      <c r="AL2604">
        <v>4142300416</v>
      </c>
      <c r="AM2604">
        <v>10179898</v>
      </c>
      <c r="AN2604" t="s">
        <v>198</v>
      </c>
      <c r="AO2604" t="s">
        <v>445</v>
      </c>
      <c r="AP2604" t="s">
        <v>430</v>
      </c>
      <c r="AQ2604" t="s">
        <v>230</v>
      </c>
      <c r="AR2604" t="s">
        <v>234</v>
      </c>
      <c r="AT2604" t="s">
        <v>52</v>
      </c>
      <c r="AU2604">
        <v>7200</v>
      </c>
      <c r="AW2604">
        <v>45404</v>
      </c>
      <c r="AX2604" t="s">
        <v>1029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282950.45794392517</v>
      </c>
      <c r="BI2604">
        <v>282950.45794392517</v>
      </c>
      <c r="BJ2604">
        <v>19806.532056074764</v>
      </c>
      <c r="BK2604">
        <v>302756.98999999993</v>
      </c>
      <c r="BL2604" t="s">
        <v>242</v>
      </c>
      <c r="BM2604">
        <v>18</v>
      </c>
      <c r="BN2604">
        <v>74000</v>
      </c>
      <c r="BO2604">
        <v>0</v>
      </c>
      <c r="BP2604">
        <v>0</v>
      </c>
      <c r="BQ2604">
        <v>4841.1214953271019</v>
      </c>
      <c r="BR2604" t="s">
        <v>58</v>
      </c>
    </row>
    <row r="2605" spans="1:70" x14ac:dyDescent="0.3">
      <c r="A2605" t="s">
        <v>798</v>
      </c>
      <c r="B2605">
        <v>4142300602</v>
      </c>
      <c r="C2605">
        <v>10263779</v>
      </c>
      <c r="D2605" t="s">
        <v>785</v>
      </c>
      <c r="E2605" t="s">
        <v>445</v>
      </c>
      <c r="F2605" t="s">
        <v>430</v>
      </c>
      <c r="G2605" t="s">
        <v>421</v>
      </c>
      <c r="H2605" t="s">
        <v>234</v>
      </c>
      <c r="J2605" t="s">
        <v>450</v>
      </c>
      <c r="K2605" s="15">
        <v>464000</v>
      </c>
      <c r="M2605">
        <v>45404</v>
      </c>
      <c r="N2605" t="s">
        <v>1031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787262.61784662656</v>
      </c>
      <c r="Y2605">
        <v>787262.61784662656</v>
      </c>
      <c r="Z2605">
        <v>55108.383249263861</v>
      </c>
      <c r="AA2605">
        <v>842371.00109589042</v>
      </c>
      <c r="AB2605" t="s">
        <v>242</v>
      </c>
      <c r="AC2605">
        <v>0</v>
      </c>
      <c r="AD2605">
        <v>0</v>
      </c>
      <c r="AE2605">
        <v>0</v>
      </c>
      <c r="AF2605">
        <v>620600</v>
      </c>
      <c r="AG2605">
        <v>40599.999999999993</v>
      </c>
      <c r="AH2605" t="s">
        <v>58</v>
      </c>
      <c r="AK2605" t="s">
        <v>798</v>
      </c>
      <c r="AL2605">
        <v>4142301655</v>
      </c>
      <c r="AM2605">
        <v>10756568</v>
      </c>
      <c r="AN2605" t="s">
        <v>795</v>
      </c>
      <c r="AO2605" t="s">
        <v>446</v>
      </c>
      <c r="AP2605" t="s">
        <v>430</v>
      </c>
      <c r="AQ2605" t="s">
        <v>230</v>
      </c>
      <c r="AR2605" t="s">
        <v>234</v>
      </c>
      <c r="AT2605" t="s">
        <v>52</v>
      </c>
      <c r="AU2605">
        <v>300</v>
      </c>
      <c r="AW2605">
        <v>45404</v>
      </c>
      <c r="AX2605" t="s">
        <v>1013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666116.07476635498</v>
      </c>
      <c r="BI2605">
        <v>666116.07476635498</v>
      </c>
      <c r="BJ2605">
        <v>46628.125233644852</v>
      </c>
      <c r="BK2605">
        <v>712744.19999999984</v>
      </c>
      <c r="BL2605" t="s">
        <v>242</v>
      </c>
      <c r="BM2605">
        <v>2</v>
      </c>
      <c r="BN2605">
        <v>800</v>
      </c>
      <c r="BO2605">
        <v>0</v>
      </c>
      <c r="BP2605">
        <v>0</v>
      </c>
      <c r="BQ2605">
        <v>52.336448598130858</v>
      </c>
      <c r="BR2605" t="s">
        <v>58</v>
      </c>
    </row>
    <row r="2606" spans="1:70" x14ac:dyDescent="0.3">
      <c r="A2606" t="s">
        <v>798</v>
      </c>
      <c r="B2606">
        <v>4142301655</v>
      </c>
      <c r="C2606">
        <v>10756568</v>
      </c>
      <c r="D2606" t="s">
        <v>795</v>
      </c>
      <c r="E2606" t="s">
        <v>446</v>
      </c>
      <c r="F2606" t="s">
        <v>430</v>
      </c>
      <c r="G2606" t="s">
        <v>230</v>
      </c>
      <c r="H2606" t="s">
        <v>234</v>
      </c>
      <c r="J2606" t="s">
        <v>52</v>
      </c>
      <c r="K2606" s="15">
        <v>300</v>
      </c>
      <c r="M2606">
        <v>45404</v>
      </c>
      <c r="N2606" t="s">
        <v>1013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666116.07476635498</v>
      </c>
      <c r="Y2606">
        <v>666116.07476635498</v>
      </c>
      <c r="Z2606">
        <v>46628.125233644852</v>
      </c>
      <c r="AA2606">
        <v>712744.19999999984</v>
      </c>
      <c r="AB2606" t="s">
        <v>242</v>
      </c>
      <c r="AC2606">
        <v>2</v>
      </c>
      <c r="AD2606">
        <v>800</v>
      </c>
      <c r="AE2606">
        <v>0</v>
      </c>
      <c r="AF2606">
        <v>0</v>
      </c>
      <c r="AG2606">
        <v>52.336448598130858</v>
      </c>
      <c r="AH2606" t="s">
        <v>58</v>
      </c>
      <c r="AK2606" t="s">
        <v>798</v>
      </c>
      <c r="AL2606">
        <v>4142300602</v>
      </c>
      <c r="AM2606">
        <v>10263779</v>
      </c>
      <c r="AN2606" t="s">
        <v>785</v>
      </c>
      <c r="AO2606" t="s">
        <v>445</v>
      </c>
      <c r="AP2606" t="s">
        <v>430</v>
      </c>
      <c r="AQ2606" t="s">
        <v>421</v>
      </c>
      <c r="AR2606" t="s">
        <v>234</v>
      </c>
      <c r="AT2606" t="s">
        <v>450</v>
      </c>
      <c r="AU2606">
        <v>464000</v>
      </c>
      <c r="AW2606">
        <v>45404</v>
      </c>
      <c r="AX2606" t="s">
        <v>1031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787262.61784662656</v>
      </c>
      <c r="BI2606">
        <v>787262.61784662656</v>
      </c>
      <c r="BJ2606">
        <v>55108.383249263861</v>
      </c>
      <c r="BK2606">
        <v>842371.00109589042</v>
      </c>
      <c r="BL2606" t="s">
        <v>242</v>
      </c>
      <c r="BM2606">
        <v>0</v>
      </c>
      <c r="BN2606">
        <v>0</v>
      </c>
      <c r="BO2606">
        <v>0</v>
      </c>
      <c r="BP2606">
        <v>620600</v>
      </c>
      <c r="BQ2606">
        <v>40599.999999999993</v>
      </c>
      <c r="BR2606" t="s">
        <v>58</v>
      </c>
    </row>
    <row r="2607" spans="1:70" x14ac:dyDescent="0.3">
      <c r="A2607" t="s">
        <v>798</v>
      </c>
      <c r="B2607">
        <v>12200176</v>
      </c>
      <c r="C2607">
        <v>28068851</v>
      </c>
      <c r="D2607" t="s">
        <v>119</v>
      </c>
      <c r="E2607" t="s">
        <v>438</v>
      </c>
      <c r="F2607" t="s">
        <v>427</v>
      </c>
      <c r="G2607" t="s">
        <v>82</v>
      </c>
      <c r="H2607" t="s">
        <v>82</v>
      </c>
      <c r="J2607" t="s">
        <v>52</v>
      </c>
      <c r="K2607" s="15">
        <v>3000</v>
      </c>
      <c r="M2607">
        <v>45405</v>
      </c>
      <c r="N2607" t="s">
        <v>1013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132725.36979491089</v>
      </c>
      <c r="W2607">
        <v>0</v>
      </c>
      <c r="X2607">
        <v>0</v>
      </c>
      <c r="Y2607">
        <v>132725.36979491089</v>
      </c>
      <c r="Z2607">
        <v>0</v>
      </c>
      <c r="AA2607">
        <v>132725.36979491089</v>
      </c>
      <c r="AB2607" t="s">
        <v>242</v>
      </c>
      <c r="AC2607">
        <v>9</v>
      </c>
      <c r="AD2607">
        <v>33000</v>
      </c>
      <c r="AE2607">
        <v>0</v>
      </c>
      <c r="AF2607">
        <v>0</v>
      </c>
      <c r="AG2607">
        <v>0</v>
      </c>
      <c r="AH2607" t="s">
        <v>58</v>
      </c>
      <c r="AK2607" t="s">
        <v>798</v>
      </c>
      <c r="AL2607">
        <v>12200176</v>
      </c>
      <c r="AM2607">
        <v>28068851</v>
      </c>
      <c r="AN2607" t="s">
        <v>119</v>
      </c>
      <c r="AO2607" t="s">
        <v>438</v>
      </c>
      <c r="AP2607" t="s">
        <v>427</v>
      </c>
      <c r="AQ2607" t="s">
        <v>82</v>
      </c>
      <c r="AR2607" t="s">
        <v>82</v>
      </c>
      <c r="AT2607" t="s">
        <v>52</v>
      </c>
      <c r="AU2607">
        <v>3000</v>
      </c>
      <c r="AW2607">
        <v>45405</v>
      </c>
      <c r="AX2607" t="s">
        <v>1013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132725.36979491089</v>
      </c>
      <c r="BG2607">
        <v>0</v>
      </c>
      <c r="BH2607">
        <v>0</v>
      </c>
      <c r="BI2607">
        <v>132725.36979491089</v>
      </c>
      <c r="BJ2607">
        <v>0</v>
      </c>
      <c r="BK2607">
        <v>132725.36979491089</v>
      </c>
      <c r="BL2607" t="s">
        <v>242</v>
      </c>
      <c r="BM2607">
        <v>9</v>
      </c>
      <c r="BN2607">
        <v>33000</v>
      </c>
      <c r="BO2607">
        <v>0</v>
      </c>
      <c r="BP2607">
        <v>0</v>
      </c>
      <c r="BQ2607">
        <v>0</v>
      </c>
      <c r="BR2607" t="s">
        <v>58</v>
      </c>
    </row>
    <row r="2608" spans="1:70" x14ac:dyDescent="0.3">
      <c r="A2608" t="s">
        <v>798</v>
      </c>
      <c r="B2608">
        <v>52200938</v>
      </c>
      <c r="C2608">
        <v>26269572</v>
      </c>
      <c r="D2608" t="s">
        <v>144</v>
      </c>
      <c r="E2608" t="s">
        <v>438</v>
      </c>
      <c r="F2608" t="s">
        <v>431</v>
      </c>
      <c r="G2608" t="s">
        <v>82</v>
      </c>
      <c r="H2608" t="s">
        <v>83</v>
      </c>
      <c r="J2608" t="s">
        <v>52</v>
      </c>
      <c r="K2608" s="15">
        <v>3000</v>
      </c>
      <c r="M2608">
        <v>45406</v>
      </c>
      <c r="N2608" t="s">
        <v>1013</v>
      </c>
      <c r="O2608">
        <v>0</v>
      </c>
      <c r="P2608">
        <v>0</v>
      </c>
      <c r="Q2608">
        <v>0</v>
      </c>
      <c r="R2608">
        <v>656.21930147079433</v>
      </c>
      <c r="S2608">
        <v>0</v>
      </c>
      <c r="T2608">
        <v>0</v>
      </c>
      <c r="U2608">
        <v>0</v>
      </c>
      <c r="V2608">
        <v>45263.346508364259</v>
      </c>
      <c r="W2608">
        <v>0</v>
      </c>
      <c r="X2608">
        <v>0</v>
      </c>
      <c r="Y2608">
        <v>45919.565809835054</v>
      </c>
      <c r="Z2608">
        <v>3168.4342555854982</v>
      </c>
      <c r="AA2608">
        <v>49088.000065420551</v>
      </c>
      <c r="AB2608" t="s">
        <v>242</v>
      </c>
      <c r="AC2608">
        <v>13</v>
      </c>
      <c r="AD2608">
        <v>33000</v>
      </c>
      <c r="AE2608">
        <v>0</v>
      </c>
      <c r="AF2608">
        <v>0</v>
      </c>
      <c r="AG2608">
        <v>2127.3601412177159</v>
      </c>
      <c r="AH2608" t="s">
        <v>58</v>
      </c>
      <c r="AK2608" t="s">
        <v>798</v>
      </c>
      <c r="AL2608">
        <v>4142300027</v>
      </c>
      <c r="AM2608">
        <v>101318</v>
      </c>
      <c r="AN2608" t="s">
        <v>1008</v>
      </c>
      <c r="AO2608" t="s">
        <v>444</v>
      </c>
      <c r="AP2608" t="s">
        <v>430</v>
      </c>
      <c r="AQ2608" t="s">
        <v>419</v>
      </c>
      <c r="AR2608" t="s">
        <v>231</v>
      </c>
      <c r="AT2608" t="s">
        <v>52</v>
      </c>
      <c r="AU2608">
        <v>154000</v>
      </c>
      <c r="AW2608">
        <v>45406</v>
      </c>
      <c r="AX2608" t="s">
        <v>1017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 t="s">
        <v>242</v>
      </c>
      <c r="BM2608">
        <v>1</v>
      </c>
      <c r="BN2608">
        <v>154000</v>
      </c>
      <c r="BO2608">
        <v>0</v>
      </c>
      <c r="BP2608">
        <v>0</v>
      </c>
      <c r="BQ2608">
        <v>0</v>
      </c>
      <c r="BR2608" t="s">
        <v>72</v>
      </c>
    </row>
    <row r="2609" spans="1:70" x14ac:dyDescent="0.3">
      <c r="A2609" t="s">
        <v>798</v>
      </c>
      <c r="B2609">
        <v>52201351</v>
      </c>
      <c r="C2609">
        <v>22940816</v>
      </c>
      <c r="D2609" t="s">
        <v>155</v>
      </c>
      <c r="E2609" t="s">
        <v>438</v>
      </c>
      <c r="F2609" t="s">
        <v>431</v>
      </c>
      <c r="G2609" t="s">
        <v>82</v>
      </c>
      <c r="H2609" t="s">
        <v>83</v>
      </c>
      <c r="J2609" t="s">
        <v>52</v>
      </c>
      <c r="K2609" s="15">
        <v>500</v>
      </c>
      <c r="M2609">
        <v>45406</v>
      </c>
      <c r="N2609" t="s">
        <v>1013</v>
      </c>
      <c r="O2609">
        <v>0</v>
      </c>
      <c r="P2609">
        <v>0</v>
      </c>
      <c r="Q2609">
        <v>0</v>
      </c>
      <c r="R2609">
        <v>724.04816664183306</v>
      </c>
      <c r="S2609">
        <v>12377.690355215544</v>
      </c>
      <c r="T2609">
        <v>0</v>
      </c>
      <c r="U2609">
        <v>0</v>
      </c>
      <c r="V2609">
        <v>73829.741339665459</v>
      </c>
      <c r="W2609">
        <v>0</v>
      </c>
      <c r="X2609">
        <v>0</v>
      </c>
      <c r="Y2609">
        <v>86931.479861522836</v>
      </c>
      <c r="Z2609">
        <v>6034.5202186416709</v>
      </c>
      <c r="AA2609">
        <v>92966.000080164507</v>
      </c>
      <c r="AB2609" t="s">
        <v>242</v>
      </c>
      <c r="AC2609">
        <v>29</v>
      </c>
      <c r="AD2609">
        <v>19900</v>
      </c>
      <c r="AE2609">
        <v>0</v>
      </c>
      <c r="AF2609">
        <v>0</v>
      </c>
      <c r="AG2609">
        <v>1290.947076322363</v>
      </c>
      <c r="AH2609" t="s">
        <v>58</v>
      </c>
      <c r="AK2609" t="s">
        <v>798</v>
      </c>
      <c r="AL2609">
        <v>52200938</v>
      </c>
      <c r="AM2609">
        <v>26269572</v>
      </c>
      <c r="AN2609" t="s">
        <v>144</v>
      </c>
      <c r="AO2609" t="s">
        <v>438</v>
      </c>
      <c r="AP2609" t="s">
        <v>431</v>
      </c>
      <c r="AQ2609" t="s">
        <v>82</v>
      </c>
      <c r="AR2609" t="s">
        <v>83</v>
      </c>
      <c r="AT2609" t="s">
        <v>52</v>
      </c>
      <c r="AU2609">
        <v>3000</v>
      </c>
      <c r="AW2609">
        <v>45406</v>
      </c>
      <c r="AX2609" t="s">
        <v>1013</v>
      </c>
      <c r="AY2609">
        <v>0</v>
      </c>
      <c r="AZ2609">
        <v>0</v>
      </c>
      <c r="BA2609">
        <v>0</v>
      </c>
      <c r="BB2609">
        <v>656.21930147079433</v>
      </c>
      <c r="BC2609">
        <v>0</v>
      </c>
      <c r="BD2609">
        <v>0</v>
      </c>
      <c r="BE2609">
        <v>0</v>
      </c>
      <c r="BF2609">
        <v>45263.346508364259</v>
      </c>
      <c r="BG2609">
        <v>0</v>
      </c>
      <c r="BH2609">
        <v>0</v>
      </c>
      <c r="BI2609">
        <v>45919.565809835054</v>
      </c>
      <c r="BJ2609">
        <v>3168.4342555854982</v>
      </c>
      <c r="BK2609">
        <v>49088.000065420551</v>
      </c>
      <c r="BL2609" t="s">
        <v>242</v>
      </c>
      <c r="BM2609">
        <v>13</v>
      </c>
      <c r="BN2609">
        <v>33000</v>
      </c>
      <c r="BO2609">
        <v>0</v>
      </c>
      <c r="BP2609">
        <v>0</v>
      </c>
      <c r="BQ2609">
        <v>2127.3601412177159</v>
      </c>
      <c r="BR2609" t="s">
        <v>58</v>
      </c>
    </row>
    <row r="2610" spans="1:70" x14ac:dyDescent="0.3">
      <c r="A2610" t="s">
        <v>798</v>
      </c>
      <c r="B2610">
        <v>52201809</v>
      </c>
      <c r="C2610">
        <v>28380987</v>
      </c>
      <c r="D2610" t="s">
        <v>164</v>
      </c>
      <c r="E2610" t="s">
        <v>438</v>
      </c>
      <c r="F2610" t="s">
        <v>431</v>
      </c>
      <c r="G2610" t="s">
        <v>82</v>
      </c>
      <c r="H2610" t="s">
        <v>83</v>
      </c>
      <c r="J2610" t="s">
        <v>52</v>
      </c>
      <c r="K2610" s="15">
        <v>500</v>
      </c>
      <c r="M2610">
        <v>45406</v>
      </c>
      <c r="N2610" t="s">
        <v>1013</v>
      </c>
      <c r="O2610">
        <v>0</v>
      </c>
      <c r="P2610">
        <v>0</v>
      </c>
      <c r="Q2610">
        <v>0</v>
      </c>
      <c r="R2610">
        <v>914.26227113744028</v>
      </c>
      <c r="S2610">
        <v>26742.43441689045</v>
      </c>
      <c r="T2610">
        <v>0</v>
      </c>
      <c r="U2610">
        <v>0</v>
      </c>
      <c r="V2610">
        <v>51867.600635850336</v>
      </c>
      <c r="W2610">
        <v>0</v>
      </c>
      <c r="X2610">
        <v>0</v>
      </c>
      <c r="Y2610">
        <v>79524.297323878229</v>
      </c>
      <c r="Z2610">
        <v>5502.7024536918552</v>
      </c>
      <c r="AA2610">
        <v>85026.99977757009</v>
      </c>
      <c r="AB2610" t="s">
        <v>242</v>
      </c>
      <c r="AC2610">
        <v>16</v>
      </c>
      <c r="AD2610">
        <v>10800</v>
      </c>
      <c r="AE2610">
        <v>0</v>
      </c>
      <c r="AF2610">
        <v>0</v>
      </c>
      <c r="AG2610">
        <v>698.38164390618772</v>
      </c>
      <c r="AH2610" t="s">
        <v>58</v>
      </c>
      <c r="AK2610" t="s">
        <v>798</v>
      </c>
      <c r="AL2610">
        <v>52201351</v>
      </c>
      <c r="AM2610">
        <v>22940816</v>
      </c>
      <c r="AN2610" t="s">
        <v>155</v>
      </c>
      <c r="AO2610" t="s">
        <v>438</v>
      </c>
      <c r="AP2610" t="s">
        <v>431</v>
      </c>
      <c r="AQ2610" t="s">
        <v>82</v>
      </c>
      <c r="AR2610" t="s">
        <v>83</v>
      </c>
      <c r="AT2610" t="s">
        <v>52</v>
      </c>
      <c r="AU2610">
        <v>500</v>
      </c>
      <c r="AW2610">
        <v>45406</v>
      </c>
      <c r="AX2610" t="s">
        <v>1013</v>
      </c>
      <c r="AY2610">
        <v>0</v>
      </c>
      <c r="AZ2610">
        <v>0</v>
      </c>
      <c r="BA2610">
        <v>0</v>
      </c>
      <c r="BB2610">
        <v>724.04816664183306</v>
      </c>
      <c r="BC2610">
        <v>12377.690355215544</v>
      </c>
      <c r="BD2610">
        <v>0</v>
      </c>
      <c r="BE2610">
        <v>0</v>
      </c>
      <c r="BF2610">
        <v>73829.741339665459</v>
      </c>
      <c r="BG2610">
        <v>0</v>
      </c>
      <c r="BH2610">
        <v>0</v>
      </c>
      <c r="BI2610">
        <v>86931.479861522836</v>
      </c>
      <c r="BJ2610">
        <v>6034.5202186416709</v>
      </c>
      <c r="BK2610">
        <v>92966.000080164507</v>
      </c>
      <c r="BL2610" t="s">
        <v>242</v>
      </c>
      <c r="BM2610">
        <v>29</v>
      </c>
      <c r="BN2610">
        <v>19900</v>
      </c>
      <c r="BO2610">
        <v>0</v>
      </c>
      <c r="BP2610">
        <v>0</v>
      </c>
      <c r="BQ2610">
        <v>1290.947076322363</v>
      </c>
      <c r="BR2610" t="s">
        <v>58</v>
      </c>
    </row>
    <row r="2611" spans="1:70" x14ac:dyDescent="0.3">
      <c r="A2611" t="s">
        <v>798</v>
      </c>
      <c r="B2611">
        <v>4142300027</v>
      </c>
      <c r="C2611">
        <v>101318</v>
      </c>
      <c r="D2611" t="s">
        <v>1008</v>
      </c>
      <c r="E2611" t="s">
        <v>444</v>
      </c>
      <c r="F2611" t="s">
        <v>430</v>
      </c>
      <c r="G2611" t="s">
        <v>233</v>
      </c>
      <c r="H2611" t="s">
        <v>231</v>
      </c>
      <c r="J2611" t="s">
        <v>52</v>
      </c>
      <c r="K2611" s="15">
        <v>154000</v>
      </c>
      <c r="M2611">
        <v>45406</v>
      </c>
      <c r="N2611" t="s">
        <v>1017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 t="s">
        <v>242</v>
      </c>
      <c r="AC2611">
        <v>1</v>
      </c>
      <c r="AD2611">
        <v>154000</v>
      </c>
      <c r="AE2611">
        <v>0</v>
      </c>
      <c r="AF2611">
        <v>0</v>
      </c>
      <c r="AG2611">
        <v>0</v>
      </c>
      <c r="AH2611" t="s">
        <v>72</v>
      </c>
      <c r="AK2611" t="s">
        <v>798</v>
      </c>
      <c r="AL2611">
        <v>52201809</v>
      </c>
      <c r="AM2611">
        <v>28380987</v>
      </c>
      <c r="AN2611" t="s">
        <v>164</v>
      </c>
      <c r="AO2611" t="s">
        <v>438</v>
      </c>
      <c r="AP2611" t="s">
        <v>431</v>
      </c>
      <c r="AQ2611" t="s">
        <v>82</v>
      </c>
      <c r="AR2611" t="s">
        <v>83</v>
      </c>
      <c r="AT2611" t="s">
        <v>52</v>
      </c>
      <c r="AU2611">
        <v>500</v>
      </c>
      <c r="AW2611">
        <v>45406</v>
      </c>
      <c r="AX2611" t="s">
        <v>1013</v>
      </c>
      <c r="AY2611">
        <v>0</v>
      </c>
      <c r="AZ2611">
        <v>0</v>
      </c>
      <c r="BA2611">
        <v>0</v>
      </c>
      <c r="BB2611">
        <v>914.26227113744028</v>
      </c>
      <c r="BC2611">
        <v>26742.43441689045</v>
      </c>
      <c r="BD2611">
        <v>0</v>
      </c>
      <c r="BE2611">
        <v>0</v>
      </c>
      <c r="BF2611">
        <v>51867.600635850336</v>
      </c>
      <c r="BG2611">
        <v>0</v>
      </c>
      <c r="BH2611">
        <v>0</v>
      </c>
      <c r="BI2611">
        <v>79524.297323878229</v>
      </c>
      <c r="BJ2611">
        <v>5502.7024536918552</v>
      </c>
      <c r="BK2611">
        <v>85026.99977757009</v>
      </c>
      <c r="BL2611" t="s">
        <v>242</v>
      </c>
      <c r="BM2611">
        <v>16</v>
      </c>
      <c r="BN2611">
        <v>10800</v>
      </c>
      <c r="BO2611">
        <v>0</v>
      </c>
      <c r="BP2611">
        <v>0</v>
      </c>
      <c r="BQ2611">
        <v>698.38164390618772</v>
      </c>
      <c r="BR2611" t="s">
        <v>58</v>
      </c>
    </row>
    <row r="2612" spans="1:70" x14ac:dyDescent="0.3">
      <c r="A2612" t="s">
        <v>798</v>
      </c>
      <c r="B2612">
        <v>4142301217</v>
      </c>
      <c r="C2612">
        <v>10151131</v>
      </c>
      <c r="D2612" t="s">
        <v>749</v>
      </c>
      <c r="E2612" t="s">
        <v>446</v>
      </c>
      <c r="F2612" t="s">
        <v>430</v>
      </c>
      <c r="G2612" t="s">
        <v>230</v>
      </c>
      <c r="H2612" t="s">
        <v>234</v>
      </c>
      <c r="J2612" t="s">
        <v>52</v>
      </c>
      <c r="K2612" s="15">
        <v>1000</v>
      </c>
      <c r="M2612">
        <v>45406</v>
      </c>
      <c r="N2612" t="s">
        <v>1013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477218.88785046735</v>
      </c>
      <c r="Y2612">
        <v>477218.88785046735</v>
      </c>
      <c r="Z2612">
        <v>33405.322149532716</v>
      </c>
      <c r="AA2612">
        <v>510624.21000000008</v>
      </c>
      <c r="AB2612" t="s">
        <v>242</v>
      </c>
      <c r="AC2612">
        <v>4</v>
      </c>
      <c r="AD2612">
        <v>8000</v>
      </c>
      <c r="AE2612">
        <v>0</v>
      </c>
      <c r="AF2612">
        <v>0</v>
      </c>
      <c r="AG2612">
        <v>523.36448598130823</v>
      </c>
      <c r="AH2612" t="s">
        <v>58</v>
      </c>
      <c r="AK2612" t="s">
        <v>798</v>
      </c>
      <c r="AL2612">
        <v>4142301217</v>
      </c>
      <c r="AM2612">
        <v>10151131</v>
      </c>
      <c r="AN2612" t="s">
        <v>749</v>
      </c>
      <c r="AO2612" t="s">
        <v>446</v>
      </c>
      <c r="AP2612" t="s">
        <v>430</v>
      </c>
      <c r="AQ2612" t="s">
        <v>230</v>
      </c>
      <c r="AR2612" t="s">
        <v>234</v>
      </c>
      <c r="AT2612" t="s">
        <v>52</v>
      </c>
      <c r="AU2612">
        <v>1000</v>
      </c>
      <c r="AW2612">
        <v>45406</v>
      </c>
      <c r="AX2612" t="s">
        <v>1013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477218.88785046735</v>
      </c>
      <c r="BI2612">
        <v>477218.88785046735</v>
      </c>
      <c r="BJ2612">
        <v>33405.322149532716</v>
      </c>
      <c r="BK2612">
        <v>510624.21000000008</v>
      </c>
      <c r="BL2612" t="s">
        <v>242</v>
      </c>
      <c r="BM2612">
        <v>4</v>
      </c>
      <c r="BN2612">
        <v>8000</v>
      </c>
      <c r="BO2612">
        <v>0</v>
      </c>
      <c r="BP2612">
        <v>0</v>
      </c>
      <c r="BQ2612">
        <v>523.36448598130823</v>
      </c>
      <c r="BR2612" t="s">
        <v>58</v>
      </c>
    </row>
    <row r="2613" spans="1:70" x14ac:dyDescent="0.3">
      <c r="A2613" t="s">
        <v>798</v>
      </c>
      <c r="B2613">
        <v>2200001</v>
      </c>
      <c r="C2613">
        <v>22961523</v>
      </c>
      <c r="D2613" t="s">
        <v>407</v>
      </c>
      <c r="E2613" t="s">
        <v>435</v>
      </c>
      <c r="F2613" t="s">
        <v>675</v>
      </c>
      <c r="G2613" t="s">
        <v>235</v>
      </c>
      <c r="H2613" t="s">
        <v>235</v>
      </c>
      <c r="J2613" t="s">
        <v>52</v>
      </c>
      <c r="K2613" s="15">
        <v>3000</v>
      </c>
      <c r="M2613">
        <v>45407</v>
      </c>
      <c r="N2613" t="s">
        <v>1013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24246.990000000005</v>
      </c>
      <c r="W2613">
        <v>0</v>
      </c>
      <c r="X2613">
        <v>0</v>
      </c>
      <c r="Y2613">
        <v>24246.990000000005</v>
      </c>
      <c r="Z2613">
        <v>0</v>
      </c>
      <c r="AA2613">
        <v>24246.990000000005</v>
      </c>
      <c r="AB2613" t="s">
        <v>242</v>
      </c>
      <c r="AC2613">
        <v>15</v>
      </c>
      <c r="AD2613">
        <v>45000</v>
      </c>
      <c r="AE2613">
        <v>0</v>
      </c>
      <c r="AF2613">
        <v>0</v>
      </c>
      <c r="AG2613">
        <v>0</v>
      </c>
      <c r="AH2613" t="s">
        <v>58</v>
      </c>
      <c r="AK2613" t="s">
        <v>798</v>
      </c>
      <c r="AL2613">
        <v>2200001</v>
      </c>
      <c r="AM2613">
        <v>22961523</v>
      </c>
      <c r="AN2613" t="s">
        <v>407</v>
      </c>
      <c r="AO2613" t="s">
        <v>435</v>
      </c>
      <c r="AP2613" t="s">
        <v>675</v>
      </c>
      <c r="AQ2613" t="s">
        <v>235</v>
      </c>
      <c r="AR2613" t="s">
        <v>235</v>
      </c>
      <c r="AT2613" t="s">
        <v>52</v>
      </c>
      <c r="AU2613">
        <v>3000</v>
      </c>
      <c r="AW2613">
        <v>45407</v>
      </c>
      <c r="AX2613" t="s">
        <v>1013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24246.990000000005</v>
      </c>
      <c r="BG2613">
        <v>0</v>
      </c>
      <c r="BH2613">
        <v>0</v>
      </c>
      <c r="BI2613">
        <v>24246.990000000005</v>
      </c>
      <c r="BJ2613">
        <v>0</v>
      </c>
      <c r="BK2613">
        <v>24246.990000000005</v>
      </c>
      <c r="BL2613" t="s">
        <v>242</v>
      </c>
      <c r="BM2613">
        <v>15</v>
      </c>
      <c r="BN2613">
        <v>45000</v>
      </c>
      <c r="BO2613">
        <v>0</v>
      </c>
      <c r="BP2613">
        <v>0</v>
      </c>
      <c r="BQ2613">
        <v>0</v>
      </c>
      <c r="BR2613" t="s">
        <v>58</v>
      </c>
    </row>
    <row r="2614" spans="1:70" x14ac:dyDescent="0.3">
      <c r="A2614" t="s">
        <v>798</v>
      </c>
      <c r="B2614">
        <v>12200074</v>
      </c>
      <c r="C2614">
        <v>24614224</v>
      </c>
      <c r="D2614" t="s">
        <v>112</v>
      </c>
      <c r="E2614" t="s">
        <v>436</v>
      </c>
      <c r="F2614" t="s">
        <v>427</v>
      </c>
      <c r="G2614" t="s">
        <v>82</v>
      </c>
      <c r="H2614" t="s">
        <v>82</v>
      </c>
      <c r="J2614" t="s">
        <v>52</v>
      </c>
      <c r="K2614" s="15">
        <v>1000</v>
      </c>
      <c r="M2614">
        <v>45407</v>
      </c>
      <c r="N2614" t="s">
        <v>1013</v>
      </c>
      <c r="O2614">
        <v>0</v>
      </c>
      <c r="P2614">
        <v>0</v>
      </c>
      <c r="Q2614">
        <v>0</v>
      </c>
      <c r="R2614">
        <v>0</v>
      </c>
      <c r="S2614">
        <v>12080.236883253237</v>
      </c>
      <c r="T2614">
        <v>0</v>
      </c>
      <c r="U2614">
        <v>0</v>
      </c>
      <c r="V2614">
        <v>97971.528938102099</v>
      </c>
      <c r="W2614">
        <v>0</v>
      </c>
      <c r="X2614">
        <v>0</v>
      </c>
      <c r="Y2614">
        <v>110051.76582135534</v>
      </c>
      <c r="Z2614">
        <v>0</v>
      </c>
      <c r="AA2614">
        <v>110051.76582135534</v>
      </c>
      <c r="AB2614" t="s">
        <v>242</v>
      </c>
      <c r="AC2614">
        <v>6</v>
      </c>
      <c r="AD2614">
        <v>8500</v>
      </c>
      <c r="AE2614">
        <v>0</v>
      </c>
      <c r="AF2614">
        <v>0</v>
      </c>
      <c r="AG2614">
        <v>0</v>
      </c>
      <c r="AH2614" t="s">
        <v>58</v>
      </c>
      <c r="AK2614" t="s">
        <v>798</v>
      </c>
      <c r="AL2614">
        <v>52200619</v>
      </c>
      <c r="AM2614">
        <v>6102060118</v>
      </c>
      <c r="AN2614" t="s">
        <v>138</v>
      </c>
      <c r="AO2614" t="s">
        <v>437</v>
      </c>
      <c r="AP2614" t="s">
        <v>431</v>
      </c>
      <c r="AQ2614" t="s">
        <v>82</v>
      </c>
      <c r="AR2614" t="s">
        <v>83</v>
      </c>
      <c r="AT2614" t="s">
        <v>52</v>
      </c>
      <c r="AU2614">
        <v>700</v>
      </c>
      <c r="AW2614">
        <v>45407</v>
      </c>
      <c r="AX2614" t="s">
        <v>1013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1342.224299065424</v>
      </c>
      <c r="BG2614">
        <v>0</v>
      </c>
      <c r="BH2614">
        <v>0</v>
      </c>
      <c r="BI2614">
        <v>1342.224299065424</v>
      </c>
      <c r="BJ2614">
        <v>93.955700934579696</v>
      </c>
      <c r="BK2614">
        <v>1436.1800000000037</v>
      </c>
      <c r="BL2614" t="s">
        <v>242</v>
      </c>
      <c r="BM2614">
        <v>24</v>
      </c>
      <c r="BN2614">
        <v>16500</v>
      </c>
      <c r="BO2614">
        <v>0</v>
      </c>
      <c r="BP2614">
        <v>0</v>
      </c>
      <c r="BQ2614">
        <v>1079.4392523364486</v>
      </c>
      <c r="BR2614" t="s">
        <v>58</v>
      </c>
    </row>
    <row r="2615" spans="1:70" x14ac:dyDescent="0.3">
      <c r="A2615" t="s">
        <v>798</v>
      </c>
      <c r="B2615">
        <v>52200044</v>
      </c>
      <c r="C2615">
        <v>24843920</v>
      </c>
      <c r="D2615" t="s">
        <v>383</v>
      </c>
      <c r="E2615" t="s">
        <v>435</v>
      </c>
      <c r="F2615" t="s">
        <v>431</v>
      </c>
      <c r="G2615" t="s">
        <v>235</v>
      </c>
      <c r="H2615" t="s">
        <v>236</v>
      </c>
      <c r="J2615" t="s">
        <v>52</v>
      </c>
      <c r="K2615" s="15">
        <v>3000</v>
      </c>
      <c r="M2615">
        <v>45407</v>
      </c>
      <c r="N2615" t="s">
        <v>1013</v>
      </c>
      <c r="O2615">
        <v>3853.4618730872853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115049.10105318947</v>
      </c>
      <c r="W2615">
        <v>0</v>
      </c>
      <c r="X2615">
        <v>0</v>
      </c>
      <c r="Y2615">
        <v>118902.56292627676</v>
      </c>
      <c r="Z2615">
        <v>8053.4370737232639</v>
      </c>
      <c r="AA2615">
        <v>126956.00000000003</v>
      </c>
      <c r="AB2615" t="s">
        <v>242</v>
      </c>
      <c r="AC2615">
        <v>9</v>
      </c>
      <c r="AD2615">
        <v>37000</v>
      </c>
      <c r="AE2615">
        <v>0</v>
      </c>
      <c r="AF2615">
        <v>0</v>
      </c>
      <c r="AG2615">
        <v>2348.154074154967</v>
      </c>
      <c r="AH2615" t="s">
        <v>58</v>
      </c>
      <c r="AK2615" t="s">
        <v>798</v>
      </c>
      <c r="AL2615">
        <v>52201478</v>
      </c>
      <c r="AM2615">
        <v>27554409</v>
      </c>
      <c r="AN2615" t="s">
        <v>158</v>
      </c>
      <c r="AO2615" t="s">
        <v>438</v>
      </c>
      <c r="AP2615" t="s">
        <v>431</v>
      </c>
      <c r="AQ2615" t="s">
        <v>82</v>
      </c>
      <c r="AR2615" t="s">
        <v>83</v>
      </c>
      <c r="AT2615" t="s">
        <v>52</v>
      </c>
      <c r="AU2615">
        <v>1000</v>
      </c>
      <c r="AW2615">
        <v>45407</v>
      </c>
      <c r="AX2615" t="s">
        <v>1013</v>
      </c>
      <c r="AY2615">
        <v>0</v>
      </c>
      <c r="AZ2615">
        <v>0</v>
      </c>
      <c r="BA2615">
        <v>0</v>
      </c>
      <c r="BB2615">
        <v>815.37074921844101</v>
      </c>
      <c r="BC2615">
        <v>2343.4816973514767</v>
      </c>
      <c r="BD2615">
        <v>0</v>
      </c>
      <c r="BE2615">
        <v>0</v>
      </c>
      <c r="BF2615">
        <v>34714.115647688501</v>
      </c>
      <c r="BG2615">
        <v>0</v>
      </c>
      <c r="BH2615">
        <v>0</v>
      </c>
      <c r="BI2615">
        <v>37872.968094258416</v>
      </c>
      <c r="BJ2615">
        <v>2594.0318141527987</v>
      </c>
      <c r="BK2615">
        <v>40466.999908411213</v>
      </c>
      <c r="BL2615" t="s">
        <v>242</v>
      </c>
      <c r="BM2615">
        <v>4</v>
      </c>
      <c r="BN2615">
        <v>3500</v>
      </c>
      <c r="BO2615">
        <v>0</v>
      </c>
      <c r="BP2615">
        <v>0</v>
      </c>
      <c r="BQ2615">
        <v>224.02425462176723</v>
      </c>
      <c r="BR2615" t="s">
        <v>58</v>
      </c>
    </row>
    <row r="2616" spans="1:70" x14ac:dyDescent="0.3">
      <c r="A2616" t="s">
        <v>798</v>
      </c>
      <c r="B2616">
        <v>52200619</v>
      </c>
      <c r="C2616">
        <v>6102060118</v>
      </c>
      <c r="D2616" t="s">
        <v>138</v>
      </c>
      <c r="E2616" t="s">
        <v>437</v>
      </c>
      <c r="F2616" t="s">
        <v>431</v>
      </c>
      <c r="G2616" t="s">
        <v>82</v>
      </c>
      <c r="H2616" t="s">
        <v>83</v>
      </c>
      <c r="J2616" t="s">
        <v>52</v>
      </c>
      <c r="K2616" s="15">
        <v>700</v>
      </c>
      <c r="M2616">
        <v>45407</v>
      </c>
      <c r="N2616" t="s">
        <v>1013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1342.224299065424</v>
      </c>
      <c r="W2616">
        <v>0</v>
      </c>
      <c r="X2616">
        <v>0</v>
      </c>
      <c r="Y2616">
        <v>1342.224299065424</v>
      </c>
      <c r="Z2616">
        <v>93.955700934579696</v>
      </c>
      <c r="AA2616">
        <v>1436.1800000000037</v>
      </c>
      <c r="AB2616" t="s">
        <v>242</v>
      </c>
      <c r="AC2616">
        <v>24</v>
      </c>
      <c r="AD2616">
        <v>16500</v>
      </c>
      <c r="AE2616">
        <v>0</v>
      </c>
      <c r="AF2616">
        <v>0</v>
      </c>
      <c r="AG2616">
        <v>1079.4392523364486</v>
      </c>
      <c r="AH2616" t="s">
        <v>58</v>
      </c>
      <c r="AK2616" t="s">
        <v>798</v>
      </c>
      <c r="AL2616">
        <v>12200074</v>
      </c>
      <c r="AM2616">
        <v>24614224</v>
      </c>
      <c r="AN2616" t="s">
        <v>112</v>
      </c>
      <c r="AO2616" t="s">
        <v>436</v>
      </c>
      <c r="AP2616" t="s">
        <v>427</v>
      </c>
      <c r="AQ2616" t="s">
        <v>82</v>
      </c>
      <c r="AR2616" t="s">
        <v>82</v>
      </c>
      <c r="AT2616" t="s">
        <v>52</v>
      </c>
      <c r="AU2616">
        <v>1000</v>
      </c>
      <c r="AW2616">
        <v>45407</v>
      </c>
      <c r="AX2616" t="s">
        <v>1013</v>
      </c>
      <c r="AY2616">
        <v>0</v>
      </c>
      <c r="AZ2616">
        <v>0</v>
      </c>
      <c r="BA2616">
        <v>0</v>
      </c>
      <c r="BB2616">
        <v>0</v>
      </c>
      <c r="BC2616">
        <v>12080.236883253237</v>
      </c>
      <c r="BD2616">
        <v>0</v>
      </c>
      <c r="BE2616">
        <v>0</v>
      </c>
      <c r="BF2616">
        <v>97971.528938102099</v>
      </c>
      <c r="BG2616">
        <v>0</v>
      </c>
      <c r="BH2616">
        <v>0</v>
      </c>
      <c r="BI2616">
        <v>110051.76582135534</v>
      </c>
      <c r="BJ2616">
        <v>0</v>
      </c>
      <c r="BK2616">
        <v>110051.76582135534</v>
      </c>
      <c r="BL2616" t="s">
        <v>242</v>
      </c>
      <c r="BM2616">
        <v>6</v>
      </c>
      <c r="BN2616">
        <v>8500</v>
      </c>
      <c r="BO2616">
        <v>0</v>
      </c>
      <c r="BP2616">
        <v>0</v>
      </c>
      <c r="BQ2616">
        <v>0</v>
      </c>
      <c r="BR2616" t="s">
        <v>58</v>
      </c>
    </row>
    <row r="2617" spans="1:70" x14ac:dyDescent="0.3">
      <c r="A2617" t="s">
        <v>798</v>
      </c>
      <c r="B2617">
        <v>52201478</v>
      </c>
      <c r="C2617">
        <v>27554409</v>
      </c>
      <c r="D2617" t="s">
        <v>158</v>
      </c>
      <c r="E2617" t="s">
        <v>438</v>
      </c>
      <c r="F2617" t="s">
        <v>431</v>
      </c>
      <c r="G2617" t="s">
        <v>82</v>
      </c>
      <c r="H2617" t="s">
        <v>83</v>
      </c>
      <c r="J2617" t="s">
        <v>52</v>
      </c>
      <c r="K2617" s="15">
        <v>1000</v>
      </c>
      <c r="M2617">
        <v>45407</v>
      </c>
      <c r="N2617" t="s">
        <v>1013</v>
      </c>
      <c r="O2617">
        <v>0</v>
      </c>
      <c r="P2617">
        <v>0</v>
      </c>
      <c r="Q2617">
        <v>0</v>
      </c>
      <c r="R2617">
        <v>815.37074921844101</v>
      </c>
      <c r="S2617">
        <v>2343.4816973514767</v>
      </c>
      <c r="T2617">
        <v>0</v>
      </c>
      <c r="U2617">
        <v>0</v>
      </c>
      <c r="V2617">
        <v>34714.115647688501</v>
      </c>
      <c r="W2617">
        <v>0</v>
      </c>
      <c r="X2617">
        <v>0</v>
      </c>
      <c r="Y2617">
        <v>37872.968094258416</v>
      </c>
      <c r="Z2617">
        <v>2594.0318141527987</v>
      </c>
      <c r="AA2617">
        <v>40466.999908411213</v>
      </c>
      <c r="AB2617" t="s">
        <v>242</v>
      </c>
      <c r="AC2617">
        <v>4</v>
      </c>
      <c r="AD2617">
        <v>3500</v>
      </c>
      <c r="AE2617">
        <v>0</v>
      </c>
      <c r="AF2617">
        <v>0</v>
      </c>
      <c r="AG2617">
        <v>224.02425462176723</v>
      </c>
      <c r="AH2617" t="s">
        <v>58</v>
      </c>
      <c r="AK2617" t="s">
        <v>798</v>
      </c>
      <c r="AL2617">
        <v>52200044</v>
      </c>
      <c r="AM2617">
        <v>24843920</v>
      </c>
      <c r="AN2617" t="s">
        <v>383</v>
      </c>
      <c r="AO2617" t="s">
        <v>435</v>
      </c>
      <c r="AP2617" t="s">
        <v>431</v>
      </c>
      <c r="AQ2617" t="s">
        <v>235</v>
      </c>
      <c r="AR2617" t="s">
        <v>236</v>
      </c>
      <c r="AT2617" t="s">
        <v>52</v>
      </c>
      <c r="AU2617">
        <v>3000</v>
      </c>
      <c r="AW2617">
        <v>45407</v>
      </c>
      <c r="AX2617" t="s">
        <v>1013</v>
      </c>
      <c r="AY2617">
        <v>3853.4618730872853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115049.10105318947</v>
      </c>
      <c r="BG2617">
        <v>0</v>
      </c>
      <c r="BH2617">
        <v>0</v>
      </c>
      <c r="BI2617">
        <v>118902.56292627676</v>
      </c>
      <c r="BJ2617">
        <v>8053.4370737232639</v>
      </c>
      <c r="BK2617">
        <v>126956.00000000003</v>
      </c>
      <c r="BL2617" t="s">
        <v>242</v>
      </c>
      <c r="BM2617">
        <v>9</v>
      </c>
      <c r="BN2617">
        <v>37000</v>
      </c>
      <c r="BO2617">
        <v>0</v>
      </c>
      <c r="BP2617">
        <v>0</v>
      </c>
      <c r="BQ2617">
        <v>2348.154074154967</v>
      </c>
      <c r="BR2617" t="s">
        <v>58</v>
      </c>
    </row>
    <row r="2618" spans="1:70" x14ac:dyDescent="0.3">
      <c r="A2618" t="s">
        <v>798</v>
      </c>
      <c r="B2618">
        <v>4132300331</v>
      </c>
      <c r="C2618">
        <v>9040040746</v>
      </c>
      <c r="D2618" t="s">
        <v>174</v>
      </c>
      <c r="E2618" t="s">
        <v>441</v>
      </c>
      <c r="F2618" t="s">
        <v>430</v>
      </c>
      <c r="G2618" t="s">
        <v>230</v>
      </c>
      <c r="H2618" t="s">
        <v>231</v>
      </c>
      <c r="J2618" t="s">
        <v>52</v>
      </c>
      <c r="K2618" s="15">
        <v>1000</v>
      </c>
      <c r="M2618">
        <v>45407</v>
      </c>
      <c r="N2618" t="s">
        <v>1013</v>
      </c>
      <c r="O2618">
        <v>0</v>
      </c>
      <c r="P2618">
        <v>8804.4733156116054</v>
      </c>
      <c r="Q2618">
        <v>0</v>
      </c>
      <c r="R2618">
        <v>0</v>
      </c>
      <c r="S2618">
        <v>7733.8356164383558</v>
      </c>
      <c r="T2618">
        <v>34654.697835877014</v>
      </c>
      <c r="U2618">
        <v>0</v>
      </c>
      <c r="V2618">
        <v>0</v>
      </c>
      <c r="W2618">
        <v>168224.29906542055</v>
      </c>
      <c r="X2618">
        <v>0</v>
      </c>
      <c r="Y2618">
        <v>219417.30583334752</v>
      </c>
      <c r="Z2618">
        <v>14201.529783090831</v>
      </c>
      <c r="AA2618">
        <v>233618.83561643836</v>
      </c>
      <c r="AB2618" t="s">
        <v>242</v>
      </c>
      <c r="AC2618">
        <v>8</v>
      </c>
      <c r="AD2618">
        <v>11000</v>
      </c>
      <c r="AE2618">
        <v>0</v>
      </c>
      <c r="AF2618">
        <v>0</v>
      </c>
      <c r="AG2618">
        <v>665.29264681571237</v>
      </c>
      <c r="AH2618" t="s">
        <v>58</v>
      </c>
      <c r="AK2618" t="s">
        <v>798</v>
      </c>
      <c r="AL2618">
        <v>4132300331</v>
      </c>
      <c r="AM2618">
        <v>9040040746</v>
      </c>
      <c r="AN2618" t="s">
        <v>174</v>
      </c>
      <c r="AO2618" t="s">
        <v>441</v>
      </c>
      <c r="AP2618" t="s">
        <v>430</v>
      </c>
      <c r="AQ2618" t="s">
        <v>230</v>
      </c>
      <c r="AR2618" t="s">
        <v>231</v>
      </c>
      <c r="AT2618" t="s">
        <v>52</v>
      </c>
      <c r="AU2618">
        <v>1000</v>
      </c>
      <c r="AW2618">
        <v>45407</v>
      </c>
      <c r="AX2618" t="s">
        <v>1013</v>
      </c>
      <c r="AY2618">
        <v>0</v>
      </c>
      <c r="AZ2618">
        <v>8804.4733156116054</v>
      </c>
      <c r="BA2618">
        <v>0</v>
      </c>
      <c r="BB2618">
        <v>0</v>
      </c>
      <c r="BC2618">
        <v>7733.8356164383558</v>
      </c>
      <c r="BD2618">
        <v>34654.697835877014</v>
      </c>
      <c r="BE2618">
        <v>0</v>
      </c>
      <c r="BF2618">
        <v>0</v>
      </c>
      <c r="BG2618">
        <v>168224.29906542055</v>
      </c>
      <c r="BH2618">
        <v>0</v>
      </c>
      <c r="BI2618">
        <v>219417.30583334752</v>
      </c>
      <c r="BJ2618">
        <v>14201.529783090831</v>
      </c>
      <c r="BK2618">
        <v>233618.83561643836</v>
      </c>
      <c r="BL2618" t="s">
        <v>242</v>
      </c>
      <c r="BM2618">
        <v>8</v>
      </c>
      <c r="BN2618">
        <v>11000</v>
      </c>
      <c r="BO2618">
        <v>0</v>
      </c>
      <c r="BP2618">
        <v>0</v>
      </c>
      <c r="BQ2618">
        <v>665.29264681571237</v>
      </c>
      <c r="BR2618" t="s">
        <v>58</v>
      </c>
    </row>
    <row r="2619" spans="1:70" x14ac:dyDescent="0.3">
      <c r="A2619" t="s">
        <v>798</v>
      </c>
      <c r="B2619">
        <v>42200314</v>
      </c>
      <c r="C2619">
        <v>2758018019</v>
      </c>
      <c r="D2619" t="s">
        <v>990</v>
      </c>
      <c r="E2619" t="s">
        <v>439</v>
      </c>
      <c r="F2619" t="s">
        <v>430</v>
      </c>
      <c r="G2619" t="s">
        <v>232</v>
      </c>
      <c r="H2619" t="s">
        <v>71</v>
      </c>
      <c r="J2619" t="s">
        <v>52</v>
      </c>
      <c r="K2619" s="15">
        <v>200</v>
      </c>
      <c r="M2619">
        <v>45408</v>
      </c>
      <c r="N2619" t="s">
        <v>1013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78603.738317757015</v>
      </c>
      <c r="Y2619">
        <v>78603.738317757015</v>
      </c>
      <c r="Z2619">
        <v>5502.2616822429918</v>
      </c>
      <c r="AA2619">
        <v>84106</v>
      </c>
      <c r="AB2619" t="s">
        <v>242</v>
      </c>
      <c r="AC2619">
        <v>3</v>
      </c>
      <c r="AD2619">
        <v>600</v>
      </c>
      <c r="AE2619">
        <v>0</v>
      </c>
      <c r="AF2619">
        <v>0</v>
      </c>
      <c r="AG2619">
        <v>39.252336448598101</v>
      </c>
      <c r="AH2619" t="s">
        <v>58</v>
      </c>
      <c r="AK2619" t="s">
        <v>798</v>
      </c>
      <c r="AL2619">
        <v>42201112</v>
      </c>
      <c r="AM2619">
        <v>2756020075</v>
      </c>
      <c r="AN2619" t="s">
        <v>929</v>
      </c>
      <c r="AO2619" t="s">
        <v>439</v>
      </c>
      <c r="AP2619" t="s">
        <v>430</v>
      </c>
      <c r="AQ2619" t="s">
        <v>233</v>
      </c>
      <c r="AR2619" t="s">
        <v>234</v>
      </c>
      <c r="AT2619" t="s">
        <v>52</v>
      </c>
      <c r="AU2619">
        <v>4000</v>
      </c>
      <c r="AW2619">
        <v>45408</v>
      </c>
      <c r="AX2619" t="s">
        <v>1055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27140.570093457929</v>
      </c>
      <c r="BI2619">
        <v>27140.570093457929</v>
      </c>
      <c r="BJ2619">
        <v>1899.8399065420551</v>
      </c>
      <c r="BK2619">
        <v>29040.409999999985</v>
      </c>
      <c r="BL2619" t="s">
        <v>242</v>
      </c>
      <c r="BM2619">
        <v>12</v>
      </c>
      <c r="BN2619">
        <v>98000</v>
      </c>
      <c r="BO2619">
        <v>0</v>
      </c>
      <c r="BP2619">
        <v>0</v>
      </c>
      <c r="BQ2619">
        <v>6411.2149532710255</v>
      </c>
      <c r="BR2619" t="s">
        <v>58</v>
      </c>
    </row>
    <row r="2620" spans="1:70" x14ac:dyDescent="0.3">
      <c r="A2620" t="s">
        <v>798</v>
      </c>
      <c r="B2620">
        <v>42201112</v>
      </c>
      <c r="C2620">
        <v>2756020075</v>
      </c>
      <c r="D2620" t="s">
        <v>929</v>
      </c>
      <c r="E2620" t="s">
        <v>439</v>
      </c>
      <c r="F2620" t="s">
        <v>430</v>
      </c>
      <c r="G2620" t="s">
        <v>233</v>
      </c>
      <c r="H2620" t="s">
        <v>234</v>
      </c>
      <c r="J2620" t="s">
        <v>52</v>
      </c>
      <c r="K2620" s="15">
        <v>4000</v>
      </c>
      <c r="M2620">
        <v>45408</v>
      </c>
      <c r="N2620" t="s">
        <v>1055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27140.570093457929</v>
      </c>
      <c r="Y2620">
        <v>27140.570093457929</v>
      </c>
      <c r="Z2620">
        <v>1899.8399065420551</v>
      </c>
      <c r="AA2620">
        <v>29040.409999999985</v>
      </c>
      <c r="AB2620" t="s">
        <v>242</v>
      </c>
      <c r="AC2620">
        <v>12</v>
      </c>
      <c r="AD2620">
        <v>98000</v>
      </c>
      <c r="AE2620">
        <v>0</v>
      </c>
      <c r="AF2620">
        <v>0</v>
      </c>
      <c r="AG2620">
        <v>6411.2149532710255</v>
      </c>
      <c r="AH2620" t="s">
        <v>58</v>
      </c>
      <c r="AK2620" t="s">
        <v>798</v>
      </c>
      <c r="AL2620">
        <v>42200314</v>
      </c>
      <c r="AM2620">
        <v>2758018019</v>
      </c>
      <c r="AN2620" t="s">
        <v>990</v>
      </c>
      <c r="AO2620" t="s">
        <v>439</v>
      </c>
      <c r="AP2620" t="s">
        <v>430</v>
      </c>
      <c r="AQ2620" t="s">
        <v>232</v>
      </c>
      <c r="AR2620" t="s">
        <v>71</v>
      </c>
      <c r="AT2620" t="s">
        <v>52</v>
      </c>
      <c r="AU2620">
        <v>200</v>
      </c>
      <c r="AW2620">
        <v>45408</v>
      </c>
      <c r="AX2620" t="s">
        <v>1013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78603.738317757015</v>
      </c>
      <c r="BI2620">
        <v>78603.738317757015</v>
      </c>
      <c r="BJ2620">
        <v>5502.2616822429918</v>
      </c>
      <c r="BK2620">
        <v>84106</v>
      </c>
      <c r="BL2620" t="s">
        <v>242</v>
      </c>
      <c r="BM2620">
        <v>3</v>
      </c>
      <c r="BN2620">
        <v>600</v>
      </c>
      <c r="BO2620">
        <v>0</v>
      </c>
      <c r="BP2620">
        <v>0</v>
      </c>
      <c r="BQ2620">
        <v>39.252336448598101</v>
      </c>
      <c r="BR2620" t="s">
        <v>58</v>
      </c>
    </row>
    <row r="2621" spans="1:70" x14ac:dyDescent="0.3">
      <c r="A2621" t="s">
        <v>798</v>
      </c>
      <c r="B2621">
        <v>52201226</v>
      </c>
      <c r="C2621">
        <v>25511663</v>
      </c>
      <c r="D2621" t="s">
        <v>667</v>
      </c>
      <c r="E2621" t="s">
        <v>438</v>
      </c>
      <c r="F2621" t="s">
        <v>431</v>
      </c>
      <c r="G2621" t="s">
        <v>235</v>
      </c>
      <c r="H2621" t="s">
        <v>236</v>
      </c>
      <c r="J2621" t="s">
        <v>52</v>
      </c>
      <c r="K2621" s="15">
        <v>3000</v>
      </c>
      <c r="M2621">
        <v>45408</v>
      </c>
      <c r="N2621" t="s">
        <v>1013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206738.31775700938</v>
      </c>
      <c r="W2621">
        <v>0</v>
      </c>
      <c r="X2621">
        <v>0</v>
      </c>
      <c r="Y2621">
        <v>206738.31775700938</v>
      </c>
      <c r="Z2621">
        <v>14471.682242990659</v>
      </c>
      <c r="AA2621">
        <v>221210.00000000003</v>
      </c>
      <c r="AB2621" t="s">
        <v>242</v>
      </c>
      <c r="AC2621">
        <v>4</v>
      </c>
      <c r="AD2621">
        <v>10000</v>
      </c>
      <c r="AE2621">
        <v>0</v>
      </c>
      <c r="AF2621">
        <v>0</v>
      </c>
      <c r="AG2621">
        <v>653.35424781028314</v>
      </c>
      <c r="AH2621" t="s">
        <v>58</v>
      </c>
      <c r="AK2621" t="s">
        <v>798</v>
      </c>
      <c r="AL2621">
        <v>62200025</v>
      </c>
      <c r="AM2621">
        <v>9001302</v>
      </c>
      <c r="AN2621" t="s">
        <v>79</v>
      </c>
      <c r="AO2621" t="s">
        <v>435</v>
      </c>
      <c r="AP2621" t="s">
        <v>432</v>
      </c>
      <c r="AQ2621" t="s">
        <v>82</v>
      </c>
      <c r="AR2621" t="s">
        <v>82</v>
      </c>
      <c r="AT2621" t="s">
        <v>52</v>
      </c>
      <c r="AU2621">
        <v>1000</v>
      </c>
      <c r="AW2621">
        <v>45408</v>
      </c>
      <c r="AX2621" t="s">
        <v>1013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10024.843263835617</v>
      </c>
      <c r="BG2621">
        <v>0</v>
      </c>
      <c r="BH2621">
        <v>0</v>
      </c>
      <c r="BI2621">
        <v>10024.843263835617</v>
      </c>
      <c r="BJ2621">
        <v>0</v>
      </c>
      <c r="BK2621">
        <v>10024.843263835617</v>
      </c>
      <c r="BL2621" t="s">
        <v>242</v>
      </c>
      <c r="BM2621">
        <v>20</v>
      </c>
      <c r="BN2621">
        <v>20170</v>
      </c>
      <c r="BO2621">
        <v>0</v>
      </c>
      <c r="BP2621">
        <v>0</v>
      </c>
      <c r="BQ2621">
        <v>0</v>
      </c>
      <c r="BR2621" t="s">
        <v>58</v>
      </c>
    </row>
    <row r="2622" spans="1:70" x14ac:dyDescent="0.3">
      <c r="A2622" t="s">
        <v>798</v>
      </c>
      <c r="B2622">
        <v>52201645</v>
      </c>
      <c r="C2622">
        <v>26580827</v>
      </c>
      <c r="D2622" t="s">
        <v>163</v>
      </c>
      <c r="E2622" t="s">
        <v>438</v>
      </c>
      <c r="F2622" t="s">
        <v>431</v>
      </c>
      <c r="G2622" t="s">
        <v>82</v>
      </c>
      <c r="H2622" t="s">
        <v>83</v>
      </c>
      <c r="J2622" t="s">
        <v>52</v>
      </c>
      <c r="K2622" s="15">
        <v>14500</v>
      </c>
      <c r="M2622">
        <v>45408</v>
      </c>
      <c r="N2622" t="s">
        <v>1013</v>
      </c>
      <c r="O2622">
        <v>0</v>
      </c>
      <c r="P2622">
        <v>0</v>
      </c>
      <c r="Q2622">
        <v>0</v>
      </c>
      <c r="R2622">
        <v>590.89574406985776</v>
      </c>
      <c r="S2622">
        <v>16928.440504981991</v>
      </c>
      <c r="T2622">
        <v>0</v>
      </c>
      <c r="U2622">
        <v>0</v>
      </c>
      <c r="V2622">
        <v>88638.947347097012</v>
      </c>
      <c r="W2622">
        <v>0</v>
      </c>
      <c r="X2622">
        <v>0</v>
      </c>
      <c r="Y2622">
        <v>106158.28359614886</v>
      </c>
      <c r="Z2622">
        <v>7389.7171496455312</v>
      </c>
      <c r="AA2622">
        <v>113548.00074579439</v>
      </c>
      <c r="AB2622" t="s">
        <v>242</v>
      </c>
      <c r="AC2622">
        <v>9</v>
      </c>
      <c r="AD2622">
        <v>52930</v>
      </c>
      <c r="AE2622">
        <v>0</v>
      </c>
      <c r="AF2622">
        <v>0</v>
      </c>
      <c r="AG2622">
        <v>3443.077291668124</v>
      </c>
      <c r="AH2622" t="s">
        <v>58</v>
      </c>
      <c r="AK2622" t="s">
        <v>798</v>
      </c>
      <c r="AL2622">
        <v>4132301112</v>
      </c>
      <c r="AM2622">
        <v>3010184753</v>
      </c>
      <c r="AN2622" t="s">
        <v>179</v>
      </c>
      <c r="AO2622" t="s">
        <v>441</v>
      </c>
      <c r="AP2622" t="s">
        <v>430</v>
      </c>
      <c r="AQ2622" t="s">
        <v>233</v>
      </c>
      <c r="AR2622" t="s">
        <v>231</v>
      </c>
      <c r="AT2622" t="s">
        <v>52</v>
      </c>
      <c r="AU2622">
        <v>500</v>
      </c>
      <c r="AW2622">
        <v>45408</v>
      </c>
      <c r="AX2622" t="s">
        <v>1013</v>
      </c>
      <c r="AY2622">
        <v>0</v>
      </c>
      <c r="AZ2622">
        <v>3003.7716659675789</v>
      </c>
      <c r="BA2622">
        <v>0</v>
      </c>
      <c r="BB2622">
        <v>0</v>
      </c>
      <c r="BC2622">
        <v>21290.753424657534</v>
      </c>
      <c r="BD2622">
        <v>53360.961059843379</v>
      </c>
      <c r="BE2622">
        <v>0</v>
      </c>
      <c r="BF2622">
        <v>0</v>
      </c>
      <c r="BG2622">
        <v>0</v>
      </c>
      <c r="BH2622">
        <v>0</v>
      </c>
      <c r="BI2622">
        <v>77655.486150468496</v>
      </c>
      <c r="BJ2622">
        <v>3735.2672741890369</v>
      </c>
      <c r="BK2622">
        <v>81390.753424657538</v>
      </c>
      <c r="BL2622" t="s">
        <v>242</v>
      </c>
      <c r="BM2622">
        <v>7</v>
      </c>
      <c r="BN2622">
        <v>3500</v>
      </c>
      <c r="BO2622">
        <v>0</v>
      </c>
      <c r="BP2622">
        <v>0</v>
      </c>
      <c r="BQ2622">
        <v>157.25609029694436</v>
      </c>
      <c r="BR2622" t="s">
        <v>58</v>
      </c>
    </row>
    <row r="2623" spans="1:70" x14ac:dyDescent="0.3">
      <c r="A2623" t="s">
        <v>798</v>
      </c>
      <c r="B2623">
        <v>62200025</v>
      </c>
      <c r="C2623">
        <v>9001302</v>
      </c>
      <c r="D2623" t="s">
        <v>79</v>
      </c>
      <c r="E2623" t="s">
        <v>435</v>
      </c>
      <c r="F2623" t="s">
        <v>432</v>
      </c>
      <c r="G2623" t="s">
        <v>82</v>
      </c>
      <c r="H2623" t="s">
        <v>82</v>
      </c>
      <c r="J2623" t="s">
        <v>52</v>
      </c>
      <c r="K2623" s="15">
        <v>1000</v>
      </c>
      <c r="M2623">
        <v>45408</v>
      </c>
      <c r="N2623" t="s">
        <v>1013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10024.843263835617</v>
      </c>
      <c r="W2623">
        <v>0</v>
      </c>
      <c r="X2623">
        <v>0</v>
      </c>
      <c r="Y2623">
        <v>10024.843263835617</v>
      </c>
      <c r="Z2623">
        <v>0</v>
      </c>
      <c r="AA2623">
        <v>10024.843263835617</v>
      </c>
      <c r="AB2623" t="s">
        <v>242</v>
      </c>
      <c r="AC2623">
        <v>20</v>
      </c>
      <c r="AD2623">
        <v>20170</v>
      </c>
      <c r="AE2623">
        <v>0</v>
      </c>
      <c r="AF2623">
        <v>0</v>
      </c>
      <c r="AG2623">
        <v>0</v>
      </c>
      <c r="AH2623" t="s">
        <v>58</v>
      </c>
      <c r="AK2623" t="s">
        <v>798</v>
      </c>
      <c r="AL2623">
        <v>52201226</v>
      </c>
      <c r="AM2623">
        <v>25511663</v>
      </c>
      <c r="AN2623" t="s">
        <v>667</v>
      </c>
      <c r="AO2623" t="s">
        <v>438</v>
      </c>
      <c r="AP2623" t="s">
        <v>431</v>
      </c>
      <c r="AQ2623" t="s">
        <v>235</v>
      </c>
      <c r="AR2623" t="s">
        <v>236</v>
      </c>
      <c r="AT2623" t="s">
        <v>52</v>
      </c>
      <c r="AU2623">
        <v>3000</v>
      </c>
      <c r="AW2623">
        <v>45408</v>
      </c>
      <c r="AX2623" t="s">
        <v>1013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206738.31775700938</v>
      </c>
      <c r="BG2623">
        <v>0</v>
      </c>
      <c r="BH2623">
        <v>0</v>
      </c>
      <c r="BI2623">
        <v>206738.31775700938</v>
      </c>
      <c r="BJ2623">
        <v>14471.682242990659</v>
      </c>
      <c r="BK2623">
        <v>221210.00000000003</v>
      </c>
      <c r="BL2623" t="s">
        <v>242</v>
      </c>
      <c r="BM2623">
        <v>4</v>
      </c>
      <c r="BN2623">
        <v>10000</v>
      </c>
      <c r="BO2623">
        <v>0</v>
      </c>
      <c r="BP2623">
        <v>0</v>
      </c>
      <c r="BQ2623">
        <v>653.35424781028314</v>
      </c>
      <c r="BR2623" t="s">
        <v>58</v>
      </c>
    </row>
    <row r="2624" spans="1:70" x14ac:dyDescent="0.3">
      <c r="A2624" t="s">
        <v>798</v>
      </c>
      <c r="B2624">
        <v>4132301112</v>
      </c>
      <c r="C2624">
        <v>3010184753</v>
      </c>
      <c r="D2624" t="s">
        <v>179</v>
      </c>
      <c r="E2624" t="s">
        <v>441</v>
      </c>
      <c r="F2624" t="s">
        <v>430</v>
      </c>
      <c r="G2624" t="s">
        <v>233</v>
      </c>
      <c r="H2624" t="s">
        <v>231</v>
      </c>
      <c r="J2624" t="s">
        <v>52</v>
      </c>
      <c r="K2624" s="15">
        <v>500</v>
      </c>
      <c r="M2624">
        <v>45408</v>
      </c>
      <c r="N2624" t="s">
        <v>1013</v>
      </c>
      <c r="O2624">
        <v>0</v>
      </c>
      <c r="P2624">
        <v>3003.7716659675789</v>
      </c>
      <c r="Q2624">
        <v>0</v>
      </c>
      <c r="R2624">
        <v>0</v>
      </c>
      <c r="S2624">
        <v>21290.753424657534</v>
      </c>
      <c r="T2624">
        <v>53360.961059843379</v>
      </c>
      <c r="U2624">
        <v>0</v>
      </c>
      <c r="V2624">
        <v>0</v>
      </c>
      <c r="W2624">
        <v>0</v>
      </c>
      <c r="X2624">
        <v>0</v>
      </c>
      <c r="Y2624">
        <v>77655.486150468496</v>
      </c>
      <c r="Z2624">
        <v>3735.2672741890369</v>
      </c>
      <c r="AA2624">
        <v>81390.753424657538</v>
      </c>
      <c r="AB2624" t="s">
        <v>242</v>
      </c>
      <c r="AC2624">
        <v>7</v>
      </c>
      <c r="AD2624">
        <v>3500</v>
      </c>
      <c r="AE2624">
        <v>0</v>
      </c>
      <c r="AF2624">
        <v>0</v>
      </c>
      <c r="AG2624">
        <v>157.25609029694436</v>
      </c>
      <c r="AH2624" t="s">
        <v>58</v>
      </c>
      <c r="AK2624" t="s">
        <v>798</v>
      </c>
      <c r="AL2624">
        <v>52201645</v>
      </c>
      <c r="AM2624">
        <v>26580827</v>
      </c>
      <c r="AN2624" t="s">
        <v>163</v>
      </c>
      <c r="AO2624" t="s">
        <v>438</v>
      </c>
      <c r="AP2624" t="s">
        <v>431</v>
      </c>
      <c r="AQ2624" t="s">
        <v>82</v>
      </c>
      <c r="AR2624" t="s">
        <v>83</v>
      </c>
      <c r="AT2624" t="s">
        <v>52</v>
      </c>
      <c r="AU2624">
        <v>14500</v>
      </c>
      <c r="AW2624">
        <v>45408</v>
      </c>
      <c r="AX2624" t="s">
        <v>1013</v>
      </c>
      <c r="AY2624">
        <v>0</v>
      </c>
      <c r="AZ2624">
        <v>0</v>
      </c>
      <c r="BA2624">
        <v>0</v>
      </c>
      <c r="BB2624">
        <v>590.89574406985776</v>
      </c>
      <c r="BC2624">
        <v>16928.440504981991</v>
      </c>
      <c r="BD2624">
        <v>0</v>
      </c>
      <c r="BE2624">
        <v>0</v>
      </c>
      <c r="BF2624">
        <v>88638.947347097012</v>
      </c>
      <c r="BG2624">
        <v>0</v>
      </c>
      <c r="BH2624">
        <v>0</v>
      </c>
      <c r="BI2624">
        <v>106158.28359614886</v>
      </c>
      <c r="BJ2624">
        <v>7389.7171496455312</v>
      </c>
      <c r="BK2624">
        <v>113548.00074579439</v>
      </c>
      <c r="BL2624" t="s">
        <v>242</v>
      </c>
      <c r="BM2624">
        <v>9</v>
      </c>
      <c r="BN2624">
        <v>52930</v>
      </c>
      <c r="BO2624">
        <v>0</v>
      </c>
      <c r="BP2624">
        <v>0</v>
      </c>
      <c r="BQ2624">
        <v>3443.077291668124</v>
      </c>
      <c r="BR2624" t="s">
        <v>58</v>
      </c>
    </row>
    <row r="2625" spans="1:70" x14ac:dyDescent="0.3">
      <c r="A2625" t="s">
        <v>798</v>
      </c>
      <c r="B2625">
        <v>4132301740</v>
      </c>
      <c r="C2625" t="s">
        <v>686</v>
      </c>
      <c r="D2625" t="s">
        <v>959</v>
      </c>
      <c r="E2625" t="s">
        <v>442</v>
      </c>
      <c r="F2625" t="s">
        <v>430</v>
      </c>
      <c r="G2625" t="s">
        <v>230</v>
      </c>
      <c r="H2625" t="s">
        <v>231</v>
      </c>
      <c r="J2625" t="s">
        <v>52</v>
      </c>
      <c r="K2625" s="15">
        <v>3000</v>
      </c>
      <c r="M2625">
        <v>45408</v>
      </c>
      <c r="N2625" t="s">
        <v>1013</v>
      </c>
      <c r="O2625">
        <v>0</v>
      </c>
      <c r="P2625">
        <v>11263.443788641478</v>
      </c>
      <c r="Q2625">
        <v>0</v>
      </c>
      <c r="R2625">
        <v>0</v>
      </c>
      <c r="S2625">
        <v>25539.360000000001</v>
      </c>
      <c r="T2625">
        <v>27323.884309680863</v>
      </c>
      <c r="U2625">
        <v>13084.11214953271</v>
      </c>
      <c r="V2625">
        <v>0</v>
      </c>
      <c r="W2625">
        <v>280373.83177570091</v>
      </c>
      <c r="X2625">
        <v>0</v>
      </c>
      <c r="Y2625">
        <v>357584.63202355593</v>
      </c>
      <c r="Z2625">
        <v>22454.727976444014</v>
      </c>
      <c r="AA2625">
        <v>380039.35999999993</v>
      </c>
      <c r="AB2625" t="s">
        <v>242</v>
      </c>
      <c r="AC2625">
        <v>4</v>
      </c>
      <c r="AD2625">
        <v>12000</v>
      </c>
      <c r="AE2625">
        <v>0</v>
      </c>
      <c r="AF2625">
        <v>0</v>
      </c>
      <c r="AG2625">
        <v>704.15052822888174</v>
      </c>
      <c r="AH2625" t="s">
        <v>58</v>
      </c>
      <c r="AK2625" t="s">
        <v>798</v>
      </c>
      <c r="AL2625">
        <v>4132301740</v>
      </c>
      <c r="AM2625" t="s">
        <v>686</v>
      </c>
      <c r="AN2625" t="s">
        <v>959</v>
      </c>
      <c r="AO2625" t="s">
        <v>442</v>
      </c>
      <c r="AP2625" t="s">
        <v>430</v>
      </c>
      <c r="AQ2625" t="s">
        <v>230</v>
      </c>
      <c r="AR2625" t="s">
        <v>231</v>
      </c>
      <c r="AT2625" t="s">
        <v>52</v>
      </c>
      <c r="AU2625">
        <v>3000</v>
      </c>
      <c r="AW2625">
        <v>45408</v>
      </c>
      <c r="AX2625" t="s">
        <v>1013</v>
      </c>
      <c r="AY2625">
        <v>0</v>
      </c>
      <c r="AZ2625">
        <v>11263.443788641478</v>
      </c>
      <c r="BA2625">
        <v>0</v>
      </c>
      <c r="BB2625">
        <v>0</v>
      </c>
      <c r="BC2625">
        <v>25539.360000000001</v>
      </c>
      <c r="BD2625">
        <v>27323.884309680863</v>
      </c>
      <c r="BE2625">
        <v>13084.11214953271</v>
      </c>
      <c r="BF2625">
        <v>0</v>
      </c>
      <c r="BG2625">
        <v>280373.83177570091</v>
      </c>
      <c r="BH2625">
        <v>0</v>
      </c>
      <c r="BI2625">
        <v>357584.63202355593</v>
      </c>
      <c r="BJ2625">
        <v>22454.727976444014</v>
      </c>
      <c r="BK2625">
        <v>380039.35999999993</v>
      </c>
      <c r="BL2625" t="s">
        <v>242</v>
      </c>
      <c r="BM2625">
        <v>4</v>
      </c>
      <c r="BN2625">
        <v>12000</v>
      </c>
      <c r="BO2625">
        <v>0</v>
      </c>
      <c r="BP2625">
        <v>0</v>
      </c>
      <c r="BQ2625">
        <v>704.15052822888174</v>
      </c>
      <c r="BR2625" t="s">
        <v>58</v>
      </c>
    </row>
    <row r="2626" spans="1:70" x14ac:dyDescent="0.3">
      <c r="A2626" t="s">
        <v>798</v>
      </c>
      <c r="B2626">
        <v>4142300300</v>
      </c>
      <c r="C2626">
        <v>10131172</v>
      </c>
      <c r="D2626" t="s">
        <v>196</v>
      </c>
      <c r="E2626" t="s">
        <v>445</v>
      </c>
      <c r="F2626" t="s">
        <v>430</v>
      </c>
      <c r="G2626" t="s">
        <v>230</v>
      </c>
      <c r="H2626" t="s">
        <v>234</v>
      </c>
      <c r="J2626" t="s">
        <v>52</v>
      </c>
      <c r="K2626" s="15">
        <v>5000</v>
      </c>
      <c r="M2626">
        <v>45408</v>
      </c>
      <c r="N2626" t="s">
        <v>1013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638915.09345794411</v>
      </c>
      <c r="Y2626">
        <v>638915.09345794411</v>
      </c>
      <c r="Z2626">
        <v>44724.056542056089</v>
      </c>
      <c r="AA2626">
        <v>683639.15000000014</v>
      </c>
      <c r="AB2626" t="s">
        <v>242</v>
      </c>
      <c r="AC2626">
        <v>11</v>
      </c>
      <c r="AD2626">
        <v>125000</v>
      </c>
      <c r="AE2626">
        <v>0</v>
      </c>
      <c r="AF2626">
        <v>0</v>
      </c>
      <c r="AG2626">
        <v>8177.5700934579427</v>
      </c>
      <c r="AH2626" t="s">
        <v>58</v>
      </c>
      <c r="AK2626" t="s">
        <v>798</v>
      </c>
      <c r="AL2626">
        <v>4142300300</v>
      </c>
      <c r="AM2626">
        <v>10131172</v>
      </c>
      <c r="AN2626" t="s">
        <v>196</v>
      </c>
      <c r="AO2626" t="s">
        <v>445</v>
      </c>
      <c r="AP2626" t="s">
        <v>430</v>
      </c>
      <c r="AQ2626" t="s">
        <v>230</v>
      </c>
      <c r="AR2626" t="s">
        <v>234</v>
      </c>
      <c r="AT2626" t="s">
        <v>52</v>
      </c>
      <c r="AU2626">
        <v>5000</v>
      </c>
      <c r="AW2626">
        <v>45408</v>
      </c>
      <c r="AX2626" t="s">
        <v>1013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638915.09345794411</v>
      </c>
      <c r="BI2626">
        <v>638915.09345794411</v>
      </c>
      <c r="BJ2626">
        <v>44724.056542056089</v>
      </c>
      <c r="BK2626">
        <v>683639.15000000014</v>
      </c>
      <c r="BL2626" t="s">
        <v>242</v>
      </c>
      <c r="BM2626">
        <v>11</v>
      </c>
      <c r="BN2626">
        <v>125000</v>
      </c>
      <c r="BO2626">
        <v>0</v>
      </c>
      <c r="BP2626">
        <v>0</v>
      </c>
      <c r="BQ2626">
        <v>8177.5700934579427</v>
      </c>
      <c r="BR2626" t="s">
        <v>58</v>
      </c>
    </row>
    <row r="2627" spans="1:70" x14ac:dyDescent="0.3">
      <c r="A2627" t="s">
        <v>798</v>
      </c>
      <c r="B2627">
        <v>4142300939</v>
      </c>
      <c r="C2627">
        <v>10449473</v>
      </c>
      <c r="D2627" t="s">
        <v>214</v>
      </c>
      <c r="E2627" t="s">
        <v>445</v>
      </c>
      <c r="F2627" t="s">
        <v>430</v>
      </c>
      <c r="G2627" t="s">
        <v>230</v>
      </c>
      <c r="H2627" t="s">
        <v>234</v>
      </c>
      <c r="J2627" t="s">
        <v>52</v>
      </c>
      <c r="K2627" s="15">
        <v>1000</v>
      </c>
      <c r="M2627">
        <v>45408</v>
      </c>
      <c r="N2627" t="s">
        <v>1013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329815.89719626174</v>
      </c>
      <c r="Y2627">
        <v>329815.89719626174</v>
      </c>
      <c r="Z2627">
        <v>23087.112803738324</v>
      </c>
      <c r="AA2627">
        <v>352903.01000000007</v>
      </c>
      <c r="AB2627" t="s">
        <v>242</v>
      </c>
      <c r="AC2627">
        <v>8</v>
      </c>
      <c r="AD2627">
        <v>7000</v>
      </c>
      <c r="AE2627">
        <v>0</v>
      </c>
      <c r="AF2627">
        <v>0</v>
      </c>
      <c r="AG2627">
        <v>457.9439252336449</v>
      </c>
      <c r="AH2627" t="s">
        <v>58</v>
      </c>
      <c r="AK2627" t="s">
        <v>798</v>
      </c>
      <c r="AL2627">
        <v>4142300939</v>
      </c>
      <c r="AM2627">
        <v>10449473</v>
      </c>
      <c r="AN2627" t="s">
        <v>214</v>
      </c>
      <c r="AO2627" t="s">
        <v>445</v>
      </c>
      <c r="AP2627" t="s">
        <v>430</v>
      </c>
      <c r="AQ2627" t="s">
        <v>230</v>
      </c>
      <c r="AR2627" t="s">
        <v>234</v>
      </c>
      <c r="AT2627" t="s">
        <v>52</v>
      </c>
      <c r="AU2627">
        <v>1000</v>
      </c>
      <c r="AW2627">
        <v>45408</v>
      </c>
      <c r="AX2627" t="s">
        <v>1013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329815.89719626174</v>
      </c>
      <c r="BI2627">
        <v>329815.89719626174</v>
      </c>
      <c r="BJ2627">
        <v>23087.112803738324</v>
      </c>
      <c r="BK2627">
        <v>352903.01000000007</v>
      </c>
      <c r="BL2627" t="s">
        <v>242</v>
      </c>
      <c r="BM2627">
        <v>8</v>
      </c>
      <c r="BN2627">
        <v>7000</v>
      </c>
      <c r="BO2627">
        <v>0</v>
      </c>
      <c r="BP2627">
        <v>0</v>
      </c>
      <c r="BQ2627">
        <v>457.9439252336449</v>
      </c>
      <c r="BR2627" t="s">
        <v>58</v>
      </c>
    </row>
    <row r="2628" spans="1:70" x14ac:dyDescent="0.3">
      <c r="A2628" t="s">
        <v>798</v>
      </c>
      <c r="B2628">
        <v>4142301190</v>
      </c>
      <c r="C2628">
        <v>10076213</v>
      </c>
      <c r="D2628" t="s">
        <v>748</v>
      </c>
      <c r="E2628" t="s">
        <v>446</v>
      </c>
      <c r="F2628" t="s">
        <v>430</v>
      </c>
      <c r="G2628" t="s">
        <v>230</v>
      </c>
      <c r="H2628" t="s">
        <v>234</v>
      </c>
      <c r="J2628" t="s">
        <v>52</v>
      </c>
      <c r="K2628" s="15">
        <v>5000</v>
      </c>
      <c r="M2628">
        <v>45408</v>
      </c>
      <c r="N2628" t="s">
        <v>1013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94961.060467289732</v>
      </c>
      <c r="Y2628">
        <v>94961.060467289732</v>
      </c>
      <c r="Z2628">
        <v>6647.2742327102815</v>
      </c>
      <c r="AA2628">
        <v>101608.33470000001</v>
      </c>
      <c r="AB2628" t="s">
        <v>242</v>
      </c>
      <c r="AC2628">
        <v>4</v>
      </c>
      <c r="AD2628">
        <v>26000</v>
      </c>
      <c r="AE2628">
        <v>0</v>
      </c>
      <c r="AF2628">
        <v>0</v>
      </c>
      <c r="AG2628">
        <v>1700.9345794392511</v>
      </c>
      <c r="AH2628" t="s">
        <v>58</v>
      </c>
      <c r="AK2628" t="s">
        <v>798</v>
      </c>
      <c r="AL2628">
        <v>4142301190</v>
      </c>
      <c r="AM2628">
        <v>10076213</v>
      </c>
      <c r="AN2628" t="s">
        <v>748</v>
      </c>
      <c r="AO2628" t="s">
        <v>446</v>
      </c>
      <c r="AP2628" t="s">
        <v>430</v>
      </c>
      <c r="AQ2628" t="s">
        <v>230</v>
      </c>
      <c r="AR2628" t="s">
        <v>234</v>
      </c>
      <c r="AT2628" t="s">
        <v>52</v>
      </c>
      <c r="AU2628">
        <v>5000</v>
      </c>
      <c r="AW2628">
        <v>45408</v>
      </c>
      <c r="AX2628" t="s">
        <v>1013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94961.060467289732</v>
      </c>
      <c r="BI2628">
        <v>94961.060467289732</v>
      </c>
      <c r="BJ2628">
        <v>6647.2742327102815</v>
      </c>
      <c r="BK2628">
        <v>101608.33470000001</v>
      </c>
      <c r="BL2628" t="s">
        <v>242</v>
      </c>
      <c r="BM2628">
        <v>4</v>
      </c>
      <c r="BN2628">
        <v>26000</v>
      </c>
      <c r="BO2628">
        <v>0</v>
      </c>
      <c r="BP2628">
        <v>0</v>
      </c>
      <c r="BQ2628">
        <v>1700.9345794392511</v>
      </c>
      <c r="BR2628" t="s">
        <v>58</v>
      </c>
    </row>
    <row r="2629" spans="1:70" x14ac:dyDescent="0.3">
      <c r="A2629" t="s">
        <v>798</v>
      </c>
      <c r="B2629">
        <v>4302300004</v>
      </c>
      <c r="C2629">
        <v>901019009305</v>
      </c>
      <c r="D2629" t="s">
        <v>221</v>
      </c>
      <c r="E2629" t="s">
        <v>447</v>
      </c>
      <c r="F2629" t="s">
        <v>433</v>
      </c>
      <c r="G2629" t="s">
        <v>82</v>
      </c>
      <c r="H2629" t="s">
        <v>83</v>
      </c>
      <c r="J2629" t="s">
        <v>52</v>
      </c>
      <c r="K2629" s="15">
        <v>30000</v>
      </c>
      <c r="M2629">
        <v>45408</v>
      </c>
      <c r="N2629" t="s">
        <v>1029</v>
      </c>
      <c r="O2629">
        <v>0</v>
      </c>
      <c r="P2629">
        <v>0</v>
      </c>
      <c r="Q2629">
        <v>160216.04678939463</v>
      </c>
      <c r="R2629">
        <v>7341.0099999999993</v>
      </c>
      <c r="S2629">
        <v>249557.80673888355</v>
      </c>
      <c r="T2629">
        <v>0</v>
      </c>
      <c r="U2629">
        <v>0</v>
      </c>
      <c r="V2629">
        <v>2333526.79</v>
      </c>
      <c r="W2629">
        <v>0</v>
      </c>
      <c r="X2629">
        <v>0</v>
      </c>
      <c r="Y2629">
        <v>2750641.6535282782</v>
      </c>
      <c r="Z2629">
        <v>180815.92177172189</v>
      </c>
      <c r="AA2629">
        <v>2931457.5753000001</v>
      </c>
      <c r="AB2629" t="s">
        <v>242</v>
      </c>
      <c r="AC2629">
        <v>4</v>
      </c>
      <c r="AD2629">
        <v>115000</v>
      </c>
      <c r="AE2629">
        <v>0</v>
      </c>
      <c r="AF2629">
        <v>0</v>
      </c>
      <c r="AG2629">
        <v>7064.3435282781538</v>
      </c>
      <c r="AH2629" t="s">
        <v>58</v>
      </c>
      <c r="AK2629" t="s">
        <v>798</v>
      </c>
      <c r="AL2629">
        <v>4302300004</v>
      </c>
      <c r="AM2629">
        <v>901019009305</v>
      </c>
      <c r="AN2629" t="s">
        <v>221</v>
      </c>
      <c r="AO2629" t="s">
        <v>447</v>
      </c>
      <c r="AP2629" t="s">
        <v>433</v>
      </c>
      <c r="AQ2629" t="s">
        <v>82</v>
      </c>
      <c r="AR2629" t="s">
        <v>83</v>
      </c>
      <c r="AT2629" t="s">
        <v>52</v>
      </c>
      <c r="AU2629">
        <v>30000</v>
      </c>
      <c r="AW2629">
        <v>45408</v>
      </c>
      <c r="AX2629" t="s">
        <v>1029</v>
      </c>
      <c r="AY2629">
        <v>0</v>
      </c>
      <c r="AZ2629">
        <v>0</v>
      </c>
      <c r="BA2629">
        <v>160216.04678939463</v>
      </c>
      <c r="BB2629">
        <v>7341.0099999999993</v>
      </c>
      <c r="BC2629">
        <v>249557.80673888355</v>
      </c>
      <c r="BD2629">
        <v>0</v>
      </c>
      <c r="BE2629">
        <v>0</v>
      </c>
      <c r="BF2629">
        <v>2333526.79</v>
      </c>
      <c r="BG2629">
        <v>0</v>
      </c>
      <c r="BH2629">
        <v>0</v>
      </c>
      <c r="BI2629">
        <v>2750641.6535282782</v>
      </c>
      <c r="BJ2629">
        <v>180815.92177172189</v>
      </c>
      <c r="BK2629">
        <v>2931457.5753000001</v>
      </c>
      <c r="BL2629" t="s">
        <v>242</v>
      </c>
      <c r="BM2629">
        <v>4</v>
      </c>
      <c r="BN2629">
        <v>115000</v>
      </c>
      <c r="BO2629">
        <v>0</v>
      </c>
      <c r="BP2629">
        <v>0</v>
      </c>
      <c r="BQ2629">
        <v>7064.3435282781538</v>
      </c>
      <c r="BR2629" t="s">
        <v>58</v>
      </c>
    </row>
    <row r="2630" spans="1:70" x14ac:dyDescent="0.3">
      <c r="A2630" t="s">
        <v>798</v>
      </c>
      <c r="B2630">
        <v>4332300201</v>
      </c>
      <c r="C2630">
        <v>125063</v>
      </c>
      <c r="D2630" t="s">
        <v>797</v>
      </c>
      <c r="E2630" t="s">
        <v>443</v>
      </c>
      <c r="F2630" t="s">
        <v>433</v>
      </c>
      <c r="G2630" t="s">
        <v>230</v>
      </c>
      <c r="H2630" t="s">
        <v>231</v>
      </c>
      <c r="J2630" t="s">
        <v>52</v>
      </c>
      <c r="K2630" s="15">
        <v>20000</v>
      </c>
      <c r="M2630">
        <v>45408</v>
      </c>
      <c r="N2630" t="s">
        <v>1056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537271.02803738322</v>
      </c>
      <c r="X2630">
        <v>0</v>
      </c>
      <c r="Y2630">
        <v>537271.02803738322</v>
      </c>
      <c r="Z2630">
        <v>37608.97196261683</v>
      </c>
      <c r="AA2630">
        <v>574880</v>
      </c>
      <c r="AB2630" t="s">
        <v>242</v>
      </c>
      <c r="AC2630">
        <v>2</v>
      </c>
      <c r="AD2630">
        <v>40000</v>
      </c>
      <c r="AE2630">
        <v>0</v>
      </c>
      <c r="AF2630">
        <v>0</v>
      </c>
      <c r="AG2630">
        <v>2616.8224299065405</v>
      </c>
      <c r="AH2630" t="s">
        <v>58</v>
      </c>
      <c r="AK2630" t="s">
        <v>798</v>
      </c>
      <c r="AL2630">
        <v>4332300201</v>
      </c>
      <c r="AM2630">
        <v>125063</v>
      </c>
      <c r="AN2630" t="s">
        <v>797</v>
      </c>
      <c r="AO2630" t="s">
        <v>443</v>
      </c>
      <c r="AP2630" t="s">
        <v>433</v>
      </c>
      <c r="AQ2630" t="s">
        <v>230</v>
      </c>
      <c r="AR2630" t="s">
        <v>231</v>
      </c>
      <c r="AT2630" t="s">
        <v>52</v>
      </c>
      <c r="AU2630">
        <v>20000</v>
      </c>
      <c r="AW2630">
        <v>45408</v>
      </c>
      <c r="AX2630" t="s">
        <v>1056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537271.02803738322</v>
      </c>
      <c r="BH2630">
        <v>0</v>
      </c>
      <c r="BI2630">
        <v>537271.02803738322</v>
      </c>
      <c r="BJ2630">
        <v>37608.97196261683</v>
      </c>
      <c r="BK2630">
        <v>574880</v>
      </c>
      <c r="BL2630" t="s">
        <v>242</v>
      </c>
      <c r="BM2630">
        <v>2</v>
      </c>
      <c r="BN2630">
        <v>40000</v>
      </c>
      <c r="BO2630">
        <v>0</v>
      </c>
      <c r="BP2630">
        <v>0</v>
      </c>
      <c r="BQ2630">
        <v>2616.8224299065405</v>
      </c>
      <c r="BR2630" t="s">
        <v>58</v>
      </c>
    </row>
    <row r="2631" spans="1:70" x14ac:dyDescent="0.3">
      <c r="A2631" t="s">
        <v>798</v>
      </c>
      <c r="B2631">
        <v>82200023</v>
      </c>
      <c r="C2631">
        <v>901016007000</v>
      </c>
      <c r="D2631" t="s">
        <v>966</v>
      </c>
      <c r="E2631" t="s">
        <v>440</v>
      </c>
      <c r="F2631" t="s">
        <v>433</v>
      </c>
      <c r="G2631" t="s">
        <v>235</v>
      </c>
      <c r="H2631" t="s">
        <v>236</v>
      </c>
      <c r="J2631" t="s">
        <v>52</v>
      </c>
      <c r="K2631" s="15">
        <v>36000</v>
      </c>
      <c r="M2631">
        <v>45409</v>
      </c>
      <c r="N2631" t="s">
        <v>1013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2123491.1962616825</v>
      </c>
      <c r="W2631">
        <v>0</v>
      </c>
      <c r="X2631">
        <v>0</v>
      </c>
      <c r="Y2631">
        <v>2123491.1962616825</v>
      </c>
      <c r="Z2631">
        <v>148644.38373831779</v>
      </c>
      <c r="AA2631">
        <v>2272135.5800000005</v>
      </c>
      <c r="AB2631" t="s">
        <v>242</v>
      </c>
      <c r="AC2631">
        <v>6</v>
      </c>
      <c r="AD2631">
        <v>366000</v>
      </c>
      <c r="AE2631">
        <v>0</v>
      </c>
      <c r="AF2631">
        <v>0</v>
      </c>
      <c r="AG2631">
        <v>22706.494232527792</v>
      </c>
      <c r="AH2631" t="s">
        <v>58</v>
      </c>
      <c r="AK2631" t="s">
        <v>798</v>
      </c>
      <c r="AL2631">
        <v>4142300008</v>
      </c>
      <c r="AM2631">
        <v>132635</v>
      </c>
      <c r="AN2631" t="s">
        <v>975</v>
      </c>
      <c r="AO2631" t="s">
        <v>444</v>
      </c>
      <c r="AP2631" t="s">
        <v>430</v>
      </c>
      <c r="AQ2631" t="s">
        <v>237</v>
      </c>
      <c r="AR2631" t="s">
        <v>231</v>
      </c>
      <c r="AT2631" t="s">
        <v>52</v>
      </c>
      <c r="AU2631">
        <v>12000</v>
      </c>
      <c r="AW2631">
        <v>45409</v>
      </c>
      <c r="AX2631" t="s">
        <v>1013</v>
      </c>
      <c r="AY2631">
        <v>0</v>
      </c>
      <c r="AZ2631">
        <v>17306.284638447098</v>
      </c>
      <c r="BA2631">
        <v>0</v>
      </c>
      <c r="BB2631">
        <v>0</v>
      </c>
      <c r="BC2631">
        <v>0</v>
      </c>
      <c r="BD2631">
        <v>0</v>
      </c>
      <c r="BE2631">
        <v>25420.29473042328</v>
      </c>
      <c r="BF2631">
        <v>0</v>
      </c>
      <c r="BG2631">
        <v>0</v>
      </c>
      <c r="BH2631">
        <v>0</v>
      </c>
      <c r="BI2631">
        <v>42726.579368870378</v>
      </c>
      <c r="BJ2631">
        <v>1779.4206311296298</v>
      </c>
      <c r="BK2631">
        <v>44506.000000000007</v>
      </c>
      <c r="BL2631" t="s">
        <v>242</v>
      </c>
      <c r="BM2631">
        <v>10</v>
      </c>
      <c r="BN2631">
        <v>104000</v>
      </c>
      <c r="BO2631">
        <v>0</v>
      </c>
      <c r="BP2631">
        <v>0</v>
      </c>
      <c r="BQ2631">
        <v>3951.4204903656982</v>
      </c>
      <c r="BR2631" t="s">
        <v>58</v>
      </c>
    </row>
    <row r="2632" spans="1:70" x14ac:dyDescent="0.3">
      <c r="A2632" t="s">
        <v>798</v>
      </c>
      <c r="B2632">
        <v>4142300008</v>
      </c>
      <c r="C2632">
        <v>132635</v>
      </c>
      <c r="D2632" t="s">
        <v>975</v>
      </c>
      <c r="E2632" t="s">
        <v>444</v>
      </c>
      <c r="F2632" t="s">
        <v>430</v>
      </c>
      <c r="G2632" t="s">
        <v>237</v>
      </c>
      <c r="H2632" t="s">
        <v>231</v>
      </c>
      <c r="J2632" t="s">
        <v>52</v>
      </c>
      <c r="K2632" s="15">
        <v>12000</v>
      </c>
      <c r="M2632">
        <v>45409</v>
      </c>
      <c r="N2632" t="s">
        <v>1013</v>
      </c>
      <c r="O2632">
        <v>0</v>
      </c>
      <c r="P2632">
        <v>17306.284638447098</v>
      </c>
      <c r="Q2632">
        <v>0</v>
      </c>
      <c r="R2632">
        <v>0</v>
      </c>
      <c r="S2632">
        <v>0</v>
      </c>
      <c r="T2632">
        <v>0</v>
      </c>
      <c r="U2632">
        <v>25420.29473042328</v>
      </c>
      <c r="V2632">
        <v>0</v>
      </c>
      <c r="W2632">
        <v>0</v>
      </c>
      <c r="X2632">
        <v>0</v>
      </c>
      <c r="Y2632">
        <v>42726.579368870378</v>
      </c>
      <c r="Z2632">
        <v>1779.4206311296298</v>
      </c>
      <c r="AA2632">
        <v>44506.000000000007</v>
      </c>
      <c r="AB2632" t="s">
        <v>242</v>
      </c>
      <c r="AC2632">
        <v>10</v>
      </c>
      <c r="AD2632">
        <v>104000</v>
      </c>
      <c r="AE2632">
        <v>0</v>
      </c>
      <c r="AF2632">
        <v>0</v>
      </c>
      <c r="AG2632">
        <v>3951.4204903656982</v>
      </c>
      <c r="AH2632" t="s">
        <v>58</v>
      </c>
      <c r="AK2632" t="s">
        <v>798</v>
      </c>
      <c r="AL2632">
        <v>4142301183</v>
      </c>
      <c r="AM2632">
        <v>10061381</v>
      </c>
      <c r="AN2632" t="s">
        <v>794</v>
      </c>
      <c r="AO2632" t="s">
        <v>446</v>
      </c>
      <c r="AP2632" t="s">
        <v>430</v>
      </c>
      <c r="AQ2632" t="s">
        <v>237</v>
      </c>
      <c r="AR2632" t="s">
        <v>234</v>
      </c>
      <c r="AT2632" t="s">
        <v>52</v>
      </c>
      <c r="AU2632">
        <v>1000</v>
      </c>
      <c r="AW2632">
        <v>45409</v>
      </c>
      <c r="AX2632" t="s">
        <v>1013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64898.224299065419</v>
      </c>
      <c r="BI2632">
        <v>64898.224299065419</v>
      </c>
      <c r="BJ2632">
        <v>4542.87570093458</v>
      </c>
      <c r="BK2632">
        <v>69441.100000000006</v>
      </c>
      <c r="BL2632" t="s">
        <v>242</v>
      </c>
      <c r="BM2632">
        <v>2</v>
      </c>
      <c r="BN2632">
        <v>2000</v>
      </c>
      <c r="BO2632">
        <v>0</v>
      </c>
      <c r="BP2632">
        <v>0</v>
      </c>
      <c r="BQ2632">
        <v>130.84112149532712</v>
      </c>
      <c r="BR2632" t="s">
        <v>58</v>
      </c>
    </row>
    <row r="2633" spans="1:70" x14ac:dyDescent="0.3">
      <c r="A2633" t="s">
        <v>798</v>
      </c>
      <c r="B2633">
        <v>4142300766</v>
      </c>
      <c r="C2633">
        <v>10354207</v>
      </c>
      <c r="D2633" t="s">
        <v>207</v>
      </c>
      <c r="E2633" t="s">
        <v>445</v>
      </c>
      <c r="F2633" t="s">
        <v>430</v>
      </c>
      <c r="G2633" t="s">
        <v>230</v>
      </c>
      <c r="H2633" t="s">
        <v>234</v>
      </c>
      <c r="J2633" t="s">
        <v>52</v>
      </c>
      <c r="K2633" s="15">
        <v>5000</v>
      </c>
      <c r="M2633">
        <v>45409</v>
      </c>
      <c r="N2633" t="s">
        <v>1029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287180.00000000006</v>
      </c>
      <c r="Y2633">
        <v>287180.00000000006</v>
      </c>
      <c r="Z2633">
        <v>20102.600000000006</v>
      </c>
      <c r="AA2633">
        <v>307282.60000000009</v>
      </c>
      <c r="AB2633" t="s">
        <v>242</v>
      </c>
      <c r="AC2633">
        <v>10</v>
      </c>
      <c r="AD2633">
        <v>66000</v>
      </c>
      <c r="AE2633">
        <v>0</v>
      </c>
      <c r="AF2633">
        <v>0</v>
      </c>
      <c r="AG2633">
        <v>4317.7570093457934</v>
      </c>
      <c r="AH2633" t="s">
        <v>58</v>
      </c>
      <c r="AK2633" t="s">
        <v>798</v>
      </c>
      <c r="AL2633">
        <v>82200023</v>
      </c>
      <c r="AM2633">
        <v>901016007000</v>
      </c>
      <c r="AN2633" t="s">
        <v>966</v>
      </c>
      <c r="AO2633" t="s">
        <v>440</v>
      </c>
      <c r="AP2633" t="s">
        <v>433</v>
      </c>
      <c r="AQ2633" t="s">
        <v>235</v>
      </c>
      <c r="AR2633" t="s">
        <v>236</v>
      </c>
      <c r="AT2633" t="s">
        <v>52</v>
      </c>
      <c r="AU2633">
        <v>36000</v>
      </c>
      <c r="AW2633">
        <v>45409</v>
      </c>
      <c r="AX2633" t="s">
        <v>1013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2123491.1962616825</v>
      </c>
      <c r="BG2633">
        <v>0</v>
      </c>
      <c r="BH2633">
        <v>0</v>
      </c>
      <c r="BI2633">
        <v>2123491.1962616825</v>
      </c>
      <c r="BJ2633">
        <v>148644.38373831779</v>
      </c>
      <c r="BK2633">
        <v>2272135.5800000005</v>
      </c>
      <c r="BL2633" t="s">
        <v>242</v>
      </c>
      <c r="BM2633">
        <v>6</v>
      </c>
      <c r="BN2633">
        <v>366000</v>
      </c>
      <c r="BO2633">
        <v>0</v>
      </c>
      <c r="BP2633">
        <v>0</v>
      </c>
      <c r="BQ2633">
        <v>22706.494232527792</v>
      </c>
      <c r="BR2633" t="s">
        <v>58</v>
      </c>
    </row>
    <row r="2634" spans="1:70" x14ac:dyDescent="0.3">
      <c r="A2634" t="s">
        <v>798</v>
      </c>
      <c r="B2634">
        <v>4142301183</v>
      </c>
      <c r="C2634">
        <v>10061381</v>
      </c>
      <c r="D2634" t="s">
        <v>794</v>
      </c>
      <c r="E2634" t="s">
        <v>446</v>
      </c>
      <c r="F2634" t="s">
        <v>430</v>
      </c>
      <c r="G2634" t="s">
        <v>237</v>
      </c>
      <c r="H2634" t="s">
        <v>234</v>
      </c>
      <c r="J2634" t="s">
        <v>52</v>
      </c>
      <c r="K2634" s="15">
        <v>1000</v>
      </c>
      <c r="M2634">
        <v>45409</v>
      </c>
      <c r="N2634" t="s">
        <v>1013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64898.224299065419</v>
      </c>
      <c r="Y2634">
        <v>64898.224299065419</v>
      </c>
      <c r="Z2634">
        <v>4542.87570093458</v>
      </c>
      <c r="AA2634">
        <v>69441.100000000006</v>
      </c>
      <c r="AB2634" t="s">
        <v>242</v>
      </c>
      <c r="AC2634">
        <v>2</v>
      </c>
      <c r="AD2634">
        <v>2000</v>
      </c>
      <c r="AE2634">
        <v>0</v>
      </c>
      <c r="AF2634">
        <v>0</v>
      </c>
      <c r="AG2634">
        <v>130.84112149532712</v>
      </c>
      <c r="AH2634" t="s">
        <v>58</v>
      </c>
      <c r="AK2634" t="s">
        <v>798</v>
      </c>
      <c r="AL2634">
        <v>4142300766</v>
      </c>
      <c r="AM2634">
        <v>10354207</v>
      </c>
      <c r="AN2634" t="s">
        <v>207</v>
      </c>
      <c r="AO2634" t="s">
        <v>445</v>
      </c>
      <c r="AP2634" t="s">
        <v>430</v>
      </c>
      <c r="AQ2634" t="s">
        <v>230</v>
      </c>
      <c r="AR2634" t="s">
        <v>234</v>
      </c>
      <c r="AT2634" t="s">
        <v>52</v>
      </c>
      <c r="AU2634">
        <v>5000</v>
      </c>
      <c r="AW2634">
        <v>45409</v>
      </c>
      <c r="AX2634" t="s">
        <v>1029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287180.00000000006</v>
      </c>
      <c r="BI2634">
        <v>287180.00000000006</v>
      </c>
      <c r="BJ2634">
        <v>20102.600000000006</v>
      </c>
      <c r="BK2634">
        <v>307282.60000000009</v>
      </c>
      <c r="BL2634" t="s">
        <v>242</v>
      </c>
      <c r="BM2634">
        <v>10</v>
      </c>
      <c r="BN2634">
        <v>66000</v>
      </c>
      <c r="BO2634">
        <v>0</v>
      </c>
      <c r="BP2634">
        <v>0</v>
      </c>
      <c r="BQ2634">
        <v>4317.7570093457934</v>
      </c>
      <c r="BR2634" t="s">
        <v>58</v>
      </c>
    </row>
    <row r="2635" spans="1:70" x14ac:dyDescent="0.3">
      <c r="A2635" t="s">
        <v>798</v>
      </c>
      <c r="B2635">
        <v>4302300019</v>
      </c>
      <c r="C2635">
        <v>901019008726</v>
      </c>
      <c r="D2635" t="s">
        <v>224</v>
      </c>
      <c r="E2635" t="s">
        <v>447</v>
      </c>
      <c r="F2635" t="s">
        <v>433</v>
      </c>
      <c r="G2635" t="s">
        <v>82</v>
      </c>
      <c r="H2635" t="s">
        <v>83</v>
      </c>
      <c r="J2635" t="s">
        <v>52</v>
      </c>
      <c r="K2635" s="15">
        <v>40000</v>
      </c>
      <c r="M2635">
        <v>45409</v>
      </c>
      <c r="N2635" t="s">
        <v>1057</v>
      </c>
      <c r="O2635">
        <v>0</v>
      </c>
      <c r="P2635">
        <v>0</v>
      </c>
      <c r="Q2635">
        <v>24965.630729794866</v>
      </c>
      <c r="R2635">
        <v>1621.7399999999998</v>
      </c>
      <c r="S2635">
        <v>0</v>
      </c>
      <c r="T2635">
        <v>0</v>
      </c>
      <c r="U2635">
        <v>0</v>
      </c>
      <c r="V2635">
        <v>405178.43894411693</v>
      </c>
      <c r="W2635">
        <v>0</v>
      </c>
      <c r="X2635">
        <v>0</v>
      </c>
      <c r="Y2635">
        <v>431765.80967391178</v>
      </c>
      <c r="Z2635">
        <v>28362.490726088188</v>
      </c>
      <c r="AA2635">
        <v>460128.30039999995</v>
      </c>
      <c r="AB2635" t="s">
        <v>242</v>
      </c>
      <c r="AC2635">
        <v>4</v>
      </c>
      <c r="AD2635">
        <v>150000</v>
      </c>
      <c r="AE2635">
        <v>0</v>
      </c>
      <c r="AF2635">
        <v>0</v>
      </c>
      <c r="AG2635">
        <v>9200.9596739118206</v>
      </c>
      <c r="AH2635" t="s">
        <v>58</v>
      </c>
      <c r="AK2635" t="s">
        <v>798</v>
      </c>
      <c r="AL2635">
        <v>4302300019</v>
      </c>
      <c r="AM2635">
        <v>901019008726</v>
      </c>
      <c r="AN2635" t="s">
        <v>224</v>
      </c>
      <c r="AO2635" t="s">
        <v>447</v>
      </c>
      <c r="AP2635" t="s">
        <v>433</v>
      </c>
      <c r="AQ2635" t="s">
        <v>82</v>
      </c>
      <c r="AR2635" t="s">
        <v>83</v>
      </c>
      <c r="AT2635" t="s">
        <v>52</v>
      </c>
      <c r="AU2635">
        <v>40000</v>
      </c>
      <c r="AW2635">
        <v>45409</v>
      </c>
      <c r="AX2635" t="s">
        <v>1057</v>
      </c>
      <c r="AY2635">
        <v>0</v>
      </c>
      <c r="AZ2635">
        <v>0</v>
      </c>
      <c r="BA2635">
        <v>24965.630729794866</v>
      </c>
      <c r="BB2635">
        <v>1621.7399999999998</v>
      </c>
      <c r="BC2635">
        <v>0</v>
      </c>
      <c r="BD2635">
        <v>0</v>
      </c>
      <c r="BE2635">
        <v>0</v>
      </c>
      <c r="BF2635">
        <v>405178.43894411693</v>
      </c>
      <c r="BG2635">
        <v>0</v>
      </c>
      <c r="BH2635">
        <v>0</v>
      </c>
      <c r="BI2635">
        <v>431765.80967391178</v>
      </c>
      <c r="BJ2635">
        <v>28362.490726088188</v>
      </c>
      <c r="BK2635">
        <v>460128.30039999995</v>
      </c>
      <c r="BL2635" t="s">
        <v>242</v>
      </c>
      <c r="BM2635">
        <v>4</v>
      </c>
      <c r="BN2635">
        <v>150000</v>
      </c>
      <c r="BO2635">
        <v>0</v>
      </c>
      <c r="BP2635">
        <v>0</v>
      </c>
      <c r="BQ2635">
        <v>9200.9596739118206</v>
      </c>
      <c r="BR2635" t="s">
        <v>58</v>
      </c>
    </row>
    <row r="2636" spans="1:70" x14ac:dyDescent="0.3">
      <c r="A2636" t="s">
        <v>798</v>
      </c>
      <c r="B2636">
        <v>4312300012</v>
      </c>
      <c r="C2636" t="s">
        <v>61</v>
      </c>
      <c r="D2636" t="s">
        <v>963</v>
      </c>
      <c r="E2636" t="s">
        <v>448</v>
      </c>
      <c r="F2636" t="s">
        <v>433</v>
      </c>
      <c r="G2636" t="s">
        <v>82</v>
      </c>
      <c r="H2636" t="s">
        <v>71</v>
      </c>
      <c r="J2636" t="s">
        <v>52</v>
      </c>
      <c r="K2636" s="15">
        <v>25000</v>
      </c>
      <c r="M2636">
        <v>45409</v>
      </c>
      <c r="N2636" t="s">
        <v>1029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1735425.495327103</v>
      </c>
      <c r="Y2636">
        <v>1735425.495327103</v>
      </c>
      <c r="Z2636">
        <v>121479.78467289722</v>
      </c>
      <c r="AA2636">
        <v>1856905.2800000003</v>
      </c>
      <c r="AB2636" t="s">
        <v>242</v>
      </c>
      <c r="AC2636">
        <v>14</v>
      </c>
      <c r="AD2636">
        <v>255165</v>
      </c>
      <c r="AE2636">
        <v>0</v>
      </c>
      <c r="AF2636">
        <v>0</v>
      </c>
      <c r="AG2636">
        <v>16693.037383177572</v>
      </c>
      <c r="AH2636" t="s">
        <v>58</v>
      </c>
      <c r="AK2636" t="s">
        <v>798</v>
      </c>
      <c r="AL2636">
        <v>4312300012</v>
      </c>
      <c r="AM2636" t="s">
        <v>61</v>
      </c>
      <c r="AN2636" t="s">
        <v>963</v>
      </c>
      <c r="AO2636" t="s">
        <v>448</v>
      </c>
      <c r="AP2636" t="s">
        <v>433</v>
      </c>
      <c r="AQ2636" t="s">
        <v>82</v>
      </c>
      <c r="AR2636" t="s">
        <v>71</v>
      </c>
      <c r="AT2636" t="s">
        <v>52</v>
      </c>
      <c r="AU2636">
        <v>25000</v>
      </c>
      <c r="AW2636">
        <v>45409</v>
      </c>
      <c r="AX2636" t="s">
        <v>1029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1735425.495327103</v>
      </c>
      <c r="BI2636">
        <v>1735425.495327103</v>
      </c>
      <c r="BJ2636">
        <v>121479.78467289722</v>
      </c>
      <c r="BK2636">
        <v>1856905.2800000003</v>
      </c>
      <c r="BL2636" t="s">
        <v>242</v>
      </c>
      <c r="BM2636">
        <v>14</v>
      </c>
      <c r="BN2636">
        <v>255165</v>
      </c>
      <c r="BO2636">
        <v>0</v>
      </c>
      <c r="BP2636">
        <v>0</v>
      </c>
      <c r="BQ2636">
        <v>16693.037383177572</v>
      </c>
      <c r="BR2636" t="s">
        <v>58</v>
      </c>
    </row>
    <row r="2637" spans="1:70" x14ac:dyDescent="0.3">
      <c r="A2637" t="s">
        <v>798</v>
      </c>
      <c r="B2637">
        <v>4142301021</v>
      </c>
      <c r="C2637">
        <v>10498847</v>
      </c>
      <c r="D2637" t="s">
        <v>745</v>
      </c>
      <c r="E2637" t="s">
        <v>445</v>
      </c>
      <c r="F2637" t="s">
        <v>430</v>
      </c>
      <c r="G2637" t="s">
        <v>230</v>
      </c>
      <c r="H2637" t="s">
        <v>234</v>
      </c>
      <c r="J2637" t="s">
        <v>52</v>
      </c>
      <c r="K2637" s="15">
        <v>3000</v>
      </c>
      <c r="M2637">
        <v>45410</v>
      </c>
      <c r="N2637" t="s">
        <v>1013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261509.14953271023</v>
      </c>
      <c r="Y2637">
        <v>261509.14953271023</v>
      </c>
      <c r="Z2637">
        <v>18305.640467289719</v>
      </c>
      <c r="AA2637">
        <v>279814.78999999992</v>
      </c>
      <c r="AB2637" t="s">
        <v>242</v>
      </c>
      <c r="AC2637">
        <v>3</v>
      </c>
      <c r="AD2637">
        <v>11000</v>
      </c>
      <c r="AE2637">
        <v>0</v>
      </c>
      <c r="AF2637">
        <v>0</v>
      </c>
      <c r="AG2637">
        <v>719.62616822429936</v>
      </c>
      <c r="AH2637" t="s">
        <v>58</v>
      </c>
      <c r="AK2637" t="s">
        <v>798</v>
      </c>
      <c r="AL2637">
        <v>4142301021</v>
      </c>
      <c r="AM2637">
        <v>10498847</v>
      </c>
      <c r="AN2637" t="s">
        <v>745</v>
      </c>
      <c r="AO2637" t="s">
        <v>445</v>
      </c>
      <c r="AP2637" t="s">
        <v>430</v>
      </c>
      <c r="AQ2637" t="s">
        <v>230</v>
      </c>
      <c r="AR2637" t="s">
        <v>234</v>
      </c>
      <c r="AT2637" t="s">
        <v>52</v>
      </c>
      <c r="AU2637">
        <v>3000</v>
      </c>
      <c r="AW2637">
        <v>45410</v>
      </c>
      <c r="AX2637" t="s">
        <v>1013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261509.14953271023</v>
      </c>
      <c r="BI2637">
        <v>261509.14953271023</v>
      </c>
      <c r="BJ2637">
        <v>18305.640467289719</v>
      </c>
      <c r="BK2637">
        <v>279814.78999999992</v>
      </c>
      <c r="BL2637" t="s">
        <v>242</v>
      </c>
      <c r="BM2637">
        <v>3</v>
      </c>
      <c r="BN2637">
        <v>11000</v>
      </c>
      <c r="BO2637">
        <v>0</v>
      </c>
      <c r="BP2637">
        <v>0</v>
      </c>
      <c r="BQ2637">
        <v>719.62616822429936</v>
      </c>
      <c r="BR2637" t="s">
        <v>58</v>
      </c>
    </row>
    <row r="2638" spans="1:70" x14ac:dyDescent="0.3">
      <c r="A2638" t="s">
        <v>798</v>
      </c>
      <c r="B2638">
        <v>12200016</v>
      </c>
      <c r="C2638">
        <v>18725254</v>
      </c>
      <c r="D2638" t="s">
        <v>1009</v>
      </c>
      <c r="E2638" t="s">
        <v>435</v>
      </c>
      <c r="F2638" t="s">
        <v>427</v>
      </c>
      <c r="G2638" t="s">
        <v>82</v>
      </c>
      <c r="H2638" t="s">
        <v>82</v>
      </c>
      <c r="J2638" t="s">
        <v>52</v>
      </c>
      <c r="K2638" s="15">
        <v>4500</v>
      </c>
      <c r="M2638">
        <v>45411</v>
      </c>
      <c r="N2638" t="s">
        <v>1013</v>
      </c>
      <c r="O2638">
        <v>0</v>
      </c>
      <c r="P2638">
        <v>0</v>
      </c>
      <c r="Q2638">
        <v>0</v>
      </c>
      <c r="R2638">
        <v>0</v>
      </c>
      <c r="S2638">
        <v>70922.589214220687</v>
      </c>
      <c r="T2638">
        <v>0</v>
      </c>
      <c r="U2638">
        <v>0</v>
      </c>
      <c r="V2638">
        <v>196996.09277586485</v>
      </c>
      <c r="W2638">
        <v>0</v>
      </c>
      <c r="X2638">
        <v>0</v>
      </c>
      <c r="Y2638">
        <v>267918.68199008552</v>
      </c>
      <c r="Z2638">
        <v>0</v>
      </c>
      <c r="AA2638">
        <v>267918.68199008552</v>
      </c>
      <c r="AB2638" t="s">
        <v>242</v>
      </c>
      <c r="AC2638">
        <v>1</v>
      </c>
      <c r="AD2638">
        <v>4500</v>
      </c>
      <c r="AE2638">
        <v>0</v>
      </c>
      <c r="AF2638">
        <v>0</v>
      </c>
      <c r="AG2638">
        <v>0</v>
      </c>
      <c r="AH2638" t="s">
        <v>72</v>
      </c>
      <c r="AK2638" t="s">
        <v>798</v>
      </c>
      <c r="AL2638">
        <v>52200647</v>
      </c>
      <c r="AM2638">
        <v>29594859</v>
      </c>
      <c r="AN2638" t="s">
        <v>139</v>
      </c>
      <c r="AO2638" t="s">
        <v>438</v>
      </c>
      <c r="AP2638" t="s">
        <v>431</v>
      </c>
      <c r="AQ2638" t="s">
        <v>82</v>
      </c>
      <c r="AR2638" t="s">
        <v>83</v>
      </c>
      <c r="AT2638" t="s">
        <v>52</v>
      </c>
      <c r="AU2638">
        <v>5000</v>
      </c>
      <c r="AW2638">
        <v>45411</v>
      </c>
      <c r="AX2638" t="s">
        <v>1013</v>
      </c>
      <c r="AY2638">
        <v>0</v>
      </c>
      <c r="AZ2638">
        <v>0</v>
      </c>
      <c r="BA2638">
        <v>0</v>
      </c>
      <c r="BB2638">
        <v>627.6319348028785</v>
      </c>
      <c r="BC2638">
        <v>6308.0270702776788</v>
      </c>
      <c r="BD2638">
        <v>0</v>
      </c>
      <c r="BE2638">
        <v>0</v>
      </c>
      <c r="BF2638">
        <v>58470.824672897194</v>
      </c>
      <c r="BG2638">
        <v>0</v>
      </c>
      <c r="BH2638">
        <v>0</v>
      </c>
      <c r="BI2638">
        <v>65406.483677977754</v>
      </c>
      <c r="BJ2638">
        <v>4534.5196220222415</v>
      </c>
      <c r="BK2638">
        <v>69941.003299999997</v>
      </c>
      <c r="BL2638" t="s">
        <v>242</v>
      </c>
      <c r="BM2638">
        <v>11</v>
      </c>
      <c r="BN2638">
        <v>42000</v>
      </c>
      <c r="BO2638">
        <v>0</v>
      </c>
      <c r="BP2638">
        <v>0</v>
      </c>
      <c r="BQ2638">
        <v>2720.7516219029931</v>
      </c>
      <c r="BR2638" t="s">
        <v>58</v>
      </c>
    </row>
    <row r="2639" spans="1:70" x14ac:dyDescent="0.3">
      <c r="A2639" t="s">
        <v>798</v>
      </c>
      <c r="B2639">
        <v>52200647</v>
      </c>
      <c r="C2639">
        <v>29594859</v>
      </c>
      <c r="D2639" t="s">
        <v>139</v>
      </c>
      <c r="E2639" t="s">
        <v>438</v>
      </c>
      <c r="F2639" t="s">
        <v>431</v>
      </c>
      <c r="G2639" t="s">
        <v>82</v>
      </c>
      <c r="H2639" t="s">
        <v>83</v>
      </c>
      <c r="J2639" t="s">
        <v>52</v>
      </c>
      <c r="K2639" s="15">
        <v>5000</v>
      </c>
      <c r="M2639">
        <v>45411</v>
      </c>
      <c r="N2639" t="s">
        <v>1013</v>
      </c>
      <c r="O2639">
        <v>0</v>
      </c>
      <c r="P2639">
        <v>0</v>
      </c>
      <c r="Q2639">
        <v>0</v>
      </c>
      <c r="R2639">
        <v>627.6319348028785</v>
      </c>
      <c r="S2639">
        <v>6308.0270702776788</v>
      </c>
      <c r="T2639">
        <v>0</v>
      </c>
      <c r="U2639">
        <v>0</v>
      </c>
      <c r="V2639">
        <v>58470.824672897194</v>
      </c>
      <c r="W2639">
        <v>0</v>
      </c>
      <c r="X2639">
        <v>0</v>
      </c>
      <c r="Y2639">
        <v>65406.483677977754</v>
      </c>
      <c r="Z2639">
        <v>4534.5196220222415</v>
      </c>
      <c r="AA2639">
        <v>69941.003299999997</v>
      </c>
      <c r="AB2639" t="s">
        <v>242</v>
      </c>
      <c r="AC2639">
        <v>11</v>
      </c>
      <c r="AD2639">
        <v>42000</v>
      </c>
      <c r="AE2639">
        <v>0</v>
      </c>
      <c r="AF2639">
        <v>0</v>
      </c>
      <c r="AG2639">
        <v>2720.7516219029931</v>
      </c>
      <c r="AH2639" t="s">
        <v>58</v>
      </c>
      <c r="AK2639" t="s">
        <v>798</v>
      </c>
      <c r="AL2639">
        <v>4132300176</v>
      </c>
      <c r="AM2639">
        <v>9060005726</v>
      </c>
      <c r="AN2639" t="s">
        <v>172</v>
      </c>
      <c r="AO2639" t="s">
        <v>441</v>
      </c>
      <c r="AP2639" t="s">
        <v>430</v>
      </c>
      <c r="AQ2639" t="s">
        <v>230</v>
      </c>
      <c r="AR2639" t="s">
        <v>231</v>
      </c>
      <c r="AT2639" t="s">
        <v>52</v>
      </c>
      <c r="AU2639">
        <v>1000</v>
      </c>
      <c r="AW2639">
        <v>45411</v>
      </c>
      <c r="AX2639" t="s">
        <v>1013</v>
      </c>
      <c r="AY2639">
        <v>0</v>
      </c>
      <c r="AZ2639">
        <v>3652.9067606352396</v>
      </c>
      <c r="BA2639">
        <v>0</v>
      </c>
      <c r="BB2639">
        <v>0</v>
      </c>
      <c r="BC2639">
        <v>4144.1917808219177</v>
      </c>
      <c r="BD2639">
        <v>17894.479662957721</v>
      </c>
      <c r="BE2639">
        <v>0</v>
      </c>
      <c r="BF2639">
        <v>0</v>
      </c>
      <c r="BG2639">
        <v>61682.242990654209</v>
      </c>
      <c r="BH2639">
        <v>0</v>
      </c>
      <c r="BI2639">
        <v>87373.821195069089</v>
      </c>
      <c r="BJ2639">
        <v>5570.3705857528357</v>
      </c>
      <c r="BK2639">
        <v>92944.19178082193</v>
      </c>
      <c r="BL2639" t="s">
        <v>242</v>
      </c>
      <c r="BM2639">
        <v>5</v>
      </c>
      <c r="BN2639">
        <v>5000</v>
      </c>
      <c r="BO2639">
        <v>0</v>
      </c>
      <c r="BP2639">
        <v>0</v>
      </c>
      <c r="BQ2639">
        <v>297.85371331258568</v>
      </c>
      <c r="BR2639" t="s">
        <v>58</v>
      </c>
    </row>
    <row r="2640" spans="1:70" x14ac:dyDescent="0.3">
      <c r="A2640" t="s">
        <v>798</v>
      </c>
      <c r="B2640">
        <v>4132300176</v>
      </c>
      <c r="C2640">
        <v>9060005726</v>
      </c>
      <c r="D2640" t="s">
        <v>172</v>
      </c>
      <c r="E2640" t="s">
        <v>441</v>
      </c>
      <c r="F2640" t="s">
        <v>430</v>
      </c>
      <c r="G2640" t="s">
        <v>230</v>
      </c>
      <c r="H2640" t="s">
        <v>231</v>
      </c>
      <c r="J2640" t="s">
        <v>52</v>
      </c>
      <c r="K2640" s="15">
        <v>1000</v>
      </c>
      <c r="M2640">
        <v>45411</v>
      </c>
      <c r="N2640" t="s">
        <v>1013</v>
      </c>
      <c r="O2640">
        <v>0</v>
      </c>
      <c r="P2640">
        <v>3652.9067606352396</v>
      </c>
      <c r="Q2640">
        <v>0</v>
      </c>
      <c r="R2640">
        <v>0</v>
      </c>
      <c r="S2640">
        <v>4144.1917808219177</v>
      </c>
      <c r="T2640">
        <v>17894.479662957721</v>
      </c>
      <c r="U2640">
        <v>0</v>
      </c>
      <c r="V2640">
        <v>0</v>
      </c>
      <c r="W2640">
        <v>61682.242990654209</v>
      </c>
      <c r="X2640">
        <v>0</v>
      </c>
      <c r="Y2640">
        <v>87373.821195069089</v>
      </c>
      <c r="Z2640">
        <v>5570.3705857528357</v>
      </c>
      <c r="AA2640">
        <v>92944.19178082193</v>
      </c>
      <c r="AB2640" t="s">
        <v>242</v>
      </c>
      <c r="AC2640">
        <v>5</v>
      </c>
      <c r="AD2640">
        <v>5000</v>
      </c>
      <c r="AE2640">
        <v>0</v>
      </c>
      <c r="AF2640">
        <v>0</v>
      </c>
      <c r="AG2640">
        <v>297.85371331258568</v>
      </c>
      <c r="AH2640" t="s">
        <v>58</v>
      </c>
      <c r="AK2640" t="s">
        <v>798</v>
      </c>
      <c r="AL2640">
        <v>4142300097</v>
      </c>
      <c r="AM2640">
        <v>82365</v>
      </c>
      <c r="AN2640" t="s">
        <v>953</v>
      </c>
      <c r="AO2640" t="s">
        <v>444</v>
      </c>
      <c r="AP2640" t="s">
        <v>430</v>
      </c>
      <c r="AQ2640" t="s">
        <v>230</v>
      </c>
      <c r="AR2640" t="s">
        <v>231</v>
      </c>
      <c r="AT2640" t="s">
        <v>52</v>
      </c>
      <c r="AU2640">
        <v>6000</v>
      </c>
      <c r="AW2640">
        <v>45411</v>
      </c>
      <c r="AX2640" t="s">
        <v>1013</v>
      </c>
      <c r="AY2640">
        <v>0</v>
      </c>
      <c r="AZ2640">
        <v>2218.2962888450711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47068.255804817702</v>
      </c>
      <c r="BH2640">
        <v>0</v>
      </c>
      <c r="BI2640">
        <v>49286.552093662773</v>
      </c>
      <c r="BJ2640">
        <v>3294.7779063372395</v>
      </c>
      <c r="BK2640">
        <v>52581.330000000009</v>
      </c>
      <c r="BL2640" t="s">
        <v>242</v>
      </c>
      <c r="BM2640">
        <v>8</v>
      </c>
      <c r="BN2640">
        <v>48000</v>
      </c>
      <c r="BO2640">
        <v>0</v>
      </c>
      <c r="BP2640">
        <v>0</v>
      </c>
      <c r="BQ2640">
        <v>2994.841813288931</v>
      </c>
      <c r="BR2640" t="s">
        <v>58</v>
      </c>
    </row>
    <row r="2641" spans="1:70" x14ac:dyDescent="0.3">
      <c r="A2641" t="s">
        <v>798</v>
      </c>
      <c r="B2641">
        <v>4132301517</v>
      </c>
      <c r="C2641" t="s">
        <v>98</v>
      </c>
      <c r="D2641" t="s">
        <v>962</v>
      </c>
      <c r="E2641" t="s">
        <v>442</v>
      </c>
      <c r="F2641" t="s">
        <v>430</v>
      </c>
      <c r="G2641" t="s">
        <v>230</v>
      </c>
      <c r="H2641" t="s">
        <v>231</v>
      </c>
      <c r="J2641" t="s">
        <v>52</v>
      </c>
      <c r="K2641" s="15">
        <v>7000</v>
      </c>
      <c r="M2641">
        <v>45411</v>
      </c>
      <c r="N2641" t="s">
        <v>1013</v>
      </c>
      <c r="O2641">
        <v>0</v>
      </c>
      <c r="P2641">
        <v>0</v>
      </c>
      <c r="Q2641">
        <v>0</v>
      </c>
      <c r="R2641">
        <v>0</v>
      </c>
      <c r="S2641">
        <v>136901.8123608829</v>
      </c>
      <c r="T2641">
        <v>0</v>
      </c>
      <c r="U2641">
        <v>0</v>
      </c>
      <c r="V2641">
        <v>0</v>
      </c>
      <c r="W2641">
        <v>204727.62396179166</v>
      </c>
      <c r="X2641">
        <v>0</v>
      </c>
      <c r="Y2641">
        <v>341629.43632267456</v>
      </c>
      <c r="Z2641">
        <v>14330.933677325418</v>
      </c>
      <c r="AA2641">
        <v>355960.37</v>
      </c>
      <c r="AB2641" t="s">
        <v>242</v>
      </c>
      <c r="AC2641">
        <v>6</v>
      </c>
      <c r="AD2641">
        <v>35000</v>
      </c>
      <c r="AE2641">
        <v>0</v>
      </c>
      <c r="AF2641">
        <v>0</v>
      </c>
      <c r="AG2641">
        <v>1370.0009021138358</v>
      </c>
      <c r="AH2641" t="s">
        <v>58</v>
      </c>
      <c r="AK2641" t="s">
        <v>798</v>
      </c>
      <c r="AL2641">
        <v>4142301392</v>
      </c>
      <c r="AM2641">
        <v>10438010</v>
      </c>
      <c r="AN2641" t="s">
        <v>1010</v>
      </c>
      <c r="AO2641" t="s">
        <v>446</v>
      </c>
      <c r="AP2641" t="s">
        <v>430</v>
      </c>
      <c r="AQ2641" t="s">
        <v>237</v>
      </c>
      <c r="AR2641" t="s">
        <v>234</v>
      </c>
      <c r="AT2641" t="s">
        <v>52</v>
      </c>
      <c r="AU2641">
        <v>2000</v>
      </c>
      <c r="AW2641">
        <v>45411</v>
      </c>
      <c r="AX2641" t="s">
        <v>1013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74150.16822429905</v>
      </c>
      <c r="BI2641">
        <v>74150.16822429905</v>
      </c>
      <c r="BJ2641">
        <v>5190.5117757009339</v>
      </c>
      <c r="BK2641">
        <v>79340.679999999978</v>
      </c>
      <c r="BL2641" t="s">
        <v>242</v>
      </c>
      <c r="BM2641">
        <v>1</v>
      </c>
      <c r="BN2641">
        <v>2000</v>
      </c>
      <c r="BO2641">
        <v>0</v>
      </c>
      <c r="BP2641">
        <v>0</v>
      </c>
      <c r="BQ2641">
        <v>130.84112149532712</v>
      </c>
      <c r="BR2641" t="s">
        <v>72</v>
      </c>
    </row>
    <row r="2642" spans="1:70" x14ac:dyDescent="0.3">
      <c r="A2642" t="s">
        <v>798</v>
      </c>
      <c r="B2642">
        <v>4142300097</v>
      </c>
      <c r="C2642">
        <v>82365</v>
      </c>
      <c r="D2642" t="s">
        <v>953</v>
      </c>
      <c r="E2642" t="s">
        <v>444</v>
      </c>
      <c r="F2642" t="s">
        <v>430</v>
      </c>
      <c r="G2642" t="s">
        <v>230</v>
      </c>
      <c r="H2642" t="s">
        <v>231</v>
      </c>
      <c r="J2642" t="s">
        <v>52</v>
      </c>
      <c r="K2642" s="15">
        <v>6000</v>
      </c>
      <c r="M2642">
        <v>45411</v>
      </c>
      <c r="N2642" t="s">
        <v>1013</v>
      </c>
      <c r="O2642">
        <v>0</v>
      </c>
      <c r="P2642">
        <v>2218.2962888450711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47068.255804817702</v>
      </c>
      <c r="X2642">
        <v>0</v>
      </c>
      <c r="Y2642">
        <v>49286.552093662773</v>
      </c>
      <c r="Z2642">
        <v>3294.7779063372395</v>
      </c>
      <c r="AA2642">
        <v>52581.330000000009</v>
      </c>
      <c r="AB2642" t="s">
        <v>242</v>
      </c>
      <c r="AC2642">
        <v>8</v>
      </c>
      <c r="AD2642">
        <v>48000</v>
      </c>
      <c r="AE2642">
        <v>0</v>
      </c>
      <c r="AF2642">
        <v>0</v>
      </c>
      <c r="AG2642">
        <v>2994.841813288931</v>
      </c>
      <c r="AH2642" t="s">
        <v>58</v>
      </c>
      <c r="AK2642" t="s">
        <v>798</v>
      </c>
      <c r="AL2642">
        <v>12200016</v>
      </c>
      <c r="AM2642">
        <v>18725254</v>
      </c>
      <c r="AN2642" t="s">
        <v>1009</v>
      </c>
      <c r="AO2642" t="s">
        <v>435</v>
      </c>
      <c r="AP2642" t="s">
        <v>427</v>
      </c>
      <c r="AQ2642" t="s">
        <v>82</v>
      </c>
      <c r="AR2642" t="s">
        <v>82</v>
      </c>
      <c r="AT2642" t="s">
        <v>52</v>
      </c>
      <c r="AU2642">
        <v>4500</v>
      </c>
      <c r="AW2642">
        <v>45411</v>
      </c>
      <c r="AX2642" t="s">
        <v>1013</v>
      </c>
      <c r="AY2642">
        <v>0</v>
      </c>
      <c r="AZ2642">
        <v>0</v>
      </c>
      <c r="BA2642">
        <v>0</v>
      </c>
      <c r="BB2642">
        <v>0</v>
      </c>
      <c r="BC2642">
        <v>70922.589214220687</v>
      </c>
      <c r="BD2642">
        <v>0</v>
      </c>
      <c r="BE2642">
        <v>0</v>
      </c>
      <c r="BF2642">
        <v>196996.09277586485</v>
      </c>
      <c r="BG2642">
        <v>0</v>
      </c>
      <c r="BH2642">
        <v>0</v>
      </c>
      <c r="BI2642">
        <v>267918.68199008552</v>
      </c>
      <c r="BJ2642">
        <v>0</v>
      </c>
      <c r="BK2642">
        <v>267918.68199008552</v>
      </c>
      <c r="BL2642" t="s">
        <v>242</v>
      </c>
      <c r="BM2642">
        <v>1</v>
      </c>
      <c r="BN2642">
        <v>4500</v>
      </c>
      <c r="BO2642">
        <v>0</v>
      </c>
      <c r="BP2642">
        <v>0</v>
      </c>
      <c r="BQ2642">
        <v>0</v>
      </c>
      <c r="BR2642" t="s">
        <v>72</v>
      </c>
    </row>
    <row r="2643" spans="1:70" x14ac:dyDescent="0.3">
      <c r="A2643" t="s">
        <v>798</v>
      </c>
      <c r="B2643">
        <v>4142301392</v>
      </c>
      <c r="C2643">
        <v>10438010</v>
      </c>
      <c r="D2643" t="s">
        <v>1010</v>
      </c>
      <c r="E2643" t="s">
        <v>446</v>
      </c>
      <c r="F2643" t="s">
        <v>430</v>
      </c>
      <c r="G2643" t="s">
        <v>237</v>
      </c>
      <c r="H2643" t="s">
        <v>234</v>
      </c>
      <c r="J2643" t="s">
        <v>52</v>
      </c>
      <c r="K2643" s="15">
        <v>2000</v>
      </c>
      <c r="M2643">
        <v>45411</v>
      </c>
      <c r="N2643" t="s">
        <v>1013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74150.16822429905</v>
      </c>
      <c r="Y2643">
        <v>74150.16822429905</v>
      </c>
      <c r="Z2643">
        <v>5190.5117757009339</v>
      </c>
      <c r="AA2643">
        <v>79340.679999999978</v>
      </c>
      <c r="AB2643" t="s">
        <v>242</v>
      </c>
      <c r="AC2643">
        <v>1</v>
      </c>
      <c r="AD2643">
        <v>2000</v>
      </c>
      <c r="AE2643">
        <v>0</v>
      </c>
      <c r="AF2643">
        <v>0</v>
      </c>
      <c r="AG2643">
        <v>130.84112149532712</v>
      </c>
      <c r="AH2643" t="s">
        <v>72</v>
      </c>
      <c r="AK2643" t="s">
        <v>798</v>
      </c>
      <c r="AL2643">
        <v>4132301517</v>
      </c>
      <c r="AM2643" t="s">
        <v>98</v>
      </c>
      <c r="AN2643" t="s">
        <v>962</v>
      </c>
      <c r="AO2643" t="s">
        <v>442</v>
      </c>
      <c r="AP2643" t="s">
        <v>430</v>
      </c>
      <c r="AQ2643" t="s">
        <v>230</v>
      </c>
      <c r="AR2643" t="s">
        <v>231</v>
      </c>
      <c r="AT2643" t="s">
        <v>52</v>
      </c>
      <c r="AU2643">
        <v>7000</v>
      </c>
      <c r="AW2643">
        <v>45411</v>
      </c>
      <c r="AX2643" t="s">
        <v>1013</v>
      </c>
      <c r="AY2643">
        <v>0</v>
      </c>
      <c r="AZ2643">
        <v>0</v>
      </c>
      <c r="BA2643">
        <v>0</v>
      </c>
      <c r="BB2643">
        <v>0</v>
      </c>
      <c r="BC2643">
        <v>136901.8123608829</v>
      </c>
      <c r="BD2643">
        <v>0</v>
      </c>
      <c r="BE2643">
        <v>0</v>
      </c>
      <c r="BF2643">
        <v>0</v>
      </c>
      <c r="BG2643">
        <v>204727.62396179166</v>
      </c>
      <c r="BH2643">
        <v>0</v>
      </c>
      <c r="BI2643">
        <v>341629.43632267456</v>
      </c>
      <c r="BJ2643">
        <v>14330.933677325418</v>
      </c>
      <c r="BK2643">
        <v>355960.37</v>
      </c>
      <c r="BL2643" t="s">
        <v>242</v>
      </c>
      <c r="BM2643">
        <v>6</v>
      </c>
      <c r="BN2643">
        <v>35000</v>
      </c>
      <c r="BO2643">
        <v>0</v>
      </c>
      <c r="BP2643">
        <v>0</v>
      </c>
      <c r="BQ2643">
        <v>1370.0009021138358</v>
      </c>
      <c r="BR2643" t="s">
        <v>58</v>
      </c>
    </row>
    <row r="2644" spans="1:70" x14ac:dyDescent="0.3">
      <c r="A2644" t="s">
        <v>798</v>
      </c>
      <c r="B2644">
        <v>4142301423</v>
      </c>
      <c r="C2644">
        <v>10476549</v>
      </c>
      <c r="D2644" t="s">
        <v>217</v>
      </c>
      <c r="E2644" t="s">
        <v>446</v>
      </c>
      <c r="F2644" t="s">
        <v>430</v>
      </c>
      <c r="G2644" t="s">
        <v>230</v>
      </c>
      <c r="H2644" t="s">
        <v>234</v>
      </c>
      <c r="J2644" t="s">
        <v>52</v>
      </c>
      <c r="K2644" s="15">
        <v>4000</v>
      </c>
      <c r="M2644">
        <v>45411</v>
      </c>
      <c r="N2644" t="s">
        <v>1013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229068.74919984635</v>
      </c>
      <c r="Y2644">
        <v>229068.74919984635</v>
      </c>
      <c r="Z2644">
        <v>16034.812443989245</v>
      </c>
      <c r="AA2644">
        <v>245103.56164383559</v>
      </c>
      <c r="AB2644" t="s">
        <v>242</v>
      </c>
      <c r="AC2644">
        <v>5</v>
      </c>
      <c r="AD2644">
        <v>20000</v>
      </c>
      <c r="AE2644">
        <v>0</v>
      </c>
      <c r="AF2644">
        <v>0</v>
      </c>
      <c r="AG2644">
        <v>1308.4112149532712</v>
      </c>
      <c r="AH2644" t="s">
        <v>58</v>
      </c>
      <c r="AK2644" t="s">
        <v>798</v>
      </c>
      <c r="AL2644">
        <v>4142301423</v>
      </c>
      <c r="AM2644">
        <v>10476549</v>
      </c>
      <c r="AN2644" t="s">
        <v>217</v>
      </c>
      <c r="AO2644" t="s">
        <v>446</v>
      </c>
      <c r="AP2644" t="s">
        <v>430</v>
      </c>
      <c r="AQ2644" t="s">
        <v>230</v>
      </c>
      <c r="AR2644" t="s">
        <v>234</v>
      </c>
      <c r="AT2644" t="s">
        <v>52</v>
      </c>
      <c r="AU2644">
        <v>4000</v>
      </c>
      <c r="AW2644">
        <v>45411</v>
      </c>
      <c r="AX2644" t="s">
        <v>1013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229068.74919984635</v>
      </c>
      <c r="BI2644">
        <v>229068.74919984635</v>
      </c>
      <c r="BJ2644">
        <v>16034.812443989245</v>
      </c>
      <c r="BK2644">
        <v>245103.56164383559</v>
      </c>
      <c r="BL2644" t="s">
        <v>242</v>
      </c>
      <c r="BM2644">
        <v>5</v>
      </c>
      <c r="BN2644">
        <v>20000</v>
      </c>
      <c r="BO2644">
        <v>0</v>
      </c>
      <c r="BP2644">
        <v>0</v>
      </c>
      <c r="BQ2644">
        <v>1308.4112149532712</v>
      </c>
      <c r="BR2644" t="s">
        <v>58</v>
      </c>
    </row>
    <row r="2645" spans="1:70" x14ac:dyDescent="0.3">
      <c r="A2645" t="s">
        <v>798</v>
      </c>
      <c r="B2645">
        <v>4142301595</v>
      </c>
      <c r="C2645">
        <v>10644724</v>
      </c>
      <c r="D2645" t="s">
        <v>218</v>
      </c>
      <c r="E2645" t="s">
        <v>446</v>
      </c>
      <c r="F2645" t="s">
        <v>430</v>
      </c>
      <c r="G2645" t="s">
        <v>230</v>
      </c>
      <c r="H2645" t="s">
        <v>234</v>
      </c>
      <c r="J2645" t="s">
        <v>52</v>
      </c>
      <c r="K2645" s="15">
        <v>3000</v>
      </c>
      <c r="M2645">
        <v>45411</v>
      </c>
      <c r="N2645" t="s">
        <v>1013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655028.03738317743</v>
      </c>
      <c r="Y2645">
        <v>655028.03738317743</v>
      </c>
      <c r="Z2645">
        <v>45851.962616822428</v>
      </c>
      <c r="AA2645">
        <v>700879.99999999988</v>
      </c>
      <c r="AB2645" t="s">
        <v>242</v>
      </c>
      <c r="AC2645">
        <v>4</v>
      </c>
      <c r="AD2645">
        <v>7000</v>
      </c>
      <c r="AE2645">
        <v>0</v>
      </c>
      <c r="AF2645">
        <v>0</v>
      </c>
      <c r="AG2645">
        <v>457.94392523364502</v>
      </c>
      <c r="AH2645" t="s">
        <v>58</v>
      </c>
      <c r="AK2645" t="s">
        <v>798</v>
      </c>
      <c r="AL2645">
        <v>4142301595</v>
      </c>
      <c r="AM2645">
        <v>10644724</v>
      </c>
      <c r="AN2645" t="s">
        <v>218</v>
      </c>
      <c r="AO2645" t="s">
        <v>446</v>
      </c>
      <c r="AP2645" t="s">
        <v>430</v>
      </c>
      <c r="AQ2645" t="s">
        <v>230</v>
      </c>
      <c r="AR2645" t="s">
        <v>234</v>
      </c>
      <c r="AT2645" t="s">
        <v>52</v>
      </c>
      <c r="AU2645">
        <v>3000</v>
      </c>
      <c r="AW2645">
        <v>45411</v>
      </c>
      <c r="AX2645" t="s">
        <v>1013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655028.03738317743</v>
      </c>
      <c r="BI2645">
        <v>655028.03738317743</v>
      </c>
      <c r="BJ2645">
        <v>45851.962616822428</v>
      </c>
      <c r="BK2645">
        <v>700879.99999999988</v>
      </c>
      <c r="BL2645" t="s">
        <v>242</v>
      </c>
      <c r="BM2645">
        <v>4</v>
      </c>
      <c r="BN2645">
        <v>7000</v>
      </c>
      <c r="BO2645">
        <v>0</v>
      </c>
      <c r="BP2645">
        <v>0</v>
      </c>
      <c r="BQ2645">
        <v>457.94392523364502</v>
      </c>
      <c r="BR2645" t="s">
        <v>58</v>
      </c>
    </row>
    <row r="2646" spans="1:70" x14ac:dyDescent="0.3">
      <c r="A2646" t="s">
        <v>798</v>
      </c>
      <c r="B2646">
        <v>12200042</v>
      </c>
      <c r="C2646">
        <v>23526321</v>
      </c>
      <c r="D2646" t="s">
        <v>624</v>
      </c>
      <c r="E2646" t="s">
        <v>435</v>
      </c>
      <c r="F2646" t="s">
        <v>427</v>
      </c>
      <c r="G2646" t="s">
        <v>230</v>
      </c>
      <c r="H2646" t="s">
        <v>230</v>
      </c>
      <c r="J2646" t="s">
        <v>52</v>
      </c>
      <c r="K2646" s="15">
        <v>3000</v>
      </c>
      <c r="M2646">
        <v>45412</v>
      </c>
      <c r="N2646" t="s">
        <v>1013</v>
      </c>
      <c r="O2646">
        <v>0</v>
      </c>
      <c r="P2646">
        <v>0</v>
      </c>
      <c r="Q2646">
        <v>0</v>
      </c>
      <c r="R2646">
        <v>0</v>
      </c>
      <c r="S2646">
        <v>7173.6999999999971</v>
      </c>
      <c r="T2646">
        <v>0</v>
      </c>
      <c r="U2646">
        <v>0</v>
      </c>
      <c r="V2646">
        <v>80000</v>
      </c>
      <c r="W2646">
        <v>0</v>
      </c>
      <c r="X2646">
        <v>0</v>
      </c>
      <c r="Y2646">
        <v>87173.7</v>
      </c>
      <c r="Z2646">
        <v>0</v>
      </c>
      <c r="AA2646">
        <v>87173.7</v>
      </c>
      <c r="AB2646" t="s">
        <v>242</v>
      </c>
      <c r="AC2646">
        <v>15</v>
      </c>
      <c r="AD2646">
        <v>33600</v>
      </c>
      <c r="AE2646">
        <v>0</v>
      </c>
      <c r="AF2646">
        <v>0</v>
      </c>
      <c r="AG2646">
        <v>0</v>
      </c>
      <c r="AH2646" t="s">
        <v>58</v>
      </c>
      <c r="AK2646" t="s">
        <v>798</v>
      </c>
      <c r="AL2646">
        <v>12200042</v>
      </c>
      <c r="AM2646">
        <v>23526321</v>
      </c>
      <c r="AN2646" t="s">
        <v>624</v>
      </c>
      <c r="AO2646" t="s">
        <v>435</v>
      </c>
      <c r="AP2646" t="s">
        <v>427</v>
      </c>
      <c r="AQ2646" t="s">
        <v>230</v>
      </c>
      <c r="AR2646" t="s">
        <v>230</v>
      </c>
      <c r="AT2646" t="s">
        <v>52</v>
      </c>
      <c r="AU2646">
        <v>3000</v>
      </c>
      <c r="AW2646">
        <v>45412</v>
      </c>
      <c r="AX2646" t="s">
        <v>1013</v>
      </c>
      <c r="AY2646">
        <v>0</v>
      </c>
      <c r="AZ2646">
        <v>0</v>
      </c>
      <c r="BA2646">
        <v>0</v>
      </c>
      <c r="BB2646">
        <v>0</v>
      </c>
      <c r="BC2646">
        <v>7173.6999999999971</v>
      </c>
      <c r="BD2646">
        <v>0</v>
      </c>
      <c r="BE2646">
        <v>0</v>
      </c>
      <c r="BF2646">
        <v>80000</v>
      </c>
      <c r="BG2646">
        <v>0</v>
      </c>
      <c r="BH2646">
        <v>0</v>
      </c>
      <c r="BI2646">
        <v>87173.7</v>
      </c>
      <c r="BJ2646">
        <v>0</v>
      </c>
      <c r="BK2646">
        <v>87173.7</v>
      </c>
      <c r="BL2646" t="s">
        <v>242</v>
      </c>
      <c r="BM2646">
        <v>15</v>
      </c>
      <c r="BN2646">
        <v>33600</v>
      </c>
      <c r="BO2646">
        <v>0</v>
      </c>
      <c r="BP2646">
        <v>0</v>
      </c>
      <c r="BQ2646">
        <v>0</v>
      </c>
      <c r="BR2646" t="s">
        <v>58</v>
      </c>
    </row>
    <row r="2647" spans="1:70" x14ac:dyDescent="0.3">
      <c r="A2647" t="s">
        <v>798</v>
      </c>
      <c r="B2647">
        <v>42201414</v>
      </c>
      <c r="C2647">
        <v>2759011778</v>
      </c>
      <c r="D2647" t="s">
        <v>1003</v>
      </c>
      <c r="E2647" t="s">
        <v>439</v>
      </c>
      <c r="F2647" t="s">
        <v>430</v>
      </c>
      <c r="G2647" t="s">
        <v>230</v>
      </c>
      <c r="H2647" t="s">
        <v>234</v>
      </c>
      <c r="J2647" t="s">
        <v>52</v>
      </c>
      <c r="K2647" s="15">
        <v>500</v>
      </c>
      <c r="M2647">
        <v>45412</v>
      </c>
      <c r="N2647" t="s">
        <v>1013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122302.20560747663</v>
      </c>
      <c r="Y2647">
        <v>122302.20560747663</v>
      </c>
      <c r="Z2647">
        <v>8561.1543925233655</v>
      </c>
      <c r="AA2647">
        <v>130863.36</v>
      </c>
      <c r="AB2647" t="s">
        <v>242</v>
      </c>
      <c r="AC2647">
        <v>3</v>
      </c>
      <c r="AD2647">
        <v>3500</v>
      </c>
      <c r="AE2647">
        <v>0</v>
      </c>
      <c r="AF2647">
        <v>0</v>
      </c>
      <c r="AG2647">
        <v>228.97196261682245</v>
      </c>
      <c r="AH2647" t="s">
        <v>58</v>
      </c>
      <c r="AK2647" t="s">
        <v>798</v>
      </c>
      <c r="AL2647">
        <v>52200114</v>
      </c>
      <c r="AM2647">
        <v>24976922</v>
      </c>
      <c r="AN2647" t="s">
        <v>1011</v>
      </c>
      <c r="AO2647" t="s">
        <v>436</v>
      </c>
      <c r="AP2647" t="s">
        <v>431</v>
      </c>
      <c r="AQ2647" t="s">
        <v>82</v>
      </c>
      <c r="AR2647" t="s">
        <v>83</v>
      </c>
      <c r="AT2647" t="s">
        <v>52</v>
      </c>
      <c r="AU2647">
        <v>1500</v>
      </c>
      <c r="AW2647">
        <v>45412</v>
      </c>
      <c r="AX2647" t="s">
        <v>1013</v>
      </c>
      <c r="AY2647">
        <v>0</v>
      </c>
      <c r="AZ2647">
        <v>0</v>
      </c>
      <c r="BA2647">
        <v>0</v>
      </c>
      <c r="BB2647">
        <v>964.94216331303392</v>
      </c>
      <c r="BC2647">
        <v>9829.2055107477081</v>
      </c>
      <c r="BD2647">
        <v>0</v>
      </c>
      <c r="BE2647">
        <v>0</v>
      </c>
      <c r="BF2647">
        <v>47065.241083937464</v>
      </c>
      <c r="BG2647">
        <v>0</v>
      </c>
      <c r="BH2647">
        <v>0</v>
      </c>
      <c r="BI2647">
        <v>57859.388757998204</v>
      </c>
      <c r="BJ2647">
        <v>3982.6112616279624</v>
      </c>
      <c r="BK2647">
        <v>61842.000019626168</v>
      </c>
      <c r="BL2647" t="s">
        <v>242</v>
      </c>
      <c r="BM2647">
        <v>1</v>
      </c>
      <c r="BN2647">
        <v>1500</v>
      </c>
      <c r="BO2647">
        <v>0</v>
      </c>
      <c r="BP2647">
        <v>0</v>
      </c>
      <c r="BQ2647">
        <v>96.491543394310611</v>
      </c>
      <c r="BR2647" t="s">
        <v>72</v>
      </c>
    </row>
    <row r="2648" spans="1:70" x14ac:dyDescent="0.3">
      <c r="A2648" t="s">
        <v>798</v>
      </c>
      <c r="B2648">
        <v>42201416</v>
      </c>
      <c r="C2648">
        <v>2759018438</v>
      </c>
      <c r="D2648" t="s">
        <v>965</v>
      </c>
      <c r="E2648" t="s">
        <v>439</v>
      </c>
      <c r="F2648" t="s">
        <v>430</v>
      </c>
      <c r="G2648" t="s">
        <v>230</v>
      </c>
      <c r="H2648" t="s">
        <v>234</v>
      </c>
      <c r="J2648" t="s">
        <v>52</v>
      </c>
      <c r="K2648" s="15">
        <v>3000</v>
      </c>
      <c r="M2648">
        <v>45412</v>
      </c>
      <c r="N2648" t="s">
        <v>1013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588995.33644859807</v>
      </c>
      <c r="Y2648">
        <v>588995.33644859807</v>
      </c>
      <c r="Z2648">
        <v>41229.673551401866</v>
      </c>
      <c r="AA2648">
        <v>630225.00999999989</v>
      </c>
      <c r="AB2648" t="s">
        <v>242</v>
      </c>
      <c r="AC2648">
        <v>4</v>
      </c>
      <c r="AD2648">
        <v>12000</v>
      </c>
      <c r="AE2648">
        <v>0</v>
      </c>
      <c r="AF2648">
        <v>0</v>
      </c>
      <c r="AG2648">
        <v>785.0467289719636</v>
      </c>
      <c r="AH2648" t="s">
        <v>58</v>
      </c>
      <c r="AK2648" t="s">
        <v>798</v>
      </c>
      <c r="AL2648">
        <v>52200733</v>
      </c>
      <c r="AM2648">
        <v>29713647</v>
      </c>
      <c r="AN2648" t="s">
        <v>140</v>
      </c>
      <c r="AO2648" t="s">
        <v>438</v>
      </c>
      <c r="AP2648" t="s">
        <v>431</v>
      </c>
      <c r="AQ2648" t="s">
        <v>82</v>
      </c>
      <c r="AR2648" t="s">
        <v>83</v>
      </c>
      <c r="AT2648" t="s">
        <v>52</v>
      </c>
      <c r="AU2648">
        <v>2500</v>
      </c>
      <c r="AW2648">
        <v>45412</v>
      </c>
      <c r="AX2648" t="s">
        <v>1013</v>
      </c>
      <c r="AY2648">
        <v>0</v>
      </c>
      <c r="AZ2648">
        <v>0</v>
      </c>
      <c r="BA2648">
        <v>0</v>
      </c>
      <c r="BB2648">
        <v>667.78748387376163</v>
      </c>
      <c r="BC2648">
        <v>0</v>
      </c>
      <c r="BD2648">
        <v>0</v>
      </c>
      <c r="BE2648">
        <v>0</v>
      </c>
      <c r="BF2648">
        <v>49874.030388903026</v>
      </c>
      <c r="BG2648">
        <v>0</v>
      </c>
      <c r="BH2648">
        <v>0</v>
      </c>
      <c r="BI2648">
        <v>50541.817872776788</v>
      </c>
      <c r="BJ2648">
        <v>3491.1821272232123</v>
      </c>
      <c r="BK2648">
        <v>54033</v>
      </c>
      <c r="BL2648" t="s">
        <v>242</v>
      </c>
      <c r="BM2648">
        <v>11</v>
      </c>
      <c r="BN2648">
        <v>34837</v>
      </c>
      <c r="BO2648">
        <v>0</v>
      </c>
      <c r="BP2648">
        <v>0</v>
      </c>
      <c r="BQ2648">
        <v>2248.2945082908063</v>
      </c>
      <c r="BR2648" t="s">
        <v>58</v>
      </c>
    </row>
    <row r="2649" spans="1:70" x14ac:dyDescent="0.3">
      <c r="A2649" t="s">
        <v>798</v>
      </c>
      <c r="B2649">
        <v>52200114</v>
      </c>
      <c r="C2649">
        <v>24976922</v>
      </c>
      <c r="D2649" t="s">
        <v>1011</v>
      </c>
      <c r="E2649" t="s">
        <v>436</v>
      </c>
      <c r="F2649" t="s">
        <v>431</v>
      </c>
      <c r="G2649" t="s">
        <v>82</v>
      </c>
      <c r="H2649" t="s">
        <v>83</v>
      </c>
      <c r="J2649" t="s">
        <v>52</v>
      </c>
      <c r="K2649" s="15">
        <v>1500</v>
      </c>
      <c r="M2649">
        <v>45412</v>
      </c>
      <c r="N2649" t="s">
        <v>1013</v>
      </c>
      <c r="O2649">
        <v>0</v>
      </c>
      <c r="P2649">
        <v>0</v>
      </c>
      <c r="Q2649">
        <v>0</v>
      </c>
      <c r="R2649">
        <v>964.94216331303392</v>
      </c>
      <c r="S2649">
        <v>9829.2055107477081</v>
      </c>
      <c r="T2649">
        <v>0</v>
      </c>
      <c r="U2649">
        <v>0</v>
      </c>
      <c r="V2649">
        <v>47065.241083937464</v>
      </c>
      <c r="W2649">
        <v>0</v>
      </c>
      <c r="X2649">
        <v>0</v>
      </c>
      <c r="Y2649">
        <v>57859.388757998204</v>
      </c>
      <c r="Z2649">
        <v>3982.6112616279624</v>
      </c>
      <c r="AA2649">
        <v>61842.000019626168</v>
      </c>
      <c r="AB2649" t="s">
        <v>242</v>
      </c>
      <c r="AC2649">
        <v>1</v>
      </c>
      <c r="AD2649">
        <v>1500</v>
      </c>
      <c r="AE2649">
        <v>0</v>
      </c>
      <c r="AF2649">
        <v>0</v>
      </c>
      <c r="AG2649">
        <v>96.491543394310611</v>
      </c>
      <c r="AH2649" t="s">
        <v>72</v>
      </c>
      <c r="AK2649" t="s">
        <v>798</v>
      </c>
      <c r="AL2649">
        <v>52200970</v>
      </c>
      <c r="AM2649">
        <v>26133770</v>
      </c>
      <c r="AN2649" t="s">
        <v>145</v>
      </c>
      <c r="AO2649" t="s">
        <v>438</v>
      </c>
      <c r="AP2649" t="s">
        <v>431</v>
      </c>
      <c r="AQ2649" t="s">
        <v>82</v>
      </c>
      <c r="AR2649" t="s">
        <v>83</v>
      </c>
      <c r="AT2649" t="s">
        <v>52</v>
      </c>
      <c r="AU2649">
        <v>1000</v>
      </c>
      <c r="AW2649">
        <v>45412</v>
      </c>
      <c r="AX2649" t="s">
        <v>1013</v>
      </c>
      <c r="AY2649">
        <v>0</v>
      </c>
      <c r="AZ2649">
        <v>0</v>
      </c>
      <c r="BA2649">
        <v>0</v>
      </c>
      <c r="BB2649">
        <v>636.21455293169163</v>
      </c>
      <c r="BC2649">
        <v>5173.887526222019</v>
      </c>
      <c r="BD2649">
        <v>0</v>
      </c>
      <c r="BE2649">
        <v>0</v>
      </c>
      <c r="BF2649">
        <v>38829.650696647303</v>
      </c>
      <c r="BG2649">
        <v>0</v>
      </c>
      <c r="BH2649">
        <v>0</v>
      </c>
      <c r="BI2649">
        <v>44639.752775801011</v>
      </c>
      <c r="BJ2649">
        <v>3080.2476756008527</v>
      </c>
      <c r="BK2649">
        <v>47720.000451401866</v>
      </c>
      <c r="BL2649" t="s">
        <v>242</v>
      </c>
      <c r="BM2649">
        <v>6</v>
      </c>
      <c r="BN2649">
        <v>10835</v>
      </c>
      <c r="BO2649">
        <v>0</v>
      </c>
      <c r="BP2649">
        <v>0</v>
      </c>
      <c r="BQ2649">
        <v>698.64020439740045</v>
      </c>
      <c r="BR2649" t="s">
        <v>58</v>
      </c>
    </row>
    <row r="2650" spans="1:70" x14ac:dyDescent="0.3">
      <c r="A2650" t="s">
        <v>798</v>
      </c>
      <c r="B2650">
        <v>52200644</v>
      </c>
      <c r="C2650">
        <v>25645406</v>
      </c>
      <c r="D2650" t="s">
        <v>662</v>
      </c>
      <c r="E2650" t="s">
        <v>438</v>
      </c>
      <c r="F2650" t="s">
        <v>431</v>
      </c>
      <c r="G2650" t="s">
        <v>230</v>
      </c>
      <c r="H2650" t="s">
        <v>231</v>
      </c>
      <c r="J2650" t="s">
        <v>52</v>
      </c>
      <c r="K2650" s="15">
        <v>1000</v>
      </c>
      <c r="M2650">
        <v>45412</v>
      </c>
      <c r="N2650" t="s">
        <v>1013</v>
      </c>
      <c r="O2650">
        <v>2886.4614816796779</v>
      </c>
      <c r="P2650">
        <v>0</v>
      </c>
      <c r="Q2650">
        <v>0</v>
      </c>
      <c r="R2650">
        <v>0</v>
      </c>
      <c r="S2650">
        <v>0</v>
      </c>
      <c r="T2650">
        <v>33190.222914318059</v>
      </c>
      <c r="U2650">
        <v>0</v>
      </c>
      <c r="V2650">
        <v>0</v>
      </c>
      <c r="W2650">
        <v>78504.672897196258</v>
      </c>
      <c r="X2650">
        <v>0</v>
      </c>
      <c r="Y2650">
        <v>114581.35729319399</v>
      </c>
      <c r="Z2650">
        <v>7818.6427068060029</v>
      </c>
      <c r="AA2650">
        <v>122399.99999999999</v>
      </c>
      <c r="AB2650" t="s">
        <v>242</v>
      </c>
      <c r="AC2650">
        <v>5</v>
      </c>
      <c r="AD2650">
        <v>7000</v>
      </c>
      <c r="AE2650">
        <v>0</v>
      </c>
      <c r="AF2650">
        <v>0</v>
      </c>
      <c r="AG2650">
        <v>449.33949975099176</v>
      </c>
      <c r="AH2650" t="s">
        <v>58</v>
      </c>
      <c r="AK2650" t="s">
        <v>798</v>
      </c>
      <c r="AL2650">
        <v>52201065</v>
      </c>
      <c r="AM2650">
        <v>26216751</v>
      </c>
      <c r="AN2650" t="s">
        <v>148</v>
      </c>
      <c r="AO2650" t="s">
        <v>438</v>
      </c>
      <c r="AP2650" t="s">
        <v>431</v>
      </c>
      <c r="AQ2650" t="s">
        <v>82</v>
      </c>
      <c r="AR2650" t="s">
        <v>83</v>
      </c>
      <c r="AT2650" t="s">
        <v>52</v>
      </c>
      <c r="AU2650">
        <v>3500</v>
      </c>
      <c r="AW2650">
        <v>45412</v>
      </c>
      <c r="AX2650" t="s">
        <v>1013</v>
      </c>
      <c r="AY2650">
        <v>0</v>
      </c>
      <c r="AZ2650">
        <v>0</v>
      </c>
      <c r="BA2650">
        <v>0</v>
      </c>
      <c r="BB2650">
        <v>779.31588718605917</v>
      </c>
      <c r="BC2650">
        <v>8743.7739832298121</v>
      </c>
      <c r="BD2650">
        <v>0</v>
      </c>
      <c r="BE2650">
        <v>0</v>
      </c>
      <c r="BF2650">
        <v>43621.351324133189</v>
      </c>
      <c r="BG2650">
        <v>0</v>
      </c>
      <c r="BH2650">
        <v>0</v>
      </c>
      <c r="BI2650">
        <v>53144.441194549057</v>
      </c>
      <c r="BJ2650">
        <v>3665.5587715154102</v>
      </c>
      <c r="BK2650">
        <v>56809.999966064468</v>
      </c>
      <c r="BL2650" t="s">
        <v>242</v>
      </c>
      <c r="BM2650">
        <v>5</v>
      </c>
      <c r="BN2650">
        <v>17500</v>
      </c>
      <c r="BO2650">
        <v>0</v>
      </c>
      <c r="BP2650">
        <v>0</v>
      </c>
      <c r="BQ2650">
        <v>1127.8711328065642</v>
      </c>
      <c r="BR2650" t="s">
        <v>58</v>
      </c>
    </row>
    <row r="2651" spans="1:70" x14ac:dyDescent="0.3">
      <c r="A2651" t="s">
        <v>798</v>
      </c>
      <c r="B2651">
        <v>52200733</v>
      </c>
      <c r="C2651">
        <v>29713647</v>
      </c>
      <c r="D2651" t="s">
        <v>140</v>
      </c>
      <c r="E2651" t="s">
        <v>438</v>
      </c>
      <c r="F2651" t="s">
        <v>431</v>
      </c>
      <c r="G2651" t="s">
        <v>82</v>
      </c>
      <c r="H2651" t="s">
        <v>83</v>
      </c>
      <c r="J2651" t="s">
        <v>52</v>
      </c>
      <c r="K2651" s="15">
        <v>2500</v>
      </c>
      <c r="M2651">
        <v>45412</v>
      </c>
      <c r="N2651" t="s">
        <v>1013</v>
      </c>
      <c r="O2651">
        <v>0</v>
      </c>
      <c r="P2651">
        <v>0</v>
      </c>
      <c r="Q2651">
        <v>0</v>
      </c>
      <c r="R2651">
        <v>667.78748387376163</v>
      </c>
      <c r="S2651">
        <v>0</v>
      </c>
      <c r="T2651">
        <v>0</v>
      </c>
      <c r="U2651">
        <v>0</v>
      </c>
      <c r="V2651">
        <v>49874.030388903026</v>
      </c>
      <c r="W2651">
        <v>0</v>
      </c>
      <c r="X2651">
        <v>0</v>
      </c>
      <c r="Y2651">
        <v>50541.817872776788</v>
      </c>
      <c r="Z2651">
        <v>3491.1821272232123</v>
      </c>
      <c r="AA2651">
        <v>54033</v>
      </c>
      <c r="AB2651" t="s">
        <v>242</v>
      </c>
      <c r="AC2651">
        <v>11</v>
      </c>
      <c r="AD2651">
        <v>34837</v>
      </c>
      <c r="AE2651">
        <v>0</v>
      </c>
      <c r="AF2651">
        <v>0</v>
      </c>
      <c r="AG2651">
        <v>2248.2945082908063</v>
      </c>
      <c r="AH2651" t="s">
        <v>58</v>
      </c>
      <c r="AK2651" t="s">
        <v>798</v>
      </c>
      <c r="AL2651">
        <v>52201277</v>
      </c>
      <c r="AM2651">
        <v>26285645</v>
      </c>
      <c r="AN2651" t="s">
        <v>153</v>
      </c>
      <c r="AO2651" t="s">
        <v>438</v>
      </c>
      <c r="AP2651" t="s">
        <v>431</v>
      </c>
      <c r="AQ2651" t="s">
        <v>82</v>
      </c>
      <c r="AR2651" t="s">
        <v>83</v>
      </c>
      <c r="AT2651" t="s">
        <v>52</v>
      </c>
      <c r="AU2651">
        <v>1500</v>
      </c>
      <c r="AW2651">
        <v>45412</v>
      </c>
      <c r="AX2651" t="s">
        <v>1013</v>
      </c>
      <c r="AY2651">
        <v>0</v>
      </c>
      <c r="AZ2651">
        <v>0</v>
      </c>
      <c r="BA2651">
        <v>0</v>
      </c>
      <c r="BB2651">
        <v>733.57932656499224</v>
      </c>
      <c r="BC2651">
        <v>25128.630941520933</v>
      </c>
      <c r="BD2651">
        <v>0</v>
      </c>
      <c r="BE2651">
        <v>0</v>
      </c>
      <c r="BF2651">
        <v>56278.303900452571</v>
      </c>
      <c r="BG2651">
        <v>0</v>
      </c>
      <c r="BH2651">
        <v>0</v>
      </c>
      <c r="BI2651">
        <v>82140.514168538502</v>
      </c>
      <c r="BJ2651">
        <v>5698.4854389381462</v>
      </c>
      <c r="BK2651">
        <v>87838.999607476653</v>
      </c>
      <c r="BL2651" t="s">
        <v>242</v>
      </c>
      <c r="BM2651">
        <v>10</v>
      </c>
      <c r="BN2651">
        <v>17500</v>
      </c>
      <c r="BO2651">
        <v>0</v>
      </c>
      <c r="BP2651">
        <v>0</v>
      </c>
      <c r="BQ2651">
        <v>1134.5612643547192</v>
      </c>
      <c r="BR2651" t="s">
        <v>58</v>
      </c>
    </row>
    <row r="2652" spans="1:70" x14ac:dyDescent="0.3">
      <c r="A2652" t="s">
        <v>798</v>
      </c>
      <c r="B2652">
        <v>52200970</v>
      </c>
      <c r="C2652">
        <v>26133770</v>
      </c>
      <c r="D2652" t="s">
        <v>145</v>
      </c>
      <c r="E2652" t="s">
        <v>438</v>
      </c>
      <c r="F2652" t="s">
        <v>431</v>
      </c>
      <c r="G2652" t="s">
        <v>82</v>
      </c>
      <c r="H2652" t="s">
        <v>83</v>
      </c>
      <c r="J2652" t="s">
        <v>52</v>
      </c>
      <c r="K2652" s="15">
        <v>1000</v>
      </c>
      <c r="M2652">
        <v>45412</v>
      </c>
      <c r="N2652" t="s">
        <v>1013</v>
      </c>
      <c r="O2652">
        <v>0</v>
      </c>
      <c r="P2652">
        <v>0</v>
      </c>
      <c r="Q2652">
        <v>0</v>
      </c>
      <c r="R2652">
        <v>636.21455293169163</v>
      </c>
      <c r="S2652">
        <v>5173.887526222019</v>
      </c>
      <c r="T2652">
        <v>0</v>
      </c>
      <c r="U2652">
        <v>0</v>
      </c>
      <c r="V2652">
        <v>38829.650696647303</v>
      </c>
      <c r="W2652">
        <v>0</v>
      </c>
      <c r="X2652">
        <v>0</v>
      </c>
      <c r="Y2652">
        <v>44639.752775801011</v>
      </c>
      <c r="Z2652">
        <v>3080.2476756008527</v>
      </c>
      <c r="AA2652">
        <v>47720.000451401866</v>
      </c>
      <c r="AB2652" t="s">
        <v>242</v>
      </c>
      <c r="AC2652">
        <v>6</v>
      </c>
      <c r="AD2652">
        <v>10835</v>
      </c>
      <c r="AE2652">
        <v>0</v>
      </c>
      <c r="AF2652">
        <v>0</v>
      </c>
      <c r="AG2652">
        <v>698.64020439740045</v>
      </c>
      <c r="AH2652" t="s">
        <v>58</v>
      </c>
      <c r="AK2652" t="s">
        <v>798</v>
      </c>
      <c r="AL2652">
        <v>52201384</v>
      </c>
      <c r="AM2652">
        <v>25169091</v>
      </c>
      <c r="AN2652" t="s">
        <v>157</v>
      </c>
      <c r="AO2652" t="s">
        <v>438</v>
      </c>
      <c r="AP2652" t="s">
        <v>431</v>
      </c>
      <c r="AQ2652" t="s">
        <v>82</v>
      </c>
      <c r="AR2652" t="s">
        <v>83</v>
      </c>
      <c r="AT2652" t="s">
        <v>52</v>
      </c>
      <c r="AU2652">
        <v>1000</v>
      </c>
      <c r="AW2652">
        <v>45412</v>
      </c>
      <c r="AX2652" t="s">
        <v>1013</v>
      </c>
      <c r="AY2652">
        <v>0</v>
      </c>
      <c r="AZ2652">
        <v>0</v>
      </c>
      <c r="BA2652">
        <v>0</v>
      </c>
      <c r="BB2652">
        <v>907.33795942096583</v>
      </c>
      <c r="BC2652">
        <v>7564.2147142820822</v>
      </c>
      <c r="BD2652">
        <v>0</v>
      </c>
      <c r="BE2652">
        <v>0</v>
      </c>
      <c r="BF2652">
        <v>44175.65693863044</v>
      </c>
      <c r="BG2652">
        <v>0</v>
      </c>
      <c r="BH2652">
        <v>0</v>
      </c>
      <c r="BI2652">
        <v>52647.209612333492</v>
      </c>
      <c r="BJ2652">
        <v>3621.7910157038768</v>
      </c>
      <c r="BK2652">
        <v>56269.000628037371</v>
      </c>
      <c r="BL2652" t="s">
        <v>242</v>
      </c>
      <c r="BM2652">
        <v>4</v>
      </c>
      <c r="BN2652">
        <v>4779</v>
      </c>
      <c r="BO2652">
        <v>0</v>
      </c>
      <c r="BP2652">
        <v>0</v>
      </c>
      <c r="BQ2652">
        <v>307.23706276585756</v>
      </c>
      <c r="BR2652" t="s">
        <v>58</v>
      </c>
    </row>
    <row r="2653" spans="1:70" x14ac:dyDescent="0.3">
      <c r="A2653" t="s">
        <v>798</v>
      </c>
      <c r="B2653">
        <v>52201065</v>
      </c>
      <c r="C2653">
        <v>26216751</v>
      </c>
      <c r="D2653" t="s">
        <v>148</v>
      </c>
      <c r="E2653" t="s">
        <v>438</v>
      </c>
      <c r="F2653" t="s">
        <v>431</v>
      </c>
      <c r="G2653" t="s">
        <v>82</v>
      </c>
      <c r="H2653" t="s">
        <v>83</v>
      </c>
      <c r="J2653" t="s">
        <v>52</v>
      </c>
      <c r="K2653" s="15">
        <v>3500</v>
      </c>
      <c r="M2653">
        <v>45412</v>
      </c>
      <c r="N2653" t="s">
        <v>1013</v>
      </c>
      <c r="O2653">
        <v>0</v>
      </c>
      <c r="P2653">
        <v>0</v>
      </c>
      <c r="Q2653">
        <v>0</v>
      </c>
      <c r="R2653">
        <v>779.31588718605917</v>
      </c>
      <c r="S2653">
        <v>8743.7739832298121</v>
      </c>
      <c r="T2653">
        <v>0</v>
      </c>
      <c r="U2653">
        <v>0</v>
      </c>
      <c r="V2653">
        <v>43621.351324133189</v>
      </c>
      <c r="W2653">
        <v>0</v>
      </c>
      <c r="X2653">
        <v>0</v>
      </c>
      <c r="Y2653">
        <v>53144.441194549057</v>
      </c>
      <c r="Z2653">
        <v>3665.5587715154102</v>
      </c>
      <c r="AA2653">
        <v>56809.999966064468</v>
      </c>
      <c r="AB2653" t="s">
        <v>242</v>
      </c>
      <c r="AC2653">
        <v>5</v>
      </c>
      <c r="AD2653">
        <v>17500</v>
      </c>
      <c r="AE2653">
        <v>0</v>
      </c>
      <c r="AF2653">
        <v>0</v>
      </c>
      <c r="AG2653">
        <v>1127.8711328065642</v>
      </c>
      <c r="AH2653" t="s">
        <v>58</v>
      </c>
      <c r="AK2653" t="s">
        <v>798</v>
      </c>
      <c r="AL2653">
        <v>52201589</v>
      </c>
      <c r="AM2653">
        <v>25928923</v>
      </c>
      <c r="AN2653" t="s">
        <v>162</v>
      </c>
      <c r="AO2653" t="s">
        <v>438</v>
      </c>
      <c r="AP2653" t="s">
        <v>431</v>
      </c>
      <c r="AQ2653" t="s">
        <v>82</v>
      </c>
      <c r="AR2653" t="s">
        <v>83</v>
      </c>
      <c r="AT2653" t="s">
        <v>52</v>
      </c>
      <c r="AU2653">
        <v>1000</v>
      </c>
      <c r="AW2653">
        <v>45412</v>
      </c>
      <c r="AX2653" t="s">
        <v>1013</v>
      </c>
      <c r="AY2653">
        <v>0</v>
      </c>
      <c r="AZ2653">
        <v>0</v>
      </c>
      <c r="BA2653">
        <v>0</v>
      </c>
      <c r="BB2653">
        <v>958.08895618590145</v>
      </c>
      <c r="BC2653">
        <v>9722.581255901021</v>
      </c>
      <c r="BD2653">
        <v>0</v>
      </c>
      <c r="BE2653">
        <v>0</v>
      </c>
      <c r="BF2653">
        <v>54655.854112149529</v>
      </c>
      <c r="BG2653">
        <v>0</v>
      </c>
      <c r="BH2653">
        <v>0</v>
      </c>
      <c r="BI2653">
        <v>65336.524324236452</v>
      </c>
      <c r="BJ2653">
        <v>4506.4904757635395</v>
      </c>
      <c r="BK2653">
        <v>69843.01479999999</v>
      </c>
      <c r="BL2653" t="s">
        <v>242</v>
      </c>
      <c r="BM2653">
        <v>5</v>
      </c>
      <c r="BN2653">
        <v>5500</v>
      </c>
      <c r="BO2653">
        <v>0</v>
      </c>
      <c r="BP2653">
        <v>0</v>
      </c>
      <c r="BQ2653">
        <v>354.51983825515254</v>
      </c>
      <c r="BR2653" t="s">
        <v>58</v>
      </c>
    </row>
    <row r="2654" spans="1:70" x14ac:dyDescent="0.3">
      <c r="A2654" t="s">
        <v>798</v>
      </c>
      <c r="B2654">
        <v>52201277</v>
      </c>
      <c r="C2654">
        <v>26285645</v>
      </c>
      <c r="D2654" t="s">
        <v>153</v>
      </c>
      <c r="E2654" t="s">
        <v>438</v>
      </c>
      <c r="F2654" t="s">
        <v>431</v>
      </c>
      <c r="G2654" t="s">
        <v>82</v>
      </c>
      <c r="H2654" t="s">
        <v>83</v>
      </c>
      <c r="J2654" t="s">
        <v>52</v>
      </c>
      <c r="K2654" s="15">
        <v>1500</v>
      </c>
      <c r="M2654">
        <v>45412</v>
      </c>
      <c r="N2654" t="s">
        <v>1013</v>
      </c>
      <c r="O2654">
        <v>0</v>
      </c>
      <c r="P2654">
        <v>0</v>
      </c>
      <c r="Q2654">
        <v>0</v>
      </c>
      <c r="R2654">
        <v>733.57932656499224</v>
      </c>
      <c r="S2654">
        <v>25128.630941520933</v>
      </c>
      <c r="T2654">
        <v>0</v>
      </c>
      <c r="U2654">
        <v>0</v>
      </c>
      <c r="V2654">
        <v>56278.303900452571</v>
      </c>
      <c r="W2654">
        <v>0</v>
      </c>
      <c r="X2654">
        <v>0</v>
      </c>
      <c r="Y2654">
        <v>82140.514168538502</v>
      </c>
      <c r="Z2654">
        <v>5698.4854389381462</v>
      </c>
      <c r="AA2654">
        <v>87838.999607476653</v>
      </c>
      <c r="AB2654" t="s">
        <v>242</v>
      </c>
      <c r="AC2654">
        <v>10</v>
      </c>
      <c r="AD2654">
        <v>17500</v>
      </c>
      <c r="AE2654">
        <v>0</v>
      </c>
      <c r="AF2654">
        <v>0</v>
      </c>
      <c r="AG2654">
        <v>1134.5612643547192</v>
      </c>
      <c r="AH2654" t="s">
        <v>58</v>
      </c>
      <c r="AK2654" t="s">
        <v>798</v>
      </c>
      <c r="AL2654">
        <v>52201809</v>
      </c>
      <c r="AM2654">
        <v>28380987</v>
      </c>
      <c r="AN2654" t="s">
        <v>164</v>
      </c>
      <c r="AO2654" t="s">
        <v>438</v>
      </c>
      <c r="AP2654" t="s">
        <v>431</v>
      </c>
      <c r="AQ2654" t="s">
        <v>82</v>
      </c>
      <c r="AR2654" t="s">
        <v>83</v>
      </c>
      <c r="AT2654" t="s">
        <v>52</v>
      </c>
      <c r="AU2654">
        <v>500</v>
      </c>
      <c r="AW2654">
        <v>45412</v>
      </c>
      <c r="AX2654" t="s">
        <v>1013</v>
      </c>
      <c r="AY2654">
        <v>0</v>
      </c>
      <c r="AZ2654">
        <v>0</v>
      </c>
      <c r="BA2654">
        <v>0</v>
      </c>
      <c r="BB2654">
        <v>908.51395080073905</v>
      </c>
      <c r="BC2654">
        <v>26280.5169592612</v>
      </c>
      <c r="BD2654">
        <v>0</v>
      </c>
      <c r="BE2654">
        <v>0</v>
      </c>
      <c r="BF2654">
        <v>51867.600635850336</v>
      </c>
      <c r="BG2654">
        <v>0</v>
      </c>
      <c r="BH2654">
        <v>0</v>
      </c>
      <c r="BI2654">
        <v>79056.631545912271</v>
      </c>
      <c r="BJ2654">
        <v>5470.3682316578088</v>
      </c>
      <c r="BK2654">
        <v>84526.999777570076</v>
      </c>
      <c r="BL2654" t="s">
        <v>242</v>
      </c>
      <c r="BM2654">
        <v>17</v>
      </c>
      <c r="BN2654">
        <v>11300</v>
      </c>
      <c r="BO2654">
        <v>0</v>
      </c>
      <c r="BP2654">
        <v>0</v>
      </c>
      <c r="BQ2654">
        <v>730.71586594023529</v>
      </c>
      <c r="BR2654" t="s">
        <v>58</v>
      </c>
    </row>
    <row r="2655" spans="1:70" x14ac:dyDescent="0.3">
      <c r="A2655" t="s">
        <v>798</v>
      </c>
      <c r="B2655">
        <v>52201384</v>
      </c>
      <c r="C2655">
        <v>25169091</v>
      </c>
      <c r="D2655" t="s">
        <v>157</v>
      </c>
      <c r="E2655" t="s">
        <v>438</v>
      </c>
      <c r="F2655" t="s">
        <v>431</v>
      </c>
      <c r="G2655" t="s">
        <v>82</v>
      </c>
      <c r="H2655" t="s">
        <v>83</v>
      </c>
      <c r="J2655" t="s">
        <v>52</v>
      </c>
      <c r="K2655" s="15">
        <v>1000</v>
      </c>
      <c r="M2655">
        <v>45412</v>
      </c>
      <c r="N2655" t="s">
        <v>1013</v>
      </c>
      <c r="O2655">
        <v>0</v>
      </c>
      <c r="P2655">
        <v>0</v>
      </c>
      <c r="Q2655">
        <v>0</v>
      </c>
      <c r="R2655">
        <v>907.33795942096583</v>
      </c>
      <c r="S2655">
        <v>7564.2147142820822</v>
      </c>
      <c r="T2655">
        <v>0</v>
      </c>
      <c r="U2655">
        <v>0</v>
      </c>
      <c r="V2655">
        <v>44175.65693863044</v>
      </c>
      <c r="W2655">
        <v>0</v>
      </c>
      <c r="X2655">
        <v>0</v>
      </c>
      <c r="Y2655">
        <v>52647.209612333492</v>
      </c>
      <c r="Z2655">
        <v>3621.7910157038768</v>
      </c>
      <c r="AA2655">
        <v>56269.000628037371</v>
      </c>
      <c r="AB2655" t="s">
        <v>242</v>
      </c>
      <c r="AC2655">
        <v>4</v>
      </c>
      <c r="AD2655">
        <v>4779</v>
      </c>
      <c r="AE2655">
        <v>0</v>
      </c>
      <c r="AF2655">
        <v>0</v>
      </c>
      <c r="AG2655">
        <v>307.23706276585756</v>
      </c>
      <c r="AH2655" t="s">
        <v>58</v>
      </c>
      <c r="AK2655" t="s">
        <v>798</v>
      </c>
      <c r="AL2655">
        <v>52201828</v>
      </c>
      <c r="AM2655">
        <v>25536725</v>
      </c>
      <c r="AN2655" t="s">
        <v>166</v>
      </c>
      <c r="AO2655" t="s">
        <v>438</v>
      </c>
      <c r="AP2655" t="s">
        <v>431</v>
      </c>
      <c r="AQ2655" t="s">
        <v>82</v>
      </c>
      <c r="AR2655" t="s">
        <v>83</v>
      </c>
      <c r="AT2655" t="s">
        <v>52</v>
      </c>
      <c r="AU2655">
        <v>1750</v>
      </c>
      <c r="AW2655">
        <v>45412</v>
      </c>
      <c r="AX2655" t="s">
        <v>1013</v>
      </c>
      <c r="AY2655">
        <v>0</v>
      </c>
      <c r="AZ2655">
        <v>0</v>
      </c>
      <c r="BA2655">
        <v>0</v>
      </c>
      <c r="BB2655">
        <v>717.69999153602157</v>
      </c>
      <c r="BC2655">
        <v>6790.8058031344863</v>
      </c>
      <c r="BD2655">
        <v>0</v>
      </c>
      <c r="BE2655">
        <v>0</v>
      </c>
      <c r="BF2655">
        <v>46273.024665951423</v>
      </c>
      <c r="BG2655">
        <v>0</v>
      </c>
      <c r="BH2655">
        <v>0</v>
      </c>
      <c r="BI2655">
        <v>53781.530460621929</v>
      </c>
      <c r="BJ2655">
        <v>3714.4681328360139</v>
      </c>
      <c r="BK2655">
        <v>57495.998593457945</v>
      </c>
      <c r="BL2655" t="s">
        <v>242</v>
      </c>
      <c r="BM2655">
        <v>15</v>
      </c>
      <c r="BN2655">
        <v>23750</v>
      </c>
      <c r="BO2655">
        <v>0</v>
      </c>
      <c r="BP2655">
        <v>0</v>
      </c>
      <c r="BQ2655">
        <v>1532.7186910350665</v>
      </c>
      <c r="BR2655" t="s">
        <v>58</v>
      </c>
    </row>
    <row r="2656" spans="1:70" x14ac:dyDescent="0.3">
      <c r="A2656" t="s">
        <v>798</v>
      </c>
      <c r="B2656">
        <v>52201589</v>
      </c>
      <c r="C2656">
        <v>25928923</v>
      </c>
      <c r="D2656" t="s">
        <v>162</v>
      </c>
      <c r="E2656" t="s">
        <v>438</v>
      </c>
      <c r="F2656" t="s">
        <v>431</v>
      </c>
      <c r="G2656" t="s">
        <v>82</v>
      </c>
      <c r="H2656" t="s">
        <v>83</v>
      </c>
      <c r="J2656" t="s">
        <v>52</v>
      </c>
      <c r="K2656" s="15">
        <v>1000</v>
      </c>
      <c r="M2656">
        <v>45412</v>
      </c>
      <c r="N2656" t="s">
        <v>1013</v>
      </c>
      <c r="O2656">
        <v>0</v>
      </c>
      <c r="P2656">
        <v>0</v>
      </c>
      <c r="Q2656">
        <v>0</v>
      </c>
      <c r="R2656">
        <v>958.08895618590145</v>
      </c>
      <c r="S2656">
        <v>9722.581255901021</v>
      </c>
      <c r="T2656">
        <v>0</v>
      </c>
      <c r="U2656">
        <v>0</v>
      </c>
      <c r="V2656">
        <v>54655.854112149529</v>
      </c>
      <c r="W2656">
        <v>0</v>
      </c>
      <c r="X2656">
        <v>0</v>
      </c>
      <c r="Y2656">
        <v>65336.524324236452</v>
      </c>
      <c r="Z2656">
        <v>4506.4904757635395</v>
      </c>
      <c r="AA2656">
        <v>69843.01479999999</v>
      </c>
      <c r="AB2656" t="s">
        <v>242</v>
      </c>
      <c r="AC2656">
        <v>5</v>
      </c>
      <c r="AD2656">
        <v>5500</v>
      </c>
      <c r="AE2656">
        <v>0</v>
      </c>
      <c r="AF2656">
        <v>0</v>
      </c>
      <c r="AG2656">
        <v>354.51983825515254</v>
      </c>
      <c r="AH2656" t="s">
        <v>58</v>
      </c>
      <c r="AK2656" t="s">
        <v>798</v>
      </c>
      <c r="AL2656">
        <v>4132300824</v>
      </c>
      <c r="AM2656">
        <v>9070041828</v>
      </c>
      <c r="AN2656" t="s">
        <v>177</v>
      </c>
      <c r="AO2656" t="s">
        <v>441</v>
      </c>
      <c r="AP2656" t="s">
        <v>430</v>
      </c>
      <c r="AQ2656" t="s">
        <v>233</v>
      </c>
      <c r="AR2656" t="s">
        <v>231</v>
      </c>
      <c r="AT2656" t="s">
        <v>52</v>
      </c>
      <c r="AU2656">
        <v>500</v>
      </c>
      <c r="AW2656">
        <v>45412</v>
      </c>
      <c r="AX2656" t="s">
        <v>1013</v>
      </c>
      <c r="AY2656">
        <v>0</v>
      </c>
      <c r="AZ2656">
        <v>1638.4159045127046</v>
      </c>
      <c r="BA2656">
        <v>0</v>
      </c>
      <c r="BB2656">
        <v>0</v>
      </c>
      <c r="BC2656">
        <v>10431.390410958904</v>
      </c>
      <c r="BD2656">
        <v>15010.826257464762</v>
      </c>
      <c r="BE2656">
        <v>0</v>
      </c>
      <c r="BF2656">
        <v>0</v>
      </c>
      <c r="BG2656">
        <v>0</v>
      </c>
      <c r="BH2656">
        <v>0</v>
      </c>
      <c r="BI2656">
        <v>27080.632572936371</v>
      </c>
      <c r="BJ2656">
        <v>1050.7578380225334</v>
      </c>
      <c r="BK2656">
        <v>28131.390410958906</v>
      </c>
      <c r="BL2656" t="s">
        <v>242</v>
      </c>
      <c r="BM2656">
        <v>6</v>
      </c>
      <c r="BN2656">
        <v>5500</v>
      </c>
      <c r="BO2656">
        <v>0</v>
      </c>
      <c r="BP2656">
        <v>0</v>
      </c>
      <c r="BQ2656">
        <v>198.77487225784051</v>
      </c>
      <c r="BR2656" t="s">
        <v>58</v>
      </c>
    </row>
    <row r="2657" spans="1:70" x14ac:dyDescent="0.3">
      <c r="A2657" t="s">
        <v>798</v>
      </c>
      <c r="B2657">
        <v>52201809</v>
      </c>
      <c r="C2657">
        <v>28380987</v>
      </c>
      <c r="D2657" t="s">
        <v>164</v>
      </c>
      <c r="E2657" t="s">
        <v>438</v>
      </c>
      <c r="F2657" t="s">
        <v>431</v>
      </c>
      <c r="G2657" t="s">
        <v>82</v>
      </c>
      <c r="H2657" t="s">
        <v>83</v>
      </c>
      <c r="J2657" t="s">
        <v>52</v>
      </c>
      <c r="K2657" s="15">
        <v>500</v>
      </c>
      <c r="M2657">
        <v>45412</v>
      </c>
      <c r="N2657" t="s">
        <v>1013</v>
      </c>
      <c r="O2657">
        <v>0</v>
      </c>
      <c r="P2657">
        <v>0</v>
      </c>
      <c r="Q2657">
        <v>0</v>
      </c>
      <c r="R2657">
        <v>908.51395080073905</v>
      </c>
      <c r="S2657">
        <v>26280.5169592612</v>
      </c>
      <c r="T2657">
        <v>0</v>
      </c>
      <c r="U2657">
        <v>0</v>
      </c>
      <c r="V2657">
        <v>51867.600635850336</v>
      </c>
      <c r="W2657">
        <v>0</v>
      </c>
      <c r="X2657">
        <v>0</v>
      </c>
      <c r="Y2657">
        <v>79056.631545912271</v>
      </c>
      <c r="Z2657">
        <v>5470.3682316578088</v>
      </c>
      <c r="AA2657">
        <v>84526.999777570076</v>
      </c>
      <c r="AB2657" t="s">
        <v>242</v>
      </c>
      <c r="AC2657">
        <v>17</v>
      </c>
      <c r="AD2657">
        <v>11300</v>
      </c>
      <c r="AE2657">
        <v>0</v>
      </c>
      <c r="AF2657">
        <v>0</v>
      </c>
      <c r="AG2657">
        <v>730.71586594023529</v>
      </c>
      <c r="AH2657" t="s">
        <v>58</v>
      </c>
      <c r="AK2657" t="s">
        <v>798</v>
      </c>
      <c r="AL2657">
        <v>4142300254</v>
      </c>
      <c r="AM2657">
        <v>10153969</v>
      </c>
      <c r="AN2657" t="s">
        <v>195</v>
      </c>
      <c r="AO2657" t="s">
        <v>445</v>
      </c>
      <c r="AP2657" t="s">
        <v>430</v>
      </c>
      <c r="AQ2657" t="s">
        <v>237</v>
      </c>
      <c r="AR2657" t="s">
        <v>234</v>
      </c>
      <c r="AT2657" t="s">
        <v>52</v>
      </c>
      <c r="AU2657">
        <v>5000</v>
      </c>
      <c r="AW2657">
        <v>45412</v>
      </c>
      <c r="AX2657" t="s">
        <v>1013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43560.95327102804</v>
      </c>
      <c r="BI2657">
        <v>43560.95327102804</v>
      </c>
      <c r="BJ2657">
        <v>3049.2667289719629</v>
      </c>
      <c r="BK2657">
        <v>46610.22</v>
      </c>
      <c r="BL2657" t="s">
        <v>242</v>
      </c>
      <c r="BM2657">
        <v>9</v>
      </c>
      <c r="BN2657">
        <v>45000</v>
      </c>
      <c r="BO2657">
        <v>0</v>
      </c>
      <c r="BP2657">
        <v>0</v>
      </c>
      <c r="BQ2657">
        <v>2943.9252336448581</v>
      </c>
      <c r="BR2657" t="s">
        <v>58</v>
      </c>
    </row>
    <row r="2658" spans="1:70" x14ac:dyDescent="0.3">
      <c r="A2658" t="s">
        <v>798</v>
      </c>
      <c r="B2658">
        <v>52201828</v>
      </c>
      <c r="C2658">
        <v>25536725</v>
      </c>
      <c r="D2658" t="s">
        <v>166</v>
      </c>
      <c r="E2658" t="s">
        <v>438</v>
      </c>
      <c r="F2658" t="s">
        <v>431</v>
      </c>
      <c r="G2658" t="s">
        <v>82</v>
      </c>
      <c r="H2658" t="s">
        <v>83</v>
      </c>
      <c r="J2658" t="s">
        <v>52</v>
      </c>
      <c r="K2658" s="15">
        <v>1750</v>
      </c>
      <c r="M2658">
        <v>45412</v>
      </c>
      <c r="N2658" t="s">
        <v>1013</v>
      </c>
      <c r="O2658">
        <v>0</v>
      </c>
      <c r="P2658">
        <v>0</v>
      </c>
      <c r="Q2658">
        <v>0</v>
      </c>
      <c r="R2658">
        <v>717.69999153602157</v>
      </c>
      <c r="S2658">
        <v>6790.8058031344863</v>
      </c>
      <c r="T2658">
        <v>0</v>
      </c>
      <c r="U2658">
        <v>0</v>
      </c>
      <c r="V2658">
        <v>46273.024665951423</v>
      </c>
      <c r="W2658">
        <v>0</v>
      </c>
      <c r="X2658">
        <v>0</v>
      </c>
      <c r="Y2658">
        <v>53781.530460621929</v>
      </c>
      <c r="Z2658">
        <v>3714.4681328360139</v>
      </c>
      <c r="AA2658">
        <v>57495.998593457945</v>
      </c>
      <c r="AB2658" t="s">
        <v>242</v>
      </c>
      <c r="AC2658">
        <v>15</v>
      </c>
      <c r="AD2658">
        <v>23750</v>
      </c>
      <c r="AE2658">
        <v>0</v>
      </c>
      <c r="AF2658">
        <v>0</v>
      </c>
      <c r="AG2658">
        <v>1532.7186910350665</v>
      </c>
      <c r="AH2658" t="s">
        <v>58</v>
      </c>
      <c r="AK2658" t="s">
        <v>798</v>
      </c>
      <c r="AL2658">
        <v>4142301175</v>
      </c>
      <c r="AM2658">
        <v>10038577</v>
      </c>
      <c r="AN2658" t="s">
        <v>746</v>
      </c>
      <c r="AO2658" t="s">
        <v>446</v>
      </c>
      <c r="AP2658" t="s">
        <v>430</v>
      </c>
      <c r="AQ2658" t="s">
        <v>237</v>
      </c>
      <c r="AR2658" t="s">
        <v>234</v>
      </c>
      <c r="AT2658" t="s">
        <v>52</v>
      </c>
      <c r="AU2658">
        <v>2000</v>
      </c>
      <c r="AW2658">
        <v>45412</v>
      </c>
      <c r="AX2658" t="s">
        <v>1013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24115.728971962617</v>
      </c>
      <c r="BI2658">
        <v>24115.728971962617</v>
      </c>
      <c r="BJ2658">
        <v>1688.1010280373835</v>
      </c>
      <c r="BK2658">
        <v>25803.83</v>
      </c>
      <c r="BL2658" t="s">
        <v>242</v>
      </c>
      <c r="BM2658">
        <v>3</v>
      </c>
      <c r="BN2658">
        <v>9000</v>
      </c>
      <c r="BO2658">
        <v>0</v>
      </c>
      <c r="BP2658">
        <v>0</v>
      </c>
      <c r="BQ2658">
        <v>588.78504672897179</v>
      </c>
      <c r="BR2658" t="s">
        <v>58</v>
      </c>
    </row>
    <row r="2659" spans="1:70" x14ac:dyDescent="0.3">
      <c r="A2659" t="s">
        <v>798</v>
      </c>
      <c r="B2659">
        <v>82200023</v>
      </c>
      <c r="C2659">
        <v>901016007000</v>
      </c>
      <c r="D2659" t="s">
        <v>966</v>
      </c>
      <c r="E2659" t="s">
        <v>440</v>
      </c>
      <c r="F2659" t="s">
        <v>433</v>
      </c>
      <c r="G2659" t="s">
        <v>235</v>
      </c>
      <c r="H2659" t="s">
        <v>236</v>
      </c>
      <c r="J2659" t="s">
        <v>52</v>
      </c>
      <c r="K2659" s="15">
        <v>19000</v>
      </c>
      <c r="M2659">
        <v>45412</v>
      </c>
      <c r="N2659" t="s">
        <v>1013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2105734.186915888</v>
      </c>
      <c r="W2659">
        <v>0</v>
      </c>
      <c r="X2659">
        <v>0</v>
      </c>
      <c r="Y2659">
        <v>2105734.186915888</v>
      </c>
      <c r="Z2659">
        <v>147401.39308411218</v>
      </c>
      <c r="AA2659">
        <v>2253135.58</v>
      </c>
      <c r="AB2659" t="s">
        <v>242</v>
      </c>
      <c r="AC2659">
        <v>7</v>
      </c>
      <c r="AD2659">
        <v>385000</v>
      </c>
      <c r="AE2659">
        <v>0</v>
      </c>
      <c r="AF2659">
        <v>0</v>
      </c>
      <c r="AG2659">
        <v>23949.4848867334</v>
      </c>
      <c r="AH2659" t="s">
        <v>58</v>
      </c>
      <c r="AK2659" t="s">
        <v>798</v>
      </c>
      <c r="AL2659">
        <v>42201414</v>
      </c>
      <c r="AM2659">
        <v>2759011778</v>
      </c>
      <c r="AN2659" t="s">
        <v>1003</v>
      </c>
      <c r="AO2659" t="s">
        <v>439</v>
      </c>
      <c r="AP2659" t="s">
        <v>430</v>
      </c>
      <c r="AQ2659" t="s">
        <v>230</v>
      </c>
      <c r="AR2659" t="s">
        <v>234</v>
      </c>
      <c r="AT2659" t="s">
        <v>52</v>
      </c>
      <c r="AU2659">
        <v>500</v>
      </c>
      <c r="AW2659">
        <v>45412</v>
      </c>
      <c r="AX2659" t="s">
        <v>1013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122302.20560747663</v>
      </c>
      <c r="BI2659">
        <v>122302.20560747663</v>
      </c>
      <c r="BJ2659">
        <v>8561.1543925233655</v>
      </c>
      <c r="BK2659">
        <v>130863.36</v>
      </c>
      <c r="BL2659" t="s">
        <v>242</v>
      </c>
      <c r="BM2659">
        <v>3</v>
      </c>
      <c r="BN2659">
        <v>3500</v>
      </c>
      <c r="BO2659">
        <v>0</v>
      </c>
      <c r="BP2659">
        <v>0</v>
      </c>
      <c r="BQ2659">
        <v>228.97196261682245</v>
      </c>
      <c r="BR2659" t="s">
        <v>58</v>
      </c>
    </row>
    <row r="2660" spans="1:70" x14ac:dyDescent="0.3">
      <c r="A2660" t="s">
        <v>798</v>
      </c>
      <c r="B2660">
        <v>82200023</v>
      </c>
      <c r="C2660">
        <v>901016007000</v>
      </c>
      <c r="D2660" t="s">
        <v>966</v>
      </c>
      <c r="E2660" t="s">
        <v>440</v>
      </c>
      <c r="F2660" t="s">
        <v>433</v>
      </c>
      <c r="G2660" t="s">
        <v>235</v>
      </c>
      <c r="H2660" t="s">
        <v>236</v>
      </c>
      <c r="J2660" t="s">
        <v>52</v>
      </c>
      <c r="K2660" s="15">
        <v>30000</v>
      </c>
      <c r="M2660">
        <v>45412</v>
      </c>
      <c r="N2660" t="s">
        <v>1013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2077696.8037383179</v>
      </c>
      <c r="W2660">
        <v>0</v>
      </c>
      <c r="X2660">
        <v>0</v>
      </c>
      <c r="Y2660">
        <v>2077696.8037383179</v>
      </c>
      <c r="Z2660">
        <v>145438.77626168227</v>
      </c>
      <c r="AA2660">
        <v>2223135.58</v>
      </c>
      <c r="AB2660" t="s">
        <v>242</v>
      </c>
      <c r="AC2660">
        <v>8</v>
      </c>
      <c r="AD2660">
        <v>415000</v>
      </c>
      <c r="AE2660">
        <v>0</v>
      </c>
      <c r="AF2660">
        <v>0</v>
      </c>
      <c r="AG2660">
        <v>25912.101709163308</v>
      </c>
      <c r="AH2660" t="s">
        <v>58</v>
      </c>
      <c r="AK2660" t="s">
        <v>798</v>
      </c>
      <c r="AL2660">
        <v>42201416</v>
      </c>
      <c r="AM2660">
        <v>2759018438</v>
      </c>
      <c r="AN2660" t="s">
        <v>965</v>
      </c>
      <c r="AO2660" t="s">
        <v>439</v>
      </c>
      <c r="AP2660" t="s">
        <v>430</v>
      </c>
      <c r="AQ2660" t="s">
        <v>230</v>
      </c>
      <c r="AR2660" t="s">
        <v>234</v>
      </c>
      <c r="AT2660" t="s">
        <v>52</v>
      </c>
      <c r="AU2660">
        <v>3000</v>
      </c>
      <c r="AW2660">
        <v>45412</v>
      </c>
      <c r="AX2660" t="s">
        <v>1013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588995.33644859807</v>
      </c>
      <c r="BI2660">
        <v>588995.33644859807</v>
      </c>
      <c r="BJ2660">
        <v>41229.673551401866</v>
      </c>
      <c r="BK2660">
        <v>630225.00999999989</v>
      </c>
      <c r="BL2660" t="s">
        <v>242</v>
      </c>
      <c r="BM2660">
        <v>4</v>
      </c>
      <c r="BN2660">
        <v>12000</v>
      </c>
      <c r="BO2660">
        <v>0</v>
      </c>
      <c r="BP2660">
        <v>0</v>
      </c>
      <c r="BQ2660">
        <v>785.0467289719636</v>
      </c>
      <c r="BR2660" t="s">
        <v>58</v>
      </c>
    </row>
    <row r="2661" spans="1:70" x14ac:dyDescent="0.3">
      <c r="A2661" t="s">
        <v>798</v>
      </c>
      <c r="B2661">
        <v>4132300091</v>
      </c>
      <c r="C2661">
        <v>1050286564</v>
      </c>
      <c r="D2661" t="s">
        <v>789</v>
      </c>
      <c r="E2661" t="s">
        <v>441</v>
      </c>
      <c r="F2661" t="s">
        <v>430</v>
      </c>
      <c r="G2661" t="s">
        <v>230</v>
      </c>
      <c r="H2661" t="s">
        <v>231</v>
      </c>
      <c r="J2661" t="s">
        <v>52</v>
      </c>
      <c r="K2661" s="15">
        <v>2000</v>
      </c>
      <c r="M2661">
        <v>45412</v>
      </c>
      <c r="N2661" t="s">
        <v>1013</v>
      </c>
      <c r="O2661">
        <v>0</v>
      </c>
      <c r="P2661">
        <v>3752.2011158816777</v>
      </c>
      <c r="Q2661">
        <v>0</v>
      </c>
      <c r="R2661">
        <v>0</v>
      </c>
      <c r="S2661">
        <v>4976.580821917808</v>
      </c>
      <c r="T2661">
        <v>0</v>
      </c>
      <c r="U2661">
        <v>0</v>
      </c>
      <c r="V2661">
        <v>0</v>
      </c>
      <c r="W2661">
        <v>91838.129798241411</v>
      </c>
      <c r="X2661">
        <v>0</v>
      </c>
      <c r="Y2661">
        <v>100566.9117360409</v>
      </c>
      <c r="Z2661">
        <v>6428.6690858768998</v>
      </c>
      <c r="AA2661">
        <v>106995.5808219178</v>
      </c>
      <c r="AB2661" t="s">
        <v>242</v>
      </c>
      <c r="AC2661">
        <v>2</v>
      </c>
      <c r="AD2661">
        <v>4000</v>
      </c>
      <c r="AE2661">
        <v>0</v>
      </c>
      <c r="AF2661">
        <v>0</v>
      </c>
      <c r="AG2661">
        <v>238.92904496422193</v>
      </c>
      <c r="AH2661" t="s">
        <v>58</v>
      </c>
      <c r="AK2661" t="s">
        <v>798</v>
      </c>
      <c r="AL2661">
        <v>52200644</v>
      </c>
      <c r="AM2661">
        <v>25645406</v>
      </c>
      <c r="AN2661" t="s">
        <v>662</v>
      </c>
      <c r="AO2661" t="s">
        <v>438</v>
      </c>
      <c r="AP2661" t="s">
        <v>431</v>
      </c>
      <c r="AQ2661" t="s">
        <v>230</v>
      </c>
      <c r="AR2661" t="s">
        <v>231</v>
      </c>
      <c r="AT2661" t="s">
        <v>52</v>
      </c>
      <c r="AU2661">
        <v>1000</v>
      </c>
      <c r="AW2661">
        <v>45412</v>
      </c>
      <c r="AX2661" t="s">
        <v>1013</v>
      </c>
      <c r="AY2661">
        <v>2886.4614816796779</v>
      </c>
      <c r="AZ2661">
        <v>0</v>
      </c>
      <c r="BA2661">
        <v>0</v>
      </c>
      <c r="BB2661">
        <v>0</v>
      </c>
      <c r="BC2661">
        <v>0</v>
      </c>
      <c r="BD2661">
        <v>33190.222914318059</v>
      </c>
      <c r="BE2661">
        <v>0</v>
      </c>
      <c r="BF2661">
        <v>0</v>
      </c>
      <c r="BG2661">
        <v>78504.672897196258</v>
      </c>
      <c r="BH2661">
        <v>0</v>
      </c>
      <c r="BI2661">
        <v>114581.35729319399</v>
      </c>
      <c r="BJ2661">
        <v>7818.6427068060029</v>
      </c>
      <c r="BK2661">
        <v>122399.99999999999</v>
      </c>
      <c r="BL2661" t="s">
        <v>242</v>
      </c>
      <c r="BM2661">
        <v>5</v>
      </c>
      <c r="BN2661">
        <v>7000</v>
      </c>
      <c r="BO2661">
        <v>0</v>
      </c>
      <c r="BP2661">
        <v>0</v>
      </c>
      <c r="BQ2661">
        <v>449.33949975099176</v>
      </c>
      <c r="BR2661" t="s">
        <v>58</v>
      </c>
    </row>
    <row r="2662" spans="1:70" x14ac:dyDescent="0.3">
      <c r="A2662" t="s">
        <v>798</v>
      </c>
      <c r="B2662">
        <v>4132300824</v>
      </c>
      <c r="C2662">
        <v>9070041828</v>
      </c>
      <c r="D2662" t="s">
        <v>177</v>
      </c>
      <c r="E2662" t="s">
        <v>441</v>
      </c>
      <c r="F2662" t="s">
        <v>430</v>
      </c>
      <c r="G2662" t="s">
        <v>233</v>
      </c>
      <c r="H2662" t="s">
        <v>231</v>
      </c>
      <c r="J2662" t="s">
        <v>52</v>
      </c>
      <c r="K2662" s="15">
        <v>500</v>
      </c>
      <c r="M2662">
        <v>45412</v>
      </c>
      <c r="N2662" t="s">
        <v>1013</v>
      </c>
      <c r="O2662">
        <v>0</v>
      </c>
      <c r="P2662">
        <v>1638.4159045127046</v>
      </c>
      <c r="Q2662">
        <v>0</v>
      </c>
      <c r="R2662">
        <v>0</v>
      </c>
      <c r="S2662">
        <v>10431.390410958904</v>
      </c>
      <c r="T2662">
        <v>15010.826257464762</v>
      </c>
      <c r="U2662">
        <v>0</v>
      </c>
      <c r="V2662">
        <v>0</v>
      </c>
      <c r="W2662">
        <v>0</v>
      </c>
      <c r="X2662">
        <v>0</v>
      </c>
      <c r="Y2662">
        <v>27080.632572936371</v>
      </c>
      <c r="Z2662">
        <v>1050.7578380225334</v>
      </c>
      <c r="AA2662">
        <v>28131.390410958906</v>
      </c>
      <c r="AB2662" t="s">
        <v>242</v>
      </c>
      <c r="AC2662">
        <v>6</v>
      </c>
      <c r="AD2662">
        <v>5500</v>
      </c>
      <c r="AE2662">
        <v>0</v>
      </c>
      <c r="AF2662">
        <v>0</v>
      </c>
      <c r="AG2662">
        <v>198.77487225784051</v>
      </c>
      <c r="AH2662" t="s">
        <v>58</v>
      </c>
      <c r="AK2662" t="s">
        <v>798</v>
      </c>
      <c r="AL2662">
        <v>82200023</v>
      </c>
      <c r="AM2662">
        <v>901016007000</v>
      </c>
      <c r="AN2662" t="s">
        <v>966</v>
      </c>
      <c r="AO2662" t="s">
        <v>440</v>
      </c>
      <c r="AP2662" t="s">
        <v>433</v>
      </c>
      <c r="AQ2662" t="s">
        <v>235</v>
      </c>
      <c r="AR2662" t="s">
        <v>236</v>
      </c>
      <c r="AT2662" t="s">
        <v>52</v>
      </c>
      <c r="AU2662">
        <v>19000</v>
      </c>
      <c r="AW2662">
        <v>45412</v>
      </c>
      <c r="AX2662" t="s">
        <v>1013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2105734.186915888</v>
      </c>
      <c r="BG2662">
        <v>0</v>
      </c>
      <c r="BH2662">
        <v>0</v>
      </c>
      <c r="BI2662">
        <v>2105734.186915888</v>
      </c>
      <c r="BJ2662">
        <v>147401.39308411218</v>
      </c>
      <c r="BK2662">
        <v>2253135.58</v>
      </c>
      <c r="BL2662" t="s">
        <v>242</v>
      </c>
      <c r="BM2662">
        <v>7</v>
      </c>
      <c r="BN2662">
        <v>385000</v>
      </c>
      <c r="BO2662">
        <v>0</v>
      </c>
      <c r="BP2662">
        <v>0</v>
      </c>
      <c r="BQ2662">
        <v>23949.4848867334</v>
      </c>
      <c r="BR2662" t="s">
        <v>58</v>
      </c>
    </row>
    <row r="2663" spans="1:70" x14ac:dyDescent="0.3">
      <c r="A2663" t="s">
        <v>798</v>
      </c>
      <c r="B2663">
        <v>4132301724</v>
      </c>
      <c r="C2663" t="s">
        <v>684</v>
      </c>
      <c r="D2663" t="s">
        <v>967</v>
      </c>
      <c r="E2663" t="s">
        <v>442</v>
      </c>
      <c r="F2663" t="s">
        <v>430</v>
      </c>
      <c r="G2663" t="s">
        <v>230</v>
      </c>
      <c r="H2663" t="s">
        <v>231</v>
      </c>
      <c r="J2663" t="s">
        <v>52</v>
      </c>
      <c r="K2663" s="15">
        <v>2000</v>
      </c>
      <c r="M2663">
        <v>45412</v>
      </c>
      <c r="N2663" t="s">
        <v>1013</v>
      </c>
      <c r="O2663">
        <v>0</v>
      </c>
      <c r="P2663">
        <v>20956.67711344421</v>
      </c>
      <c r="Q2663">
        <v>0</v>
      </c>
      <c r="R2663">
        <v>0</v>
      </c>
      <c r="S2663">
        <v>270738.90999999997</v>
      </c>
      <c r="T2663">
        <v>0</v>
      </c>
      <c r="U2663">
        <v>0</v>
      </c>
      <c r="V2663">
        <v>0</v>
      </c>
      <c r="W2663">
        <v>630403.10550145409</v>
      </c>
      <c r="X2663">
        <v>0</v>
      </c>
      <c r="Y2663">
        <v>922098.69261489832</v>
      </c>
      <c r="Z2663">
        <v>44128.217385101787</v>
      </c>
      <c r="AA2663">
        <v>966226.91000000015</v>
      </c>
      <c r="AB2663" t="s">
        <v>242</v>
      </c>
      <c r="AC2663">
        <v>4</v>
      </c>
      <c r="AD2663">
        <v>8000</v>
      </c>
      <c r="AE2663">
        <v>0</v>
      </c>
      <c r="AF2663">
        <v>0</v>
      </c>
      <c r="AG2663">
        <v>357.76392330943418</v>
      </c>
      <c r="AH2663" t="s">
        <v>58</v>
      </c>
      <c r="AK2663" t="s">
        <v>798</v>
      </c>
      <c r="AL2663">
        <v>82200023</v>
      </c>
      <c r="AM2663">
        <v>901016007000</v>
      </c>
      <c r="AN2663" t="s">
        <v>966</v>
      </c>
      <c r="AO2663" t="s">
        <v>440</v>
      </c>
      <c r="AP2663" t="s">
        <v>433</v>
      </c>
      <c r="AQ2663" t="s">
        <v>235</v>
      </c>
      <c r="AR2663" t="s">
        <v>236</v>
      </c>
      <c r="AT2663" t="s">
        <v>52</v>
      </c>
      <c r="AU2663">
        <v>30000</v>
      </c>
      <c r="AW2663">
        <v>45412</v>
      </c>
      <c r="AX2663" t="s">
        <v>1013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2077696.8037383179</v>
      </c>
      <c r="BG2663">
        <v>0</v>
      </c>
      <c r="BH2663">
        <v>0</v>
      </c>
      <c r="BI2663">
        <v>2077696.8037383179</v>
      </c>
      <c r="BJ2663">
        <v>145438.77626168227</v>
      </c>
      <c r="BK2663">
        <v>2223135.58</v>
      </c>
      <c r="BL2663" t="s">
        <v>242</v>
      </c>
      <c r="BM2663">
        <v>8</v>
      </c>
      <c r="BN2663">
        <v>415000</v>
      </c>
      <c r="BO2663">
        <v>0</v>
      </c>
      <c r="BP2663">
        <v>0</v>
      </c>
      <c r="BQ2663">
        <v>25912.101709163308</v>
      </c>
      <c r="BR2663" t="s">
        <v>58</v>
      </c>
    </row>
    <row r="2664" spans="1:70" x14ac:dyDescent="0.3">
      <c r="A2664" t="s">
        <v>798</v>
      </c>
      <c r="B2664">
        <v>4142300254</v>
      </c>
      <c r="C2664">
        <v>10153969</v>
      </c>
      <c r="D2664" t="s">
        <v>195</v>
      </c>
      <c r="E2664" t="s">
        <v>445</v>
      </c>
      <c r="F2664" t="s">
        <v>430</v>
      </c>
      <c r="G2664" t="s">
        <v>237</v>
      </c>
      <c r="H2664" t="s">
        <v>234</v>
      </c>
      <c r="J2664" t="s">
        <v>52</v>
      </c>
      <c r="K2664" s="15">
        <v>5000</v>
      </c>
      <c r="M2664">
        <v>45412</v>
      </c>
      <c r="N2664" t="s">
        <v>1013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43560.95327102804</v>
      </c>
      <c r="Y2664">
        <v>43560.95327102804</v>
      </c>
      <c r="Z2664">
        <v>3049.2667289719629</v>
      </c>
      <c r="AA2664">
        <v>46610.22</v>
      </c>
      <c r="AB2664" t="s">
        <v>242</v>
      </c>
      <c r="AC2664">
        <v>9</v>
      </c>
      <c r="AD2664">
        <v>45000</v>
      </c>
      <c r="AE2664">
        <v>0</v>
      </c>
      <c r="AF2664">
        <v>0</v>
      </c>
      <c r="AG2664">
        <v>2943.9252336448581</v>
      </c>
      <c r="AH2664" t="s">
        <v>58</v>
      </c>
      <c r="AK2664" t="s">
        <v>798</v>
      </c>
      <c r="AL2664">
        <v>4132300091</v>
      </c>
      <c r="AM2664">
        <v>1050286564</v>
      </c>
      <c r="AN2664" t="s">
        <v>789</v>
      </c>
      <c r="AO2664" t="s">
        <v>441</v>
      </c>
      <c r="AP2664" t="s">
        <v>430</v>
      </c>
      <c r="AQ2664" t="s">
        <v>230</v>
      </c>
      <c r="AR2664" t="s">
        <v>231</v>
      </c>
      <c r="AT2664" t="s">
        <v>52</v>
      </c>
      <c r="AU2664">
        <v>2000</v>
      </c>
      <c r="AW2664">
        <v>45412</v>
      </c>
      <c r="AX2664" t="s">
        <v>1013</v>
      </c>
      <c r="AY2664">
        <v>0</v>
      </c>
      <c r="AZ2664">
        <v>3752.2011158816777</v>
      </c>
      <c r="BA2664">
        <v>0</v>
      </c>
      <c r="BB2664">
        <v>0</v>
      </c>
      <c r="BC2664">
        <v>4976.580821917808</v>
      </c>
      <c r="BD2664">
        <v>0</v>
      </c>
      <c r="BE2664">
        <v>0</v>
      </c>
      <c r="BF2664">
        <v>0</v>
      </c>
      <c r="BG2664">
        <v>91838.129798241411</v>
      </c>
      <c r="BH2664">
        <v>0</v>
      </c>
      <c r="BI2664">
        <v>100566.9117360409</v>
      </c>
      <c r="BJ2664">
        <v>6428.6690858768998</v>
      </c>
      <c r="BK2664">
        <v>106995.5808219178</v>
      </c>
      <c r="BL2664" t="s">
        <v>242</v>
      </c>
      <c r="BM2664">
        <v>2</v>
      </c>
      <c r="BN2664">
        <v>4000</v>
      </c>
      <c r="BO2664">
        <v>0</v>
      </c>
      <c r="BP2664">
        <v>0</v>
      </c>
      <c r="BQ2664">
        <v>238.92904496422193</v>
      </c>
      <c r="BR2664" t="s">
        <v>58</v>
      </c>
    </row>
    <row r="2665" spans="1:70" x14ac:dyDescent="0.3">
      <c r="A2665" t="s">
        <v>798</v>
      </c>
      <c r="B2665">
        <v>4142300425</v>
      </c>
      <c r="C2665">
        <v>10188307</v>
      </c>
      <c r="D2665" t="s">
        <v>199</v>
      </c>
      <c r="E2665" t="s">
        <v>445</v>
      </c>
      <c r="F2665" t="s">
        <v>430</v>
      </c>
      <c r="G2665" t="s">
        <v>230</v>
      </c>
      <c r="H2665" t="s">
        <v>234</v>
      </c>
      <c r="J2665" t="s">
        <v>52</v>
      </c>
      <c r="K2665" s="15">
        <v>10000</v>
      </c>
      <c r="M2665">
        <v>45412</v>
      </c>
      <c r="N2665" t="s">
        <v>1013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233276.66355140199</v>
      </c>
      <c r="Y2665">
        <v>233276.66355140199</v>
      </c>
      <c r="Z2665">
        <v>16329.366448598141</v>
      </c>
      <c r="AA2665">
        <v>249606.03000000012</v>
      </c>
      <c r="AB2665" t="s">
        <v>242</v>
      </c>
      <c r="AC2665">
        <v>7</v>
      </c>
      <c r="AD2665">
        <v>91000</v>
      </c>
      <c r="AE2665">
        <v>0</v>
      </c>
      <c r="AF2665">
        <v>0</v>
      </c>
      <c r="AG2665">
        <v>5953.2710280373813</v>
      </c>
      <c r="AH2665" t="s">
        <v>58</v>
      </c>
      <c r="AK2665" t="s">
        <v>798</v>
      </c>
      <c r="AL2665">
        <v>4132301724</v>
      </c>
      <c r="AM2665" t="s">
        <v>684</v>
      </c>
      <c r="AN2665" t="s">
        <v>967</v>
      </c>
      <c r="AO2665" t="s">
        <v>442</v>
      </c>
      <c r="AP2665" t="s">
        <v>430</v>
      </c>
      <c r="AQ2665" t="s">
        <v>230</v>
      </c>
      <c r="AR2665" t="s">
        <v>231</v>
      </c>
      <c r="AT2665" t="s">
        <v>52</v>
      </c>
      <c r="AU2665">
        <v>2000</v>
      </c>
      <c r="AW2665">
        <v>45412</v>
      </c>
      <c r="AX2665" t="s">
        <v>1013</v>
      </c>
      <c r="AY2665">
        <v>0</v>
      </c>
      <c r="AZ2665">
        <v>20956.67711344421</v>
      </c>
      <c r="BA2665">
        <v>0</v>
      </c>
      <c r="BB2665">
        <v>0</v>
      </c>
      <c r="BC2665">
        <v>270738.90999999997</v>
      </c>
      <c r="BD2665">
        <v>0</v>
      </c>
      <c r="BE2665">
        <v>0</v>
      </c>
      <c r="BF2665">
        <v>0</v>
      </c>
      <c r="BG2665">
        <v>630403.10550145409</v>
      </c>
      <c r="BH2665">
        <v>0</v>
      </c>
      <c r="BI2665">
        <v>922098.69261489832</v>
      </c>
      <c r="BJ2665">
        <v>44128.217385101787</v>
      </c>
      <c r="BK2665">
        <v>966226.91000000015</v>
      </c>
      <c r="BL2665" t="s">
        <v>242</v>
      </c>
      <c r="BM2665">
        <v>4</v>
      </c>
      <c r="BN2665">
        <v>8000</v>
      </c>
      <c r="BO2665">
        <v>0</v>
      </c>
      <c r="BP2665">
        <v>0</v>
      </c>
      <c r="BQ2665">
        <v>357.76392330943418</v>
      </c>
      <c r="BR2665" t="s">
        <v>58</v>
      </c>
    </row>
    <row r="2666" spans="1:70" x14ac:dyDescent="0.3">
      <c r="A2666" t="s">
        <v>798</v>
      </c>
      <c r="B2666">
        <v>4142300683</v>
      </c>
      <c r="C2666">
        <v>10306956</v>
      </c>
      <c r="D2666" t="s">
        <v>1012</v>
      </c>
      <c r="E2666" t="s">
        <v>445</v>
      </c>
      <c r="F2666" t="s">
        <v>430</v>
      </c>
      <c r="G2666" t="s">
        <v>230</v>
      </c>
      <c r="H2666" t="s">
        <v>234</v>
      </c>
      <c r="J2666" t="s">
        <v>52</v>
      </c>
      <c r="K2666" s="15">
        <v>3000</v>
      </c>
      <c r="M2666">
        <v>45412</v>
      </c>
      <c r="N2666" t="s">
        <v>1013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267913.82242990652</v>
      </c>
      <c r="Y2666">
        <v>267913.82242990652</v>
      </c>
      <c r="Z2666">
        <v>18753.967570093457</v>
      </c>
      <c r="AA2666">
        <v>286667.78999999998</v>
      </c>
      <c r="AB2666" t="s">
        <v>242</v>
      </c>
      <c r="AC2666">
        <v>1</v>
      </c>
      <c r="AD2666">
        <v>3000</v>
      </c>
      <c r="AE2666">
        <v>0</v>
      </c>
      <c r="AF2666">
        <v>0</v>
      </c>
      <c r="AG2666">
        <v>196.2616822429909</v>
      </c>
      <c r="AH2666" t="s">
        <v>72</v>
      </c>
      <c r="AK2666" t="s">
        <v>798</v>
      </c>
      <c r="AL2666">
        <v>4142301246</v>
      </c>
      <c r="AM2666">
        <v>10211923</v>
      </c>
      <c r="AN2666" t="s">
        <v>750</v>
      </c>
      <c r="AO2666" t="s">
        <v>446</v>
      </c>
      <c r="AP2666" t="s">
        <v>430</v>
      </c>
      <c r="AQ2666" t="s">
        <v>230</v>
      </c>
      <c r="AR2666" t="s">
        <v>234</v>
      </c>
      <c r="AT2666" t="s">
        <v>52</v>
      </c>
      <c r="AU2666">
        <v>11170</v>
      </c>
      <c r="AW2666">
        <v>45412</v>
      </c>
      <c r="AX2666" t="s">
        <v>1029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75312.373831775709</v>
      </c>
      <c r="BI2666">
        <v>75312.373831775709</v>
      </c>
      <c r="BJ2666">
        <v>5271.8661682243001</v>
      </c>
      <c r="BK2666">
        <v>80584.240000000005</v>
      </c>
      <c r="BL2666" t="s">
        <v>242</v>
      </c>
      <c r="BM2666">
        <v>4</v>
      </c>
      <c r="BN2666">
        <v>44680</v>
      </c>
      <c r="BO2666">
        <v>0</v>
      </c>
      <c r="BP2666">
        <v>0</v>
      </c>
      <c r="BQ2666">
        <v>2922.9906542056051</v>
      </c>
      <c r="BR2666" t="s">
        <v>58</v>
      </c>
    </row>
    <row r="2667" spans="1:70" x14ac:dyDescent="0.3">
      <c r="A2667" t="s">
        <v>798</v>
      </c>
      <c r="B2667">
        <v>4142300842</v>
      </c>
      <c r="C2667">
        <v>10382588</v>
      </c>
      <c r="D2667" t="s">
        <v>211</v>
      </c>
      <c r="E2667" t="s">
        <v>445</v>
      </c>
      <c r="F2667" t="s">
        <v>430</v>
      </c>
      <c r="G2667" t="s">
        <v>230</v>
      </c>
      <c r="H2667" t="s">
        <v>234</v>
      </c>
      <c r="J2667" t="s">
        <v>52</v>
      </c>
      <c r="K2667" s="15">
        <v>2000</v>
      </c>
      <c r="M2667">
        <v>45412</v>
      </c>
      <c r="N2667" t="s">
        <v>1013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114049.67289719623</v>
      </c>
      <c r="Y2667">
        <v>114049.67289719623</v>
      </c>
      <c r="Z2667">
        <v>7983.4771028037367</v>
      </c>
      <c r="AA2667">
        <v>122033.14999999997</v>
      </c>
      <c r="AB2667" t="s">
        <v>242</v>
      </c>
      <c r="AC2667">
        <v>9</v>
      </c>
      <c r="AD2667">
        <v>14500</v>
      </c>
      <c r="AE2667">
        <v>0</v>
      </c>
      <c r="AF2667">
        <v>0</v>
      </c>
      <c r="AG2667">
        <v>948.5981308411217</v>
      </c>
      <c r="AH2667" t="s">
        <v>58</v>
      </c>
      <c r="AK2667" t="s">
        <v>798</v>
      </c>
      <c r="AL2667">
        <v>4142300425</v>
      </c>
      <c r="AM2667">
        <v>10188307</v>
      </c>
      <c r="AN2667" t="s">
        <v>199</v>
      </c>
      <c r="AO2667" t="s">
        <v>445</v>
      </c>
      <c r="AP2667" t="s">
        <v>430</v>
      </c>
      <c r="AQ2667" t="s">
        <v>230</v>
      </c>
      <c r="AR2667" t="s">
        <v>234</v>
      </c>
      <c r="AT2667" t="s">
        <v>52</v>
      </c>
      <c r="AU2667">
        <v>10000</v>
      </c>
      <c r="AW2667">
        <v>45412</v>
      </c>
      <c r="AX2667" t="s">
        <v>1013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233276.66355140199</v>
      </c>
      <c r="BI2667">
        <v>233276.66355140199</v>
      </c>
      <c r="BJ2667">
        <v>16329.366448598141</v>
      </c>
      <c r="BK2667">
        <v>249606.03000000012</v>
      </c>
      <c r="BL2667" t="s">
        <v>242</v>
      </c>
      <c r="BM2667">
        <v>7</v>
      </c>
      <c r="BN2667">
        <v>91000</v>
      </c>
      <c r="BO2667">
        <v>0</v>
      </c>
      <c r="BP2667">
        <v>0</v>
      </c>
      <c r="BQ2667">
        <v>5953.2710280373813</v>
      </c>
      <c r="BR2667" t="s">
        <v>58</v>
      </c>
    </row>
    <row r="2668" spans="1:70" x14ac:dyDescent="0.3">
      <c r="A2668" t="s">
        <v>798</v>
      </c>
      <c r="B2668">
        <v>4142301175</v>
      </c>
      <c r="C2668">
        <v>10038577</v>
      </c>
      <c r="D2668" t="s">
        <v>746</v>
      </c>
      <c r="E2668" t="s">
        <v>446</v>
      </c>
      <c r="F2668" t="s">
        <v>430</v>
      </c>
      <c r="G2668" t="s">
        <v>237</v>
      </c>
      <c r="H2668" t="s">
        <v>234</v>
      </c>
      <c r="J2668" t="s">
        <v>52</v>
      </c>
      <c r="K2668" s="15">
        <v>2000</v>
      </c>
      <c r="M2668">
        <v>45412</v>
      </c>
      <c r="N2668" t="s">
        <v>1013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24115.728971962617</v>
      </c>
      <c r="Y2668">
        <v>24115.728971962617</v>
      </c>
      <c r="Z2668">
        <v>1688.1010280373835</v>
      </c>
      <c r="AA2668">
        <v>25803.83</v>
      </c>
      <c r="AB2668" t="s">
        <v>242</v>
      </c>
      <c r="AC2668">
        <v>3</v>
      </c>
      <c r="AD2668">
        <v>9000</v>
      </c>
      <c r="AE2668">
        <v>0</v>
      </c>
      <c r="AF2668">
        <v>0</v>
      </c>
      <c r="AG2668">
        <v>588.78504672897179</v>
      </c>
      <c r="AH2668" t="s">
        <v>58</v>
      </c>
      <c r="AK2668" t="s">
        <v>798</v>
      </c>
      <c r="AL2668">
        <v>4142300683</v>
      </c>
      <c r="AM2668">
        <v>10306956</v>
      </c>
      <c r="AN2668" t="s">
        <v>1012</v>
      </c>
      <c r="AO2668" t="s">
        <v>445</v>
      </c>
      <c r="AP2668" t="s">
        <v>430</v>
      </c>
      <c r="AQ2668" t="s">
        <v>230</v>
      </c>
      <c r="AR2668" t="s">
        <v>234</v>
      </c>
      <c r="AT2668" t="s">
        <v>52</v>
      </c>
      <c r="AU2668">
        <v>3000</v>
      </c>
      <c r="AW2668">
        <v>45412</v>
      </c>
      <c r="AX2668" t="s">
        <v>1013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267913.82242990652</v>
      </c>
      <c r="BI2668">
        <v>267913.82242990652</v>
      </c>
      <c r="BJ2668">
        <v>18753.967570093457</v>
      </c>
      <c r="BK2668">
        <v>286667.78999999998</v>
      </c>
      <c r="BL2668" t="s">
        <v>242</v>
      </c>
      <c r="BM2668">
        <v>1</v>
      </c>
      <c r="BN2668">
        <v>3000</v>
      </c>
      <c r="BO2668">
        <v>0</v>
      </c>
      <c r="BP2668">
        <v>0</v>
      </c>
      <c r="BQ2668">
        <v>196.2616822429909</v>
      </c>
      <c r="BR2668" t="s">
        <v>72</v>
      </c>
    </row>
    <row r="2669" spans="1:70" x14ac:dyDescent="0.3">
      <c r="A2669" t="s">
        <v>798</v>
      </c>
      <c r="B2669">
        <v>4142301246</v>
      </c>
      <c r="C2669">
        <v>10211923</v>
      </c>
      <c r="D2669" t="s">
        <v>750</v>
      </c>
      <c r="E2669" t="s">
        <v>446</v>
      </c>
      <c r="F2669" t="s">
        <v>430</v>
      </c>
      <c r="G2669" t="s">
        <v>230</v>
      </c>
      <c r="H2669" t="s">
        <v>234</v>
      </c>
      <c r="J2669" t="s">
        <v>52</v>
      </c>
      <c r="K2669" s="15">
        <v>11170</v>
      </c>
      <c r="M2669">
        <v>45412</v>
      </c>
      <c r="N2669" t="s">
        <v>1029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75312.373831775709</v>
      </c>
      <c r="Y2669">
        <v>75312.373831775709</v>
      </c>
      <c r="Z2669">
        <v>5271.8661682243001</v>
      </c>
      <c r="AA2669">
        <v>80584.240000000005</v>
      </c>
      <c r="AB2669" t="s">
        <v>242</v>
      </c>
      <c r="AC2669">
        <v>4</v>
      </c>
      <c r="AD2669">
        <v>44680</v>
      </c>
      <c r="AE2669">
        <v>0</v>
      </c>
      <c r="AF2669">
        <v>0</v>
      </c>
      <c r="AG2669">
        <v>2922.9906542056051</v>
      </c>
      <c r="AH2669" t="s">
        <v>58</v>
      </c>
      <c r="AK2669" t="s">
        <v>798</v>
      </c>
      <c r="AL2669">
        <v>4142300842</v>
      </c>
      <c r="AM2669">
        <v>10382588</v>
      </c>
      <c r="AN2669" t="s">
        <v>211</v>
      </c>
      <c r="AO2669" t="s">
        <v>445</v>
      </c>
      <c r="AP2669" t="s">
        <v>430</v>
      </c>
      <c r="AQ2669" t="s">
        <v>230</v>
      </c>
      <c r="AR2669" t="s">
        <v>234</v>
      </c>
      <c r="AT2669" t="s">
        <v>52</v>
      </c>
      <c r="AU2669">
        <v>2000</v>
      </c>
      <c r="AW2669">
        <v>45412</v>
      </c>
      <c r="AX2669" t="s">
        <v>1013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114049.67289719623</v>
      </c>
      <c r="BI2669">
        <v>114049.67289719623</v>
      </c>
      <c r="BJ2669">
        <v>7983.4771028037367</v>
      </c>
      <c r="BK2669">
        <v>122033.14999999997</v>
      </c>
      <c r="BL2669" t="s">
        <v>242</v>
      </c>
      <c r="BM2669">
        <v>9</v>
      </c>
      <c r="BN2669">
        <v>14500</v>
      </c>
      <c r="BO2669">
        <v>0</v>
      </c>
      <c r="BP2669">
        <v>0</v>
      </c>
      <c r="BQ2669">
        <v>948.5981308411217</v>
      </c>
      <c r="BR2669" t="s">
        <v>58</v>
      </c>
    </row>
    <row r="2670" spans="1:70" x14ac:dyDescent="0.3">
      <c r="A2670" t="s">
        <v>798</v>
      </c>
      <c r="B2670">
        <v>4142301533</v>
      </c>
      <c r="C2670">
        <v>10583950</v>
      </c>
      <c r="D2670" t="s">
        <v>759</v>
      </c>
      <c r="E2670" t="s">
        <v>446</v>
      </c>
      <c r="F2670" t="s">
        <v>430</v>
      </c>
      <c r="G2670" t="s">
        <v>230</v>
      </c>
      <c r="H2670" t="s">
        <v>234</v>
      </c>
      <c r="J2670" t="s">
        <v>52</v>
      </c>
      <c r="K2670" s="15">
        <v>5000</v>
      </c>
      <c r="M2670">
        <v>45412</v>
      </c>
      <c r="N2670" t="s">
        <v>1029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315898.99065420561</v>
      </c>
      <c r="Y2670">
        <v>315898.99065420561</v>
      </c>
      <c r="Z2670">
        <v>22112.929345794393</v>
      </c>
      <c r="AA2670">
        <v>338011.92</v>
      </c>
      <c r="AB2670" t="s">
        <v>242</v>
      </c>
      <c r="AC2670">
        <v>4</v>
      </c>
      <c r="AD2670">
        <v>20000</v>
      </c>
      <c r="AE2670">
        <v>0</v>
      </c>
      <c r="AF2670">
        <v>0</v>
      </c>
      <c r="AG2670">
        <v>1308.4112149532702</v>
      </c>
      <c r="AH2670" t="s">
        <v>58</v>
      </c>
      <c r="AK2670" t="s">
        <v>798</v>
      </c>
      <c r="AL2670">
        <v>4142301533</v>
      </c>
      <c r="AM2670">
        <v>10583950</v>
      </c>
      <c r="AN2670" t="s">
        <v>759</v>
      </c>
      <c r="AO2670" t="s">
        <v>446</v>
      </c>
      <c r="AP2670" t="s">
        <v>430</v>
      </c>
      <c r="AQ2670" t="s">
        <v>230</v>
      </c>
      <c r="AR2670" t="s">
        <v>234</v>
      </c>
      <c r="AT2670" t="s">
        <v>52</v>
      </c>
      <c r="AU2670">
        <v>5000</v>
      </c>
      <c r="AW2670">
        <v>45412</v>
      </c>
      <c r="AX2670" t="s">
        <v>1029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315898.99065420561</v>
      </c>
      <c r="BI2670">
        <v>315898.99065420561</v>
      </c>
      <c r="BJ2670">
        <v>22112.929345794393</v>
      </c>
      <c r="BK2670">
        <v>338011.92</v>
      </c>
      <c r="BL2670" t="s">
        <v>242</v>
      </c>
      <c r="BM2670">
        <v>4</v>
      </c>
      <c r="BN2670">
        <v>20000</v>
      </c>
      <c r="BO2670">
        <v>0</v>
      </c>
      <c r="BP2670">
        <v>0</v>
      </c>
      <c r="BQ2670">
        <v>1308.4112149532702</v>
      </c>
      <c r="BR2670" t="s">
        <v>58</v>
      </c>
    </row>
    <row r="2671" spans="1:70" x14ac:dyDescent="0.3">
      <c r="A2671" t="s">
        <v>798</v>
      </c>
      <c r="B2671">
        <v>4142301540</v>
      </c>
      <c r="C2671">
        <v>10592307</v>
      </c>
      <c r="D2671" t="s">
        <v>760</v>
      </c>
      <c r="E2671" t="s">
        <v>446</v>
      </c>
      <c r="F2671" t="s">
        <v>430</v>
      </c>
      <c r="G2671" t="s">
        <v>230</v>
      </c>
      <c r="H2671" t="s">
        <v>234</v>
      </c>
      <c r="J2671" t="s">
        <v>52</v>
      </c>
      <c r="K2671" s="15">
        <v>2000</v>
      </c>
      <c r="M2671">
        <v>45412</v>
      </c>
      <c r="N2671" t="s">
        <v>1013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232588.31383177568</v>
      </c>
      <c r="Y2671">
        <v>232588.31383177568</v>
      </c>
      <c r="Z2671">
        <v>16281.181968224299</v>
      </c>
      <c r="AA2671">
        <v>248869.49579999998</v>
      </c>
      <c r="AB2671" t="s">
        <v>242</v>
      </c>
      <c r="AC2671">
        <v>4</v>
      </c>
      <c r="AD2671">
        <v>164000</v>
      </c>
      <c r="AE2671">
        <v>0</v>
      </c>
      <c r="AF2671">
        <v>0</v>
      </c>
      <c r="AG2671">
        <v>10728.971962616835</v>
      </c>
      <c r="AH2671" t="s">
        <v>58</v>
      </c>
      <c r="AK2671" t="s">
        <v>798</v>
      </c>
      <c r="AL2671">
        <v>4142301540</v>
      </c>
      <c r="AM2671">
        <v>10592307</v>
      </c>
      <c r="AN2671" t="s">
        <v>760</v>
      </c>
      <c r="AO2671" t="s">
        <v>446</v>
      </c>
      <c r="AP2671" t="s">
        <v>430</v>
      </c>
      <c r="AQ2671" t="s">
        <v>230</v>
      </c>
      <c r="AR2671" t="s">
        <v>234</v>
      </c>
      <c r="AT2671" t="s">
        <v>52</v>
      </c>
      <c r="AU2671">
        <v>2000</v>
      </c>
      <c r="AW2671">
        <v>45412</v>
      </c>
      <c r="AX2671" t="s">
        <v>1013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232588.31383177568</v>
      </c>
      <c r="BI2671">
        <v>232588.31383177568</v>
      </c>
      <c r="BJ2671">
        <v>16281.181968224299</v>
      </c>
      <c r="BK2671">
        <v>248869.49579999998</v>
      </c>
      <c r="BL2671" t="s">
        <v>242</v>
      </c>
      <c r="BM2671">
        <v>4</v>
      </c>
      <c r="BN2671">
        <v>164000</v>
      </c>
      <c r="BO2671">
        <v>0</v>
      </c>
      <c r="BP2671">
        <v>0</v>
      </c>
      <c r="BQ2671">
        <v>10728.971962616835</v>
      </c>
      <c r="BR2671" t="s">
        <v>58</v>
      </c>
    </row>
    <row r="2672" spans="1:70" x14ac:dyDescent="0.3">
      <c r="A2672" t="s">
        <v>798</v>
      </c>
      <c r="B2672">
        <v>4142301569</v>
      </c>
      <c r="C2672">
        <v>10625781</v>
      </c>
      <c r="D2672" t="s">
        <v>761</v>
      </c>
      <c r="E2672" t="s">
        <v>446</v>
      </c>
      <c r="F2672" t="s">
        <v>430</v>
      </c>
      <c r="G2672" t="s">
        <v>230</v>
      </c>
      <c r="H2672" t="s">
        <v>234</v>
      </c>
      <c r="J2672" t="s">
        <v>52</v>
      </c>
      <c r="K2672" s="15">
        <v>2000</v>
      </c>
      <c r="M2672">
        <v>45412</v>
      </c>
      <c r="N2672" t="s">
        <v>1013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787503.84112149535</v>
      </c>
      <c r="Y2672">
        <v>787503.84112149535</v>
      </c>
      <c r="Z2672">
        <v>55125.268878504678</v>
      </c>
      <c r="AA2672">
        <v>842629.11</v>
      </c>
      <c r="AB2672" t="s">
        <v>242</v>
      </c>
      <c r="AC2672">
        <v>3</v>
      </c>
      <c r="AD2672">
        <v>6000</v>
      </c>
      <c r="AE2672">
        <v>0</v>
      </c>
      <c r="AF2672">
        <v>0</v>
      </c>
      <c r="AG2672">
        <v>392.52336448598135</v>
      </c>
      <c r="AH2672" t="s">
        <v>58</v>
      </c>
      <c r="AK2672" t="s">
        <v>798</v>
      </c>
      <c r="AL2672">
        <v>4142301569</v>
      </c>
      <c r="AM2672">
        <v>10625781</v>
      </c>
      <c r="AN2672" t="s">
        <v>761</v>
      </c>
      <c r="AO2672" t="s">
        <v>446</v>
      </c>
      <c r="AP2672" t="s">
        <v>430</v>
      </c>
      <c r="AQ2672" t="s">
        <v>230</v>
      </c>
      <c r="AR2672" t="s">
        <v>234</v>
      </c>
      <c r="AT2672" t="s">
        <v>52</v>
      </c>
      <c r="AU2672">
        <v>2000</v>
      </c>
      <c r="AW2672">
        <v>45412</v>
      </c>
      <c r="AX2672" t="s">
        <v>1013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787503.84112149535</v>
      </c>
      <c r="BI2672">
        <v>787503.84112149535</v>
      </c>
      <c r="BJ2672">
        <v>55125.268878504678</v>
      </c>
      <c r="BK2672">
        <v>842629.11</v>
      </c>
      <c r="BL2672" t="s">
        <v>242</v>
      </c>
      <c r="BM2672">
        <v>3</v>
      </c>
      <c r="BN2672">
        <v>6000</v>
      </c>
      <c r="BO2672">
        <v>0</v>
      </c>
      <c r="BP2672">
        <v>0</v>
      </c>
      <c r="BQ2672">
        <v>392.52336448598135</v>
      </c>
      <c r="BR2672" t="s">
        <v>58</v>
      </c>
    </row>
    <row r="2673" spans="1:70" x14ac:dyDescent="0.3">
      <c r="A2673" t="s">
        <v>798</v>
      </c>
      <c r="B2673">
        <v>4302300023</v>
      </c>
      <c r="C2673">
        <v>901021032288</v>
      </c>
      <c r="D2673" t="s">
        <v>225</v>
      </c>
      <c r="E2673" t="s">
        <v>447</v>
      </c>
      <c r="F2673" t="s">
        <v>433</v>
      </c>
      <c r="G2673" t="s">
        <v>82</v>
      </c>
      <c r="H2673" t="s">
        <v>83</v>
      </c>
      <c r="J2673" t="s">
        <v>52</v>
      </c>
      <c r="K2673" s="15">
        <v>10000</v>
      </c>
      <c r="M2673">
        <v>45412</v>
      </c>
      <c r="N2673" t="s">
        <v>1013</v>
      </c>
      <c r="O2673">
        <v>0</v>
      </c>
      <c r="P2673">
        <v>0</v>
      </c>
      <c r="Q2673">
        <v>88712.754721888166</v>
      </c>
      <c r="R2673">
        <v>3436.24</v>
      </c>
      <c r="S2673">
        <v>10731.884745898937</v>
      </c>
      <c r="T2673">
        <v>0</v>
      </c>
      <c r="U2673">
        <v>0</v>
      </c>
      <c r="V2673">
        <v>1172874.5</v>
      </c>
      <c r="W2673">
        <v>0</v>
      </c>
      <c r="X2673">
        <v>0</v>
      </c>
      <c r="Y2673">
        <v>1275755.3794677872</v>
      </c>
      <c r="Z2673">
        <v>82852.44693221293</v>
      </c>
      <c r="AA2673">
        <v>1358607.8264000001</v>
      </c>
      <c r="AB2673" t="s">
        <v>242</v>
      </c>
      <c r="AC2673">
        <v>7</v>
      </c>
      <c r="AD2673">
        <v>93000</v>
      </c>
      <c r="AE2673">
        <v>0</v>
      </c>
      <c r="AF2673">
        <v>0</v>
      </c>
      <c r="AG2673">
        <v>5643.479467787075</v>
      </c>
      <c r="AH2673" t="s">
        <v>58</v>
      </c>
      <c r="AK2673" t="s">
        <v>798</v>
      </c>
      <c r="AL2673">
        <v>4302300023</v>
      </c>
      <c r="AM2673">
        <v>901021032288</v>
      </c>
      <c r="AN2673" t="s">
        <v>225</v>
      </c>
      <c r="AO2673" t="s">
        <v>447</v>
      </c>
      <c r="AP2673" t="s">
        <v>433</v>
      </c>
      <c r="AQ2673" t="s">
        <v>82</v>
      </c>
      <c r="AR2673" t="s">
        <v>83</v>
      </c>
      <c r="AT2673" t="s">
        <v>52</v>
      </c>
      <c r="AU2673">
        <v>10000</v>
      </c>
      <c r="AW2673">
        <v>45412</v>
      </c>
      <c r="AX2673" t="s">
        <v>1013</v>
      </c>
      <c r="AY2673">
        <v>0</v>
      </c>
      <c r="AZ2673">
        <v>0</v>
      </c>
      <c r="BA2673">
        <v>88712.754721888166</v>
      </c>
      <c r="BB2673">
        <v>3436.24</v>
      </c>
      <c r="BC2673">
        <v>10731.884745898937</v>
      </c>
      <c r="BD2673">
        <v>0</v>
      </c>
      <c r="BE2673">
        <v>0</v>
      </c>
      <c r="BF2673">
        <v>1172874.5</v>
      </c>
      <c r="BG2673">
        <v>0</v>
      </c>
      <c r="BH2673">
        <v>0</v>
      </c>
      <c r="BI2673">
        <v>1275755.3794677872</v>
      </c>
      <c r="BJ2673">
        <v>82852.44693221293</v>
      </c>
      <c r="BK2673">
        <v>1358607.8264000001</v>
      </c>
      <c r="BL2673" t="s">
        <v>242</v>
      </c>
      <c r="BM2673">
        <v>7</v>
      </c>
      <c r="BN2673">
        <v>93000</v>
      </c>
      <c r="BO2673">
        <v>0</v>
      </c>
      <c r="BP2673">
        <v>0</v>
      </c>
      <c r="BQ2673">
        <v>5643.479467787075</v>
      </c>
      <c r="BR2673" t="s">
        <v>58</v>
      </c>
    </row>
    <row r="2674" spans="1:70" x14ac:dyDescent="0.3">
      <c r="A2674" t="s">
        <v>798</v>
      </c>
      <c r="B2674">
        <v>4312300002</v>
      </c>
      <c r="C2674" t="s">
        <v>59</v>
      </c>
      <c r="D2674" t="s">
        <v>976</v>
      </c>
      <c r="E2674" t="s">
        <v>448</v>
      </c>
      <c r="F2674" t="s">
        <v>433</v>
      </c>
      <c r="G2674" t="s">
        <v>82</v>
      </c>
      <c r="H2674" t="s">
        <v>71</v>
      </c>
      <c r="J2674" t="s">
        <v>52</v>
      </c>
      <c r="K2674" s="15">
        <v>20000</v>
      </c>
      <c r="M2674">
        <v>45412</v>
      </c>
      <c r="N2674" t="s">
        <v>1029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643351.78504672914</v>
      </c>
      <c r="Y2674">
        <v>643351.78504672914</v>
      </c>
      <c r="Z2674">
        <v>45034.624953271043</v>
      </c>
      <c r="AA2674">
        <v>688386.41000000015</v>
      </c>
      <c r="AB2674" t="s">
        <v>242</v>
      </c>
      <c r="AC2674">
        <v>6</v>
      </c>
      <c r="AD2674">
        <v>120000</v>
      </c>
      <c r="AE2674">
        <v>0</v>
      </c>
      <c r="AF2674">
        <v>0</v>
      </c>
      <c r="AG2674">
        <v>7850.4672897196215</v>
      </c>
      <c r="AH2674" t="s">
        <v>58</v>
      </c>
      <c r="AK2674" t="s">
        <v>798</v>
      </c>
      <c r="AL2674">
        <v>4312300002</v>
      </c>
      <c r="AM2674" t="s">
        <v>59</v>
      </c>
      <c r="AN2674" t="s">
        <v>976</v>
      </c>
      <c r="AO2674" t="s">
        <v>448</v>
      </c>
      <c r="AP2674" t="s">
        <v>433</v>
      </c>
      <c r="AQ2674" t="s">
        <v>82</v>
      </c>
      <c r="AR2674" t="s">
        <v>71</v>
      </c>
      <c r="AT2674" t="s">
        <v>52</v>
      </c>
      <c r="AU2674">
        <v>20000</v>
      </c>
      <c r="AW2674">
        <v>45412</v>
      </c>
      <c r="AX2674" t="s">
        <v>1029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643351.78504672914</v>
      </c>
      <c r="BI2674">
        <v>643351.78504672914</v>
      </c>
      <c r="BJ2674">
        <v>45034.624953271043</v>
      </c>
      <c r="BK2674">
        <v>688386.41000000015</v>
      </c>
      <c r="BL2674" t="s">
        <v>242</v>
      </c>
      <c r="BM2674">
        <v>6</v>
      </c>
      <c r="BN2674">
        <v>120000</v>
      </c>
      <c r="BO2674">
        <v>0</v>
      </c>
      <c r="BP2674">
        <v>0</v>
      </c>
      <c r="BQ2674">
        <v>7850.4672897196215</v>
      </c>
      <c r="BR2674" t="s">
        <v>58</v>
      </c>
    </row>
    <row r="2675" spans="1:70" x14ac:dyDescent="0.3">
      <c r="A2675" t="s">
        <v>798</v>
      </c>
      <c r="B2675">
        <v>4312300009</v>
      </c>
      <c r="C2675" t="s">
        <v>694</v>
      </c>
      <c r="D2675" t="s">
        <v>970</v>
      </c>
      <c r="E2675" t="s">
        <v>448</v>
      </c>
      <c r="F2675" t="s">
        <v>433</v>
      </c>
      <c r="G2675" t="s">
        <v>82</v>
      </c>
      <c r="H2675" t="s">
        <v>71</v>
      </c>
      <c r="J2675" t="s">
        <v>52</v>
      </c>
      <c r="K2675" s="15">
        <v>25000</v>
      </c>
      <c r="M2675">
        <v>45412</v>
      </c>
      <c r="N2675" t="s">
        <v>1029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482578.05607476644</v>
      </c>
      <c r="Y2675">
        <v>482578.05607476644</v>
      </c>
      <c r="Z2675">
        <v>33780.463925233656</v>
      </c>
      <c r="AA2675">
        <v>516358.52000000008</v>
      </c>
      <c r="AB2675" t="s">
        <v>242</v>
      </c>
      <c r="AC2675">
        <v>4</v>
      </c>
      <c r="AD2675">
        <v>100000</v>
      </c>
      <c r="AE2675">
        <v>0</v>
      </c>
      <c r="AF2675">
        <v>0</v>
      </c>
      <c r="AG2675">
        <v>6542.0560747663549</v>
      </c>
      <c r="AH2675" t="s">
        <v>58</v>
      </c>
      <c r="AK2675" t="s">
        <v>798</v>
      </c>
      <c r="AL2675">
        <v>4312300009</v>
      </c>
      <c r="AM2675" t="s">
        <v>694</v>
      </c>
      <c r="AN2675" t="s">
        <v>970</v>
      </c>
      <c r="AO2675" t="s">
        <v>448</v>
      </c>
      <c r="AP2675" t="s">
        <v>433</v>
      </c>
      <c r="AQ2675" t="s">
        <v>82</v>
      </c>
      <c r="AR2675" t="s">
        <v>71</v>
      </c>
      <c r="AT2675" t="s">
        <v>52</v>
      </c>
      <c r="AU2675">
        <v>25000</v>
      </c>
      <c r="AW2675">
        <v>45412</v>
      </c>
      <c r="AX2675" t="s">
        <v>1029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482578.05607476644</v>
      </c>
      <c r="BI2675">
        <v>482578.05607476644</v>
      </c>
      <c r="BJ2675">
        <v>33780.463925233656</v>
      </c>
      <c r="BK2675">
        <v>516358.52000000008</v>
      </c>
      <c r="BL2675" t="s">
        <v>242</v>
      </c>
      <c r="BM2675">
        <v>4</v>
      </c>
      <c r="BN2675">
        <v>100000</v>
      </c>
      <c r="BO2675">
        <v>0</v>
      </c>
      <c r="BP2675">
        <v>0</v>
      </c>
      <c r="BQ2675">
        <v>6542.0560747663549</v>
      </c>
      <c r="BR2675" t="s">
        <v>58</v>
      </c>
    </row>
    <row r="2677" spans="1:70" x14ac:dyDescent="0.3">
      <c r="A2677" t="s">
        <v>798</v>
      </c>
      <c r="B2677">
        <v>4142300035</v>
      </c>
      <c r="C2677">
        <v>112833</v>
      </c>
      <c r="D2677" t="s">
        <v>932</v>
      </c>
      <c r="E2677" t="s">
        <v>444</v>
      </c>
      <c r="F2677" t="s">
        <v>430</v>
      </c>
      <c r="G2677" t="s">
        <v>233</v>
      </c>
      <c r="H2677" t="s">
        <v>231</v>
      </c>
      <c r="J2677" t="s">
        <v>416</v>
      </c>
      <c r="K2677" s="15">
        <v>0.22489999999999999</v>
      </c>
      <c r="M2677">
        <v>45405</v>
      </c>
      <c r="N2677" t="s">
        <v>1016</v>
      </c>
      <c r="O2677">
        <v>0</v>
      </c>
      <c r="P2677">
        <v>0</v>
      </c>
      <c r="Q2677">
        <v>76637.237399999998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76637.237399999998</v>
      </c>
      <c r="Z2677">
        <v>0</v>
      </c>
      <c r="AA2677">
        <v>76637.237399999998</v>
      </c>
      <c r="AB2677" t="s">
        <v>242</v>
      </c>
      <c r="AC2677">
        <v>2</v>
      </c>
      <c r="AD2677">
        <v>140000</v>
      </c>
      <c r="AE2677">
        <v>0</v>
      </c>
      <c r="AF2677">
        <v>0</v>
      </c>
      <c r="AG2677">
        <v>0</v>
      </c>
      <c r="AH2677" t="s">
        <v>58</v>
      </c>
    </row>
    <row r="2678" spans="1:70" x14ac:dyDescent="0.3">
      <c r="A2678" t="s">
        <v>798</v>
      </c>
      <c r="B2678">
        <v>4142300032</v>
      </c>
      <c r="C2678">
        <v>107134</v>
      </c>
      <c r="D2678" t="s">
        <v>1059</v>
      </c>
      <c r="E2678" t="s">
        <v>444</v>
      </c>
      <c r="F2678" t="s">
        <v>430</v>
      </c>
      <c r="G2678" t="s">
        <v>233</v>
      </c>
      <c r="H2678" t="s">
        <v>231</v>
      </c>
      <c r="J2678" t="s">
        <v>416</v>
      </c>
      <c r="K2678" s="15">
        <v>0.18090000000000001</v>
      </c>
      <c r="M2678">
        <v>45411</v>
      </c>
      <c r="N2678" t="s">
        <v>1016</v>
      </c>
      <c r="O2678">
        <v>0</v>
      </c>
      <c r="P2678">
        <v>3276.4</v>
      </c>
      <c r="Q2678">
        <v>294135.70561100001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297412.10561100004</v>
      </c>
      <c r="Z2678">
        <v>0</v>
      </c>
      <c r="AA2678">
        <v>297412.10561100004</v>
      </c>
      <c r="AB2678" t="s">
        <v>242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 t="s">
        <v>72</v>
      </c>
    </row>
    <row r="2679" spans="1:70" x14ac:dyDescent="0.3">
      <c r="A2679" t="s">
        <v>798</v>
      </c>
      <c r="B2679">
        <v>4142300401</v>
      </c>
      <c r="C2679">
        <v>10172234</v>
      </c>
      <c r="D2679" t="s">
        <v>1060</v>
      </c>
      <c r="E2679" t="s">
        <v>445</v>
      </c>
      <c r="F2679" t="s">
        <v>430</v>
      </c>
      <c r="G2679" t="s">
        <v>237</v>
      </c>
      <c r="H2679" t="s">
        <v>234</v>
      </c>
      <c r="J2679" t="s">
        <v>416</v>
      </c>
      <c r="K2679" s="15">
        <v>0.30409999999999998</v>
      </c>
      <c r="M2679">
        <v>45411</v>
      </c>
      <c r="N2679" t="s">
        <v>1016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74769.75279719627</v>
      </c>
      <c r="Y2679">
        <v>74769.75279719627</v>
      </c>
      <c r="Z2679">
        <v>5233.8826958037398</v>
      </c>
      <c r="AA2679">
        <v>80003.635493000009</v>
      </c>
      <c r="AB2679" t="s">
        <v>242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 t="s">
        <v>72</v>
      </c>
    </row>
    <row r="2680" spans="1:70" x14ac:dyDescent="0.3">
      <c r="A2680" t="s">
        <v>798</v>
      </c>
      <c r="B2680">
        <v>4342300008</v>
      </c>
      <c r="C2680" t="s">
        <v>1058</v>
      </c>
      <c r="D2680" t="s">
        <v>1061</v>
      </c>
      <c r="E2680" t="s">
        <v>448</v>
      </c>
      <c r="F2680" t="s">
        <v>433</v>
      </c>
      <c r="G2680" t="s">
        <v>674</v>
      </c>
      <c r="H2680" t="s">
        <v>1067</v>
      </c>
      <c r="J2680" t="s">
        <v>416</v>
      </c>
      <c r="K2680" s="15">
        <v>0.28970000000000001</v>
      </c>
      <c r="M2680">
        <v>45412</v>
      </c>
      <c r="N2680" t="s">
        <v>1016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1542164.1009887853</v>
      </c>
      <c r="Y2680">
        <v>1542164.1009887853</v>
      </c>
      <c r="Z2680">
        <v>0</v>
      </c>
      <c r="AA2680">
        <v>1542164.1009887853</v>
      </c>
      <c r="AB2680" t="s">
        <v>242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 t="s">
        <v>72</v>
      </c>
    </row>
    <row r="2681" spans="1:70" x14ac:dyDescent="0.3">
      <c r="A2681" t="s">
        <v>798</v>
      </c>
      <c r="B2681">
        <v>4132301004</v>
      </c>
      <c r="C2681">
        <v>1070022920</v>
      </c>
      <c r="D2681" t="s">
        <v>790</v>
      </c>
      <c r="E2681" t="s">
        <v>441</v>
      </c>
      <c r="F2681" t="s">
        <v>430</v>
      </c>
      <c r="G2681" t="s">
        <v>233</v>
      </c>
      <c r="H2681" t="s">
        <v>231</v>
      </c>
      <c r="J2681" t="s">
        <v>52</v>
      </c>
      <c r="K2681" s="15">
        <v>2000</v>
      </c>
      <c r="M2681">
        <v>45413</v>
      </c>
      <c r="N2681" t="s">
        <v>1029</v>
      </c>
      <c r="O2681">
        <v>0</v>
      </c>
      <c r="P2681">
        <v>1470.4928720522257</v>
      </c>
      <c r="Q2681">
        <v>0</v>
      </c>
      <c r="R2681">
        <v>0</v>
      </c>
      <c r="S2681">
        <v>11663.013698630137</v>
      </c>
      <c r="T2681">
        <v>47317.296381259599</v>
      </c>
      <c r="U2681">
        <v>0</v>
      </c>
      <c r="V2681">
        <v>0</v>
      </c>
      <c r="W2681">
        <v>0</v>
      </c>
      <c r="X2681">
        <v>0</v>
      </c>
      <c r="Y2681">
        <v>60450.802951941965</v>
      </c>
      <c r="Z2681">
        <v>3312.2107466881721</v>
      </c>
      <c r="AA2681">
        <v>63763.013698630137</v>
      </c>
      <c r="AB2681" t="s">
        <v>242</v>
      </c>
      <c r="AC2681">
        <v>2</v>
      </c>
      <c r="AD2681">
        <v>12000</v>
      </c>
      <c r="AE2681">
        <v>0</v>
      </c>
      <c r="AF2681">
        <v>0</v>
      </c>
      <c r="AG2681">
        <v>613.02289817164137</v>
      </c>
      <c r="AH2681" t="s">
        <v>58</v>
      </c>
    </row>
    <row r="2682" spans="1:70" x14ac:dyDescent="0.3">
      <c r="A2682" t="s">
        <v>798</v>
      </c>
      <c r="B2682">
        <v>4142301620</v>
      </c>
      <c r="C2682">
        <v>10665498</v>
      </c>
      <c r="D2682" t="s">
        <v>762</v>
      </c>
      <c r="E2682" t="s">
        <v>446</v>
      </c>
      <c r="F2682" t="s">
        <v>430</v>
      </c>
      <c r="G2682" t="s">
        <v>237</v>
      </c>
      <c r="H2682" t="s">
        <v>234</v>
      </c>
      <c r="J2682" t="s">
        <v>52</v>
      </c>
      <c r="K2682" s="15">
        <v>1000</v>
      </c>
      <c r="M2682">
        <v>45413</v>
      </c>
      <c r="N2682" t="s">
        <v>1013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41009.345794392531</v>
      </c>
      <c r="Y2682">
        <v>41009.345794392531</v>
      </c>
      <c r="Z2682">
        <v>2870.6542056074773</v>
      </c>
      <c r="AA2682">
        <v>43880.000000000007</v>
      </c>
      <c r="AB2682" t="s">
        <v>242</v>
      </c>
      <c r="AC2682">
        <v>4</v>
      </c>
      <c r="AD2682">
        <v>7000</v>
      </c>
      <c r="AE2682">
        <v>0</v>
      </c>
      <c r="AF2682">
        <v>0</v>
      </c>
      <c r="AG2682">
        <v>457.9439252336449</v>
      </c>
      <c r="AH2682" t="s">
        <v>58</v>
      </c>
    </row>
    <row r="2683" spans="1:70" x14ac:dyDescent="0.3">
      <c r="A2683" t="s">
        <v>798</v>
      </c>
      <c r="B2683">
        <v>42201112</v>
      </c>
      <c r="C2683">
        <v>2756020075</v>
      </c>
      <c r="D2683" t="s">
        <v>929</v>
      </c>
      <c r="E2683" t="s">
        <v>439</v>
      </c>
      <c r="F2683" t="s">
        <v>430</v>
      </c>
      <c r="G2683" t="s">
        <v>419</v>
      </c>
      <c r="H2683" t="s">
        <v>234</v>
      </c>
      <c r="J2683" t="s">
        <v>52</v>
      </c>
      <c r="K2683" s="15">
        <v>9000</v>
      </c>
      <c r="M2683">
        <v>45413</v>
      </c>
      <c r="N2683" t="s">
        <v>1069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18729.355140186901</v>
      </c>
      <c r="Y2683">
        <v>18729.355140186901</v>
      </c>
      <c r="Z2683">
        <v>1311.0548598130831</v>
      </c>
      <c r="AA2683">
        <v>20040.409999999985</v>
      </c>
      <c r="AB2683" t="s">
        <v>242</v>
      </c>
      <c r="AC2683">
        <v>13</v>
      </c>
      <c r="AD2683">
        <v>107000</v>
      </c>
      <c r="AE2683">
        <v>0</v>
      </c>
      <c r="AF2683">
        <v>0</v>
      </c>
      <c r="AG2683">
        <v>6999.9999999999973</v>
      </c>
      <c r="AH2683" t="s">
        <v>58</v>
      </c>
    </row>
    <row r="2684" spans="1:70" x14ac:dyDescent="0.3">
      <c r="A2684" t="s">
        <v>798</v>
      </c>
      <c r="B2684">
        <v>4142300160</v>
      </c>
      <c r="C2684">
        <v>10044677</v>
      </c>
      <c r="D2684" t="s">
        <v>190</v>
      </c>
      <c r="E2684" t="s">
        <v>445</v>
      </c>
      <c r="F2684" t="s">
        <v>430</v>
      </c>
      <c r="G2684" t="s">
        <v>230</v>
      </c>
      <c r="H2684" t="s">
        <v>234</v>
      </c>
      <c r="J2684" t="s">
        <v>52</v>
      </c>
      <c r="K2684" s="15">
        <v>800</v>
      </c>
      <c r="M2684">
        <v>45413</v>
      </c>
      <c r="N2684" t="s">
        <v>1013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31369.728971962628</v>
      </c>
      <c r="Y2684">
        <v>31369.728971962628</v>
      </c>
      <c r="Z2684">
        <v>2195.8810280373841</v>
      </c>
      <c r="AA2684">
        <v>33565.610000000015</v>
      </c>
      <c r="AB2684" t="s">
        <v>242</v>
      </c>
      <c r="AC2684">
        <v>12</v>
      </c>
      <c r="AD2684">
        <v>53300</v>
      </c>
      <c r="AE2684">
        <v>0</v>
      </c>
      <c r="AF2684">
        <v>0</v>
      </c>
      <c r="AG2684">
        <v>3486.9158878504686</v>
      </c>
      <c r="AH2684" t="s">
        <v>58</v>
      </c>
    </row>
    <row r="2685" spans="1:70" x14ac:dyDescent="0.3">
      <c r="A2685" t="s">
        <v>798</v>
      </c>
      <c r="B2685">
        <v>4342300008</v>
      </c>
      <c r="C2685" t="s">
        <v>1058</v>
      </c>
      <c r="D2685" t="s">
        <v>1061</v>
      </c>
      <c r="E2685" t="s">
        <v>448</v>
      </c>
      <c r="F2685" t="s">
        <v>433</v>
      </c>
      <c r="G2685" t="s">
        <v>1068</v>
      </c>
      <c r="H2685" t="s">
        <v>71</v>
      </c>
      <c r="J2685" t="s">
        <v>52</v>
      </c>
      <c r="K2685" s="15">
        <v>1650000</v>
      </c>
      <c r="M2685">
        <v>45413</v>
      </c>
      <c r="N2685" t="s">
        <v>1018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1542164.1009887853</v>
      </c>
      <c r="Y2685">
        <v>1542164.1009887853</v>
      </c>
      <c r="Z2685">
        <v>0</v>
      </c>
      <c r="AA2685">
        <v>1542164.1009887853</v>
      </c>
      <c r="AB2685" t="s">
        <v>242</v>
      </c>
      <c r="AC2685">
        <v>1</v>
      </c>
      <c r="AD2685">
        <v>1650000</v>
      </c>
      <c r="AE2685">
        <v>0</v>
      </c>
      <c r="AF2685">
        <v>0</v>
      </c>
      <c r="AG2685">
        <v>0</v>
      </c>
      <c r="AH2685" t="s">
        <v>58</v>
      </c>
    </row>
    <row r="2686" spans="1:70" x14ac:dyDescent="0.3">
      <c r="A2686" t="s">
        <v>798</v>
      </c>
      <c r="B2686">
        <v>52200258</v>
      </c>
      <c r="C2686">
        <v>24848292</v>
      </c>
      <c r="D2686" t="s">
        <v>660</v>
      </c>
      <c r="E2686" t="s">
        <v>436</v>
      </c>
      <c r="F2686" t="s">
        <v>431</v>
      </c>
      <c r="G2686" t="s">
        <v>235</v>
      </c>
      <c r="H2686" t="s">
        <v>236</v>
      </c>
      <c r="J2686" t="s">
        <v>52</v>
      </c>
      <c r="K2686" s="15">
        <v>3000</v>
      </c>
      <c r="M2686">
        <v>45413</v>
      </c>
      <c r="N2686" t="s">
        <v>1013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208024.29906542058</v>
      </c>
      <c r="W2686">
        <v>0</v>
      </c>
      <c r="X2686">
        <v>0</v>
      </c>
      <c r="Y2686">
        <v>208024.29906542058</v>
      </c>
      <c r="Z2686">
        <v>14561.700934579441</v>
      </c>
      <c r="AA2686">
        <v>222586.00000000003</v>
      </c>
      <c r="AB2686" t="s">
        <v>242</v>
      </c>
      <c r="AC2686">
        <v>5</v>
      </c>
      <c r="AD2686">
        <v>11000</v>
      </c>
      <c r="AE2686">
        <v>0</v>
      </c>
      <c r="AF2686">
        <v>0</v>
      </c>
      <c r="AG2686">
        <v>717.2810661352753</v>
      </c>
      <c r="AH2686" t="s">
        <v>58</v>
      </c>
    </row>
    <row r="2687" spans="1:70" x14ac:dyDescent="0.3">
      <c r="A2687" t="s">
        <v>798</v>
      </c>
      <c r="B2687">
        <v>22200010</v>
      </c>
      <c r="C2687">
        <v>18928437</v>
      </c>
      <c r="D2687" t="s">
        <v>85</v>
      </c>
      <c r="E2687" t="s">
        <v>435</v>
      </c>
      <c r="F2687" t="s">
        <v>428</v>
      </c>
      <c r="G2687" t="s">
        <v>82</v>
      </c>
      <c r="H2687" t="s">
        <v>82</v>
      </c>
      <c r="J2687" t="s">
        <v>52</v>
      </c>
      <c r="K2687" s="15">
        <v>500</v>
      </c>
      <c r="M2687">
        <v>45413</v>
      </c>
      <c r="N2687" t="s">
        <v>1013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14569.751865506852</v>
      </c>
      <c r="W2687">
        <v>0</v>
      </c>
      <c r="X2687">
        <v>0</v>
      </c>
      <c r="Y2687">
        <v>14569.751865506852</v>
      </c>
      <c r="Z2687">
        <v>0</v>
      </c>
      <c r="AA2687">
        <v>14569.751865506852</v>
      </c>
      <c r="AB2687" t="s">
        <v>242</v>
      </c>
      <c r="AC2687">
        <v>20</v>
      </c>
      <c r="AD2687">
        <v>13500</v>
      </c>
      <c r="AE2687">
        <v>0</v>
      </c>
      <c r="AF2687">
        <v>0</v>
      </c>
      <c r="AG2687">
        <v>0</v>
      </c>
      <c r="AH2687" t="s">
        <v>58</v>
      </c>
    </row>
    <row r="2688" spans="1:70" x14ac:dyDescent="0.3">
      <c r="A2688" t="s">
        <v>798</v>
      </c>
      <c r="B2688">
        <v>52201571</v>
      </c>
      <c r="C2688">
        <v>25111736</v>
      </c>
      <c r="D2688" t="s">
        <v>161</v>
      </c>
      <c r="E2688" t="s">
        <v>438</v>
      </c>
      <c r="F2688" t="s">
        <v>431</v>
      </c>
      <c r="G2688" t="s">
        <v>82</v>
      </c>
      <c r="H2688" t="s">
        <v>83</v>
      </c>
      <c r="J2688" t="s">
        <v>52</v>
      </c>
      <c r="K2688" s="15">
        <v>1000</v>
      </c>
      <c r="M2688">
        <v>45413</v>
      </c>
      <c r="N2688" t="s">
        <v>1013</v>
      </c>
      <c r="O2688">
        <v>0</v>
      </c>
      <c r="P2688">
        <v>0</v>
      </c>
      <c r="Q2688">
        <v>0</v>
      </c>
      <c r="R2688">
        <v>809.58957754536834</v>
      </c>
      <c r="S2688">
        <v>27019.573330226285</v>
      </c>
      <c r="T2688">
        <v>0</v>
      </c>
      <c r="U2688">
        <v>0</v>
      </c>
      <c r="V2688">
        <v>52010.71595270362</v>
      </c>
      <c r="W2688">
        <v>0</v>
      </c>
      <c r="X2688">
        <v>0</v>
      </c>
      <c r="Y2688">
        <v>79839.878860475277</v>
      </c>
      <c r="Z2688">
        <v>5532.1202498050943</v>
      </c>
      <c r="AA2688">
        <v>85371.999110280376</v>
      </c>
      <c r="AB2688" t="s">
        <v>242</v>
      </c>
      <c r="AC2688">
        <v>8</v>
      </c>
      <c r="AD2688">
        <v>8000</v>
      </c>
      <c r="AE2688">
        <v>0</v>
      </c>
      <c r="AF2688">
        <v>0</v>
      </c>
      <c r="AG2688">
        <v>518.03857049362239</v>
      </c>
      <c r="AH2688" t="s">
        <v>58</v>
      </c>
    </row>
    <row r="2689" spans="1:34" x14ac:dyDescent="0.3">
      <c r="A2689" t="s">
        <v>798</v>
      </c>
      <c r="B2689">
        <v>52201352</v>
      </c>
      <c r="C2689">
        <v>26584588</v>
      </c>
      <c r="D2689" t="s">
        <v>156</v>
      </c>
      <c r="E2689" t="s">
        <v>438</v>
      </c>
      <c r="F2689" t="s">
        <v>431</v>
      </c>
      <c r="G2689" t="s">
        <v>82</v>
      </c>
      <c r="H2689" t="s">
        <v>83</v>
      </c>
      <c r="J2689" t="s">
        <v>52</v>
      </c>
      <c r="K2689" s="15">
        <v>2000</v>
      </c>
      <c r="M2689">
        <v>45413</v>
      </c>
      <c r="N2689" t="s">
        <v>1013</v>
      </c>
      <c r="O2689">
        <v>0</v>
      </c>
      <c r="P2689">
        <v>0</v>
      </c>
      <c r="Q2689">
        <v>0</v>
      </c>
      <c r="R2689">
        <v>874.22783854207137</v>
      </c>
      <c r="S2689">
        <v>31939.456250666019</v>
      </c>
      <c r="T2689">
        <v>0</v>
      </c>
      <c r="U2689">
        <v>0</v>
      </c>
      <c r="V2689">
        <v>58235.096694359752</v>
      </c>
      <c r="W2689">
        <v>0</v>
      </c>
      <c r="X2689">
        <v>0</v>
      </c>
      <c r="Y2689">
        <v>91048.78078356784</v>
      </c>
      <c r="Z2689">
        <v>6312.2187061518052</v>
      </c>
      <c r="AA2689">
        <v>97360.999489719645</v>
      </c>
      <c r="AB2689" t="s">
        <v>242</v>
      </c>
      <c r="AC2689">
        <v>7</v>
      </c>
      <c r="AD2689">
        <v>12000</v>
      </c>
      <c r="AE2689">
        <v>0</v>
      </c>
      <c r="AF2689">
        <v>0</v>
      </c>
      <c r="AG2689">
        <v>777.47284925041629</v>
      </c>
      <c r="AH2689" t="s">
        <v>58</v>
      </c>
    </row>
    <row r="2690" spans="1:34" x14ac:dyDescent="0.3">
      <c r="A2690" t="s">
        <v>798</v>
      </c>
      <c r="B2690">
        <v>4132301981</v>
      </c>
      <c r="C2690" t="s">
        <v>101</v>
      </c>
      <c r="D2690" t="s">
        <v>930</v>
      </c>
      <c r="E2690" t="s">
        <v>442</v>
      </c>
      <c r="F2690" t="s">
        <v>430</v>
      </c>
      <c r="G2690" t="s">
        <v>230</v>
      </c>
      <c r="H2690" t="s">
        <v>231</v>
      </c>
      <c r="J2690" t="s">
        <v>52</v>
      </c>
      <c r="K2690" s="15">
        <v>2000</v>
      </c>
      <c r="M2690">
        <v>45413</v>
      </c>
      <c r="N2690" t="s">
        <v>1013</v>
      </c>
      <c r="O2690">
        <v>0</v>
      </c>
      <c r="P2690">
        <v>20469.198018027226</v>
      </c>
      <c r="Q2690">
        <v>0</v>
      </c>
      <c r="R2690">
        <v>0</v>
      </c>
      <c r="S2690">
        <v>23352.81</v>
      </c>
      <c r="T2690">
        <v>5496.0766186661476</v>
      </c>
      <c r="U2690">
        <v>78504.672897196258</v>
      </c>
      <c r="V2690">
        <v>0</v>
      </c>
      <c r="W2690">
        <v>619149.53271028039</v>
      </c>
      <c r="X2690">
        <v>0</v>
      </c>
      <c r="Y2690">
        <v>746972.29024417</v>
      </c>
      <c r="Z2690">
        <v>49220.519755829999</v>
      </c>
      <c r="AA2690">
        <v>796192.81</v>
      </c>
      <c r="AB2690" t="s">
        <v>242</v>
      </c>
      <c r="AC2690">
        <v>6</v>
      </c>
      <c r="AD2690">
        <v>32000</v>
      </c>
      <c r="AE2690">
        <v>0</v>
      </c>
      <c r="AF2690">
        <v>0</v>
      </c>
      <c r="AG2690">
        <v>1970.4148236092597</v>
      </c>
      <c r="AH2690" t="s">
        <v>58</v>
      </c>
    </row>
    <row r="2691" spans="1:34" x14ac:dyDescent="0.3">
      <c r="A2691" t="s">
        <v>798</v>
      </c>
      <c r="B2691">
        <v>4142300107</v>
      </c>
      <c r="C2691">
        <v>96093</v>
      </c>
      <c r="D2691" t="s">
        <v>931</v>
      </c>
      <c r="E2691" t="s">
        <v>444</v>
      </c>
      <c r="F2691" t="s">
        <v>430</v>
      </c>
      <c r="G2691" t="s">
        <v>421</v>
      </c>
      <c r="H2691" t="s">
        <v>231</v>
      </c>
      <c r="J2691" t="s">
        <v>52</v>
      </c>
      <c r="K2691" s="15">
        <v>32000</v>
      </c>
      <c r="M2691">
        <v>45413</v>
      </c>
      <c r="N2691" t="s">
        <v>1070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 t="s">
        <v>242</v>
      </c>
      <c r="AC2691">
        <v>6</v>
      </c>
      <c r="AD2691">
        <v>240320</v>
      </c>
      <c r="AE2691">
        <v>0</v>
      </c>
      <c r="AF2691">
        <v>0</v>
      </c>
      <c r="AG2691">
        <v>15329.345794392528</v>
      </c>
      <c r="AH2691" t="s">
        <v>58</v>
      </c>
    </row>
    <row r="2692" spans="1:34" x14ac:dyDescent="0.3">
      <c r="A2692" t="s">
        <v>798</v>
      </c>
      <c r="B2692">
        <v>4142300032</v>
      </c>
      <c r="C2692">
        <v>107134</v>
      </c>
      <c r="D2692" t="s">
        <v>1059</v>
      </c>
      <c r="E2692" t="s">
        <v>444</v>
      </c>
      <c r="F2692" t="s">
        <v>430</v>
      </c>
      <c r="G2692" t="s">
        <v>233</v>
      </c>
      <c r="H2692" t="s">
        <v>231</v>
      </c>
      <c r="J2692" t="s">
        <v>52</v>
      </c>
      <c r="K2692" s="15">
        <v>40000</v>
      </c>
      <c r="M2692">
        <v>45413</v>
      </c>
      <c r="N2692" t="s">
        <v>1046</v>
      </c>
      <c r="O2692">
        <v>0</v>
      </c>
      <c r="P2692">
        <v>0</v>
      </c>
      <c r="Q2692">
        <v>257412.10561100001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257412.10561100001</v>
      </c>
      <c r="Z2692">
        <v>0</v>
      </c>
      <c r="AA2692">
        <v>257412.10561100001</v>
      </c>
      <c r="AB2692" t="s">
        <v>242</v>
      </c>
      <c r="AC2692">
        <v>1</v>
      </c>
      <c r="AD2692">
        <v>40000</v>
      </c>
      <c r="AE2692">
        <v>0</v>
      </c>
      <c r="AF2692">
        <v>0</v>
      </c>
      <c r="AG2692">
        <v>0</v>
      </c>
      <c r="AH2692" t="s">
        <v>58</v>
      </c>
    </row>
    <row r="2693" spans="1:34" x14ac:dyDescent="0.3">
      <c r="A2693" t="s">
        <v>798</v>
      </c>
      <c r="B2693">
        <v>4142300035</v>
      </c>
      <c r="C2693">
        <v>112833</v>
      </c>
      <c r="D2693" t="s">
        <v>932</v>
      </c>
      <c r="E2693" t="s">
        <v>444</v>
      </c>
      <c r="F2693" t="s">
        <v>430</v>
      </c>
      <c r="G2693" t="s">
        <v>233</v>
      </c>
      <c r="H2693" t="s">
        <v>231</v>
      </c>
      <c r="J2693" t="s">
        <v>52</v>
      </c>
      <c r="K2693" s="15">
        <v>27500</v>
      </c>
      <c r="M2693">
        <v>45413</v>
      </c>
      <c r="N2693" t="s">
        <v>1071</v>
      </c>
      <c r="O2693">
        <v>0</v>
      </c>
      <c r="P2693">
        <v>0</v>
      </c>
      <c r="Q2693">
        <v>49137.237399999998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49137.237399999998</v>
      </c>
      <c r="Z2693">
        <v>0</v>
      </c>
      <c r="AA2693">
        <v>49137.237399999998</v>
      </c>
      <c r="AB2693" t="s">
        <v>242</v>
      </c>
      <c r="AC2693">
        <v>3</v>
      </c>
      <c r="AD2693">
        <v>167500</v>
      </c>
      <c r="AE2693">
        <v>0</v>
      </c>
      <c r="AF2693">
        <v>0</v>
      </c>
      <c r="AG2693">
        <v>0</v>
      </c>
      <c r="AH2693" t="s">
        <v>58</v>
      </c>
    </row>
    <row r="2694" spans="1:34" x14ac:dyDescent="0.3">
      <c r="A2694" t="s">
        <v>798</v>
      </c>
      <c r="B2694">
        <v>4302300042</v>
      </c>
      <c r="C2694">
        <v>901012024750</v>
      </c>
      <c r="D2694" t="s">
        <v>227</v>
      </c>
      <c r="E2694" t="s">
        <v>447</v>
      </c>
      <c r="F2694" t="s">
        <v>433</v>
      </c>
      <c r="G2694" t="s">
        <v>82</v>
      </c>
      <c r="H2694" t="s">
        <v>83</v>
      </c>
      <c r="J2694" t="s">
        <v>52</v>
      </c>
      <c r="K2694" s="15">
        <v>200</v>
      </c>
      <c r="M2694">
        <v>45413</v>
      </c>
      <c r="N2694" t="s">
        <v>1013</v>
      </c>
      <c r="O2694">
        <v>0</v>
      </c>
      <c r="P2694">
        <v>0</v>
      </c>
      <c r="Q2694">
        <v>37814.274325641549</v>
      </c>
      <c r="R2694">
        <v>37265.26</v>
      </c>
      <c r="S2694">
        <v>92145.084275101341</v>
      </c>
      <c r="T2694">
        <v>0</v>
      </c>
      <c r="U2694">
        <v>0</v>
      </c>
      <c r="V2694">
        <v>553789.81999999995</v>
      </c>
      <c r="W2694">
        <v>0</v>
      </c>
      <c r="X2694">
        <v>0</v>
      </c>
      <c r="Y2694">
        <v>721014.43860074284</v>
      </c>
      <c r="Z2694">
        <v>45215.443299257095</v>
      </c>
      <c r="AA2694">
        <v>766229.88189999992</v>
      </c>
      <c r="AB2694" t="s">
        <v>242</v>
      </c>
      <c r="AC2694">
        <v>6</v>
      </c>
      <c r="AD2694">
        <v>6400</v>
      </c>
      <c r="AE2694">
        <v>0</v>
      </c>
      <c r="AF2694">
        <v>0</v>
      </c>
      <c r="AG2694">
        <v>375.07860074290579</v>
      </c>
      <c r="AH2694" t="s">
        <v>58</v>
      </c>
    </row>
    <row r="2695" spans="1:34" x14ac:dyDescent="0.3">
      <c r="A2695" t="s">
        <v>798</v>
      </c>
      <c r="B2695">
        <v>4302300043</v>
      </c>
      <c r="C2695">
        <v>901012030332</v>
      </c>
      <c r="D2695" t="s">
        <v>227</v>
      </c>
      <c r="E2695" t="s">
        <v>447</v>
      </c>
      <c r="F2695" t="s">
        <v>433</v>
      </c>
      <c r="G2695" t="s">
        <v>82</v>
      </c>
      <c r="H2695" t="s">
        <v>83</v>
      </c>
      <c r="J2695" t="s">
        <v>52</v>
      </c>
      <c r="K2695" s="15">
        <v>200</v>
      </c>
      <c r="M2695">
        <v>45413</v>
      </c>
      <c r="N2695" t="s">
        <v>1013</v>
      </c>
      <c r="O2695">
        <v>0</v>
      </c>
      <c r="P2695">
        <v>0</v>
      </c>
      <c r="Q2695">
        <v>48013.003050679865</v>
      </c>
      <c r="R2695">
        <v>41417.75</v>
      </c>
      <c r="S2695">
        <v>101554.38341057958</v>
      </c>
      <c r="T2695">
        <v>0</v>
      </c>
      <c r="U2695">
        <v>0</v>
      </c>
      <c r="V2695">
        <v>706553.99</v>
      </c>
      <c r="W2695">
        <v>0</v>
      </c>
      <c r="X2695">
        <v>0</v>
      </c>
      <c r="Y2695">
        <v>897539.12646125944</v>
      </c>
      <c r="Z2695">
        <v>56567.586138740575</v>
      </c>
      <c r="AA2695">
        <v>954106.71259999997</v>
      </c>
      <c r="AB2695" t="s">
        <v>242</v>
      </c>
      <c r="AC2695">
        <v>7</v>
      </c>
      <c r="AD2695">
        <v>13400</v>
      </c>
      <c r="AE2695">
        <v>0</v>
      </c>
      <c r="AF2695">
        <v>0</v>
      </c>
      <c r="AG2695">
        <v>789.23646125943014</v>
      </c>
      <c r="AH2695" t="s">
        <v>58</v>
      </c>
    </row>
    <row r="2696" spans="1:34" x14ac:dyDescent="0.3">
      <c r="A2696" t="s">
        <v>798</v>
      </c>
      <c r="B2696">
        <v>4302300044</v>
      </c>
      <c r="C2696">
        <v>901012030496</v>
      </c>
      <c r="D2696" t="s">
        <v>227</v>
      </c>
      <c r="E2696" t="s">
        <v>447</v>
      </c>
      <c r="F2696" t="s">
        <v>433</v>
      </c>
      <c r="G2696" t="s">
        <v>82</v>
      </c>
      <c r="H2696" t="s">
        <v>83</v>
      </c>
      <c r="J2696" t="s">
        <v>52</v>
      </c>
      <c r="K2696" s="15">
        <v>200</v>
      </c>
      <c r="M2696">
        <v>45413</v>
      </c>
      <c r="N2696" t="s">
        <v>1013</v>
      </c>
      <c r="O2696">
        <v>0</v>
      </c>
      <c r="P2696">
        <v>0</v>
      </c>
      <c r="Q2696">
        <v>49967.554723023524</v>
      </c>
      <c r="R2696">
        <v>42434.2</v>
      </c>
      <c r="S2696">
        <v>113501.82035231446</v>
      </c>
      <c r="T2696">
        <v>0</v>
      </c>
      <c r="U2696">
        <v>0</v>
      </c>
      <c r="V2696">
        <v>725754.44</v>
      </c>
      <c r="W2696">
        <v>0</v>
      </c>
      <c r="X2696">
        <v>0</v>
      </c>
      <c r="Y2696">
        <v>931658.01507533796</v>
      </c>
      <c r="Z2696">
        <v>58747.938224662015</v>
      </c>
      <c r="AA2696">
        <v>990405.95329999994</v>
      </c>
      <c r="AB2696" t="s">
        <v>242</v>
      </c>
      <c r="AC2696">
        <v>6</v>
      </c>
      <c r="AD2696">
        <v>6400</v>
      </c>
      <c r="AE2696">
        <v>0</v>
      </c>
      <c r="AF2696">
        <v>0</v>
      </c>
      <c r="AG2696">
        <v>377.15507533798774</v>
      </c>
      <c r="AH2696" t="s">
        <v>58</v>
      </c>
    </row>
    <row r="2697" spans="1:34" x14ac:dyDescent="0.3">
      <c r="A2697" t="s">
        <v>798</v>
      </c>
      <c r="B2697">
        <v>4302300045</v>
      </c>
      <c r="C2697">
        <v>901012030501</v>
      </c>
      <c r="D2697" t="s">
        <v>227</v>
      </c>
      <c r="E2697" t="s">
        <v>447</v>
      </c>
      <c r="F2697" t="s">
        <v>433</v>
      </c>
      <c r="G2697" t="s">
        <v>82</v>
      </c>
      <c r="H2697" t="s">
        <v>83</v>
      </c>
      <c r="J2697" t="s">
        <v>52</v>
      </c>
      <c r="K2697" s="15">
        <v>200</v>
      </c>
      <c r="M2697">
        <v>45413</v>
      </c>
      <c r="N2697" t="s">
        <v>1013</v>
      </c>
      <c r="O2697">
        <v>0</v>
      </c>
      <c r="P2697">
        <v>0</v>
      </c>
      <c r="Q2697">
        <v>49615.699486431135</v>
      </c>
      <c r="R2697">
        <v>42537.96</v>
      </c>
      <c r="S2697">
        <v>113667.44861081203</v>
      </c>
      <c r="T2697">
        <v>0</v>
      </c>
      <c r="U2697">
        <v>0</v>
      </c>
      <c r="V2697">
        <v>727221.82</v>
      </c>
      <c r="W2697">
        <v>0</v>
      </c>
      <c r="X2697">
        <v>0</v>
      </c>
      <c r="Y2697">
        <v>933042.92809724319</v>
      </c>
      <c r="Z2697">
        <v>58862.248802756847</v>
      </c>
      <c r="AA2697">
        <v>991905.17690000008</v>
      </c>
      <c r="AB2697" t="s">
        <v>242</v>
      </c>
      <c r="AC2697">
        <v>6</v>
      </c>
      <c r="AD2697">
        <v>6400</v>
      </c>
      <c r="AE2697">
        <v>0</v>
      </c>
      <c r="AF2697">
        <v>0</v>
      </c>
      <c r="AG2697">
        <v>377.32809724315763</v>
      </c>
      <c r="AH2697" t="s">
        <v>58</v>
      </c>
    </row>
    <row r="2698" spans="1:34" x14ac:dyDescent="0.3">
      <c r="A2698" t="s">
        <v>798</v>
      </c>
      <c r="B2698">
        <v>4302300047</v>
      </c>
      <c r="C2698">
        <v>901012034728</v>
      </c>
      <c r="D2698" t="s">
        <v>227</v>
      </c>
      <c r="E2698" t="s">
        <v>447</v>
      </c>
      <c r="F2698" t="s">
        <v>433</v>
      </c>
      <c r="G2698" t="s">
        <v>82</v>
      </c>
      <c r="H2698" t="s">
        <v>83</v>
      </c>
      <c r="J2698" t="s">
        <v>52</v>
      </c>
      <c r="K2698" s="15">
        <v>3000</v>
      </c>
      <c r="M2698">
        <v>45413</v>
      </c>
      <c r="N2698" t="s">
        <v>1013</v>
      </c>
      <c r="O2698">
        <v>0</v>
      </c>
      <c r="P2698">
        <v>0</v>
      </c>
      <c r="Q2698">
        <v>49791.851343862174</v>
      </c>
      <c r="R2698">
        <v>45094.06</v>
      </c>
      <c r="S2698">
        <v>99047.376874895155</v>
      </c>
      <c r="T2698">
        <v>0</v>
      </c>
      <c r="U2698">
        <v>0</v>
      </c>
      <c r="V2698">
        <v>745073.02</v>
      </c>
      <c r="W2698">
        <v>0</v>
      </c>
      <c r="X2698">
        <v>0</v>
      </c>
      <c r="Y2698">
        <v>939006.30821875739</v>
      </c>
      <c r="Z2698">
        <v>59088.427781242666</v>
      </c>
      <c r="AA2698">
        <v>998094.73600000003</v>
      </c>
      <c r="AB2698" t="s">
        <v>242</v>
      </c>
      <c r="AC2698">
        <v>7</v>
      </c>
      <c r="AD2698">
        <v>22000</v>
      </c>
      <c r="AE2698">
        <v>0</v>
      </c>
      <c r="AF2698">
        <v>0</v>
      </c>
      <c r="AG2698">
        <v>1293.6982187573387</v>
      </c>
      <c r="AH2698" t="s">
        <v>58</v>
      </c>
    </row>
    <row r="2699" spans="1:34" x14ac:dyDescent="0.3">
      <c r="A2699" t="s">
        <v>798</v>
      </c>
      <c r="B2699">
        <v>4302300046</v>
      </c>
      <c r="C2699">
        <v>901012034713</v>
      </c>
      <c r="D2699" t="s">
        <v>227</v>
      </c>
      <c r="E2699" t="s">
        <v>447</v>
      </c>
      <c r="F2699" t="s">
        <v>433</v>
      </c>
      <c r="G2699" t="s">
        <v>82</v>
      </c>
      <c r="H2699" t="s">
        <v>83</v>
      </c>
      <c r="J2699" t="s">
        <v>52</v>
      </c>
      <c r="K2699" s="15">
        <v>3000</v>
      </c>
      <c r="M2699">
        <v>45413</v>
      </c>
      <c r="N2699" t="s">
        <v>1013</v>
      </c>
      <c r="O2699">
        <v>0</v>
      </c>
      <c r="P2699">
        <v>0</v>
      </c>
      <c r="Q2699">
        <v>50241.776330737397</v>
      </c>
      <c r="R2699">
        <v>46050.97</v>
      </c>
      <c r="S2699">
        <v>99801.613335759466</v>
      </c>
      <c r="T2699">
        <v>0</v>
      </c>
      <c r="U2699">
        <v>0</v>
      </c>
      <c r="V2699">
        <v>750980.5</v>
      </c>
      <c r="W2699">
        <v>0</v>
      </c>
      <c r="X2699">
        <v>0</v>
      </c>
      <c r="Y2699">
        <v>947074.85966649686</v>
      </c>
      <c r="Z2699">
        <v>59554.747933503168</v>
      </c>
      <c r="AA2699">
        <v>1006629.6076</v>
      </c>
      <c r="AB2699" t="s">
        <v>242</v>
      </c>
      <c r="AC2699">
        <v>7</v>
      </c>
      <c r="AD2699">
        <v>22000</v>
      </c>
      <c r="AE2699">
        <v>0</v>
      </c>
      <c r="AF2699">
        <v>0</v>
      </c>
      <c r="AG2699">
        <v>1292.7996664968391</v>
      </c>
      <c r="AH2699" t="s">
        <v>58</v>
      </c>
    </row>
    <row r="2700" spans="1:34" x14ac:dyDescent="0.3">
      <c r="A2700" t="s">
        <v>798</v>
      </c>
      <c r="B2700">
        <v>4142300201</v>
      </c>
      <c r="C2700">
        <v>10077114</v>
      </c>
      <c r="D2700" t="s">
        <v>193</v>
      </c>
      <c r="E2700" t="s">
        <v>445</v>
      </c>
      <c r="F2700" t="s">
        <v>430</v>
      </c>
      <c r="G2700" t="s">
        <v>237</v>
      </c>
      <c r="H2700" t="s">
        <v>234</v>
      </c>
      <c r="J2700" t="s">
        <v>52</v>
      </c>
      <c r="K2700" s="15">
        <v>4000</v>
      </c>
      <c r="M2700">
        <v>45413</v>
      </c>
      <c r="N2700" t="s">
        <v>1029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25438.95327102804</v>
      </c>
      <c r="Y2700">
        <v>25438.95327102804</v>
      </c>
      <c r="Z2700">
        <v>1780.726728971963</v>
      </c>
      <c r="AA2700">
        <v>27219.680000000004</v>
      </c>
      <c r="AB2700" t="s">
        <v>242</v>
      </c>
      <c r="AC2700">
        <v>6</v>
      </c>
      <c r="AD2700">
        <v>21000</v>
      </c>
      <c r="AE2700">
        <v>0</v>
      </c>
      <c r="AF2700">
        <v>0</v>
      </c>
      <c r="AG2700">
        <v>1373.8317757009354</v>
      </c>
      <c r="AH2700" t="s">
        <v>58</v>
      </c>
    </row>
    <row r="2701" spans="1:34" x14ac:dyDescent="0.3">
      <c r="A2701" t="s">
        <v>798</v>
      </c>
      <c r="B2701">
        <v>4142301414</v>
      </c>
      <c r="C2701">
        <v>10460887</v>
      </c>
      <c r="D2701" t="s">
        <v>787</v>
      </c>
      <c r="E2701" t="s">
        <v>446</v>
      </c>
      <c r="F2701" t="s">
        <v>430</v>
      </c>
      <c r="G2701" t="s">
        <v>230</v>
      </c>
      <c r="H2701" t="s">
        <v>234</v>
      </c>
      <c r="J2701" t="s">
        <v>52</v>
      </c>
      <c r="K2701" s="15">
        <v>4000</v>
      </c>
      <c r="M2701">
        <v>45413</v>
      </c>
      <c r="N2701" t="s">
        <v>1029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197942.65740622196</v>
      </c>
      <c r="Y2701">
        <v>197942.65740622196</v>
      </c>
      <c r="Z2701">
        <v>13855.986018435538</v>
      </c>
      <c r="AA2701">
        <v>211798.64342465749</v>
      </c>
      <c r="AB2701" t="s">
        <v>242</v>
      </c>
      <c r="AC2701">
        <v>2</v>
      </c>
      <c r="AD2701">
        <v>8000</v>
      </c>
      <c r="AE2701">
        <v>0</v>
      </c>
      <c r="AF2701">
        <v>0</v>
      </c>
      <c r="AG2701">
        <v>523.36448598130846</v>
      </c>
      <c r="AH2701" t="s">
        <v>58</v>
      </c>
    </row>
    <row r="2702" spans="1:34" x14ac:dyDescent="0.3">
      <c r="A2702" t="s">
        <v>798</v>
      </c>
      <c r="B2702">
        <v>52200785</v>
      </c>
      <c r="C2702">
        <v>27452061</v>
      </c>
      <c r="D2702" t="s">
        <v>1062</v>
      </c>
      <c r="E2702" t="s">
        <v>438</v>
      </c>
      <c r="F2702" t="s">
        <v>431</v>
      </c>
      <c r="G2702" t="s">
        <v>82</v>
      </c>
      <c r="H2702" t="s">
        <v>83</v>
      </c>
      <c r="J2702" t="s">
        <v>52</v>
      </c>
      <c r="K2702" s="15">
        <v>5000</v>
      </c>
      <c r="M2702">
        <v>45413</v>
      </c>
      <c r="N2702" t="s">
        <v>1029</v>
      </c>
      <c r="O2702">
        <v>0</v>
      </c>
      <c r="P2702">
        <v>0</v>
      </c>
      <c r="Q2702">
        <v>0</v>
      </c>
      <c r="R2702">
        <v>840.94559173167534</v>
      </c>
      <c r="S2702">
        <v>29513.418114744702</v>
      </c>
      <c r="T2702">
        <v>0</v>
      </c>
      <c r="U2702">
        <v>0</v>
      </c>
      <c r="V2702">
        <v>53972.614364624671</v>
      </c>
      <c r="W2702">
        <v>0</v>
      </c>
      <c r="X2702">
        <v>0</v>
      </c>
      <c r="Y2702">
        <v>84326.978071101039</v>
      </c>
      <c r="Z2702">
        <v>5844.0222735558564</v>
      </c>
      <c r="AA2702">
        <v>90171.000344656903</v>
      </c>
      <c r="AB2702" t="s">
        <v>242</v>
      </c>
      <c r="AC2702">
        <v>1</v>
      </c>
      <c r="AD2702">
        <v>5000</v>
      </c>
      <c r="AE2702">
        <v>0</v>
      </c>
      <c r="AF2702">
        <v>0</v>
      </c>
      <c r="AG2702">
        <v>323.82821628151123</v>
      </c>
      <c r="AH2702" t="s">
        <v>72</v>
      </c>
    </row>
    <row r="2703" spans="1:34" x14ac:dyDescent="0.3">
      <c r="A2703" t="s">
        <v>798</v>
      </c>
      <c r="B2703">
        <v>42201150</v>
      </c>
      <c r="C2703">
        <v>2758020463</v>
      </c>
      <c r="D2703" t="s">
        <v>933</v>
      </c>
      <c r="E2703" t="s">
        <v>439</v>
      </c>
      <c r="F2703" t="s">
        <v>430</v>
      </c>
      <c r="G2703" t="s">
        <v>230</v>
      </c>
      <c r="H2703" t="s">
        <v>234</v>
      </c>
      <c r="J2703" t="s">
        <v>52</v>
      </c>
      <c r="K2703" s="15">
        <v>10000</v>
      </c>
      <c r="M2703">
        <v>45413</v>
      </c>
      <c r="N2703" t="s">
        <v>1029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275552.68224299076</v>
      </c>
      <c r="Y2703">
        <v>275552.68224299076</v>
      </c>
      <c r="Z2703">
        <v>19288.687757009357</v>
      </c>
      <c r="AA2703">
        <v>294841.37000000011</v>
      </c>
      <c r="AB2703" t="s">
        <v>242</v>
      </c>
      <c r="AC2703">
        <v>14</v>
      </c>
      <c r="AD2703">
        <v>120000</v>
      </c>
      <c r="AE2703">
        <v>0</v>
      </c>
      <c r="AF2703">
        <v>0</v>
      </c>
      <c r="AG2703">
        <v>7850.4672897196215</v>
      </c>
      <c r="AH2703" t="s">
        <v>58</v>
      </c>
    </row>
    <row r="2704" spans="1:34" x14ac:dyDescent="0.3">
      <c r="A2704" t="s">
        <v>798</v>
      </c>
      <c r="B2704">
        <v>4142300401</v>
      </c>
      <c r="C2704">
        <v>10172234</v>
      </c>
      <c r="D2704" t="s">
        <v>1060</v>
      </c>
      <c r="E2704" t="s">
        <v>445</v>
      </c>
      <c r="F2704" t="s">
        <v>430</v>
      </c>
      <c r="G2704" t="s">
        <v>237</v>
      </c>
      <c r="H2704" t="s">
        <v>234</v>
      </c>
      <c r="J2704" t="s">
        <v>52</v>
      </c>
      <c r="K2704" s="15">
        <v>30000</v>
      </c>
      <c r="M2704">
        <v>45413</v>
      </c>
      <c r="N2704" t="s">
        <v>1043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46732.369619626174</v>
      </c>
      <c r="Y2704">
        <v>46732.369619626174</v>
      </c>
      <c r="Z2704">
        <v>3271.2658733738326</v>
      </c>
      <c r="AA2704">
        <v>50003.635493000009</v>
      </c>
      <c r="AB2704" t="s">
        <v>242</v>
      </c>
      <c r="AC2704">
        <v>1</v>
      </c>
      <c r="AD2704">
        <v>30000</v>
      </c>
      <c r="AE2704">
        <v>0</v>
      </c>
      <c r="AF2704">
        <v>0</v>
      </c>
      <c r="AG2704">
        <v>1962.6168224299072</v>
      </c>
      <c r="AH2704" t="s">
        <v>58</v>
      </c>
    </row>
    <row r="2705" spans="1:34" x14ac:dyDescent="0.3">
      <c r="A2705" t="s">
        <v>798</v>
      </c>
      <c r="B2705">
        <v>42200856</v>
      </c>
      <c r="C2705">
        <v>2757002330</v>
      </c>
      <c r="D2705" t="s">
        <v>934</v>
      </c>
      <c r="E2705" t="s">
        <v>439</v>
      </c>
      <c r="F2705" t="s">
        <v>430</v>
      </c>
      <c r="G2705" t="s">
        <v>233</v>
      </c>
      <c r="H2705" t="s">
        <v>234</v>
      </c>
      <c r="J2705" t="s">
        <v>52</v>
      </c>
      <c r="K2705" s="15">
        <v>500</v>
      </c>
      <c r="M2705">
        <v>45413</v>
      </c>
      <c r="N2705" t="s">
        <v>1013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32563.990654205598</v>
      </c>
      <c r="Y2705">
        <v>32563.990654205598</v>
      </c>
      <c r="Z2705">
        <v>2279.479345794392</v>
      </c>
      <c r="AA2705">
        <v>34843.469999999987</v>
      </c>
      <c r="AB2705" t="s">
        <v>242</v>
      </c>
      <c r="AC2705">
        <v>11</v>
      </c>
      <c r="AD2705">
        <v>5500</v>
      </c>
      <c r="AE2705">
        <v>0</v>
      </c>
      <c r="AF2705">
        <v>0</v>
      </c>
      <c r="AG2705">
        <v>359.81308411214957</v>
      </c>
      <c r="AH2705" t="s">
        <v>58</v>
      </c>
    </row>
    <row r="2706" spans="1:34" x14ac:dyDescent="0.3">
      <c r="A2706" t="s">
        <v>798</v>
      </c>
      <c r="B2706">
        <v>4232300098</v>
      </c>
      <c r="C2706">
        <v>111655</v>
      </c>
      <c r="D2706" t="s">
        <v>763</v>
      </c>
      <c r="E2706" t="s">
        <v>443</v>
      </c>
      <c r="F2706" t="s">
        <v>431</v>
      </c>
      <c r="G2706" t="s">
        <v>230</v>
      </c>
      <c r="H2706" t="s">
        <v>231</v>
      </c>
      <c r="J2706" t="s">
        <v>52</v>
      </c>
      <c r="K2706" s="15">
        <v>16000</v>
      </c>
      <c r="M2706">
        <v>45413</v>
      </c>
      <c r="N2706" t="s">
        <v>1029</v>
      </c>
      <c r="O2706">
        <v>0</v>
      </c>
      <c r="P2706">
        <v>14193.338477545976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466479.12291818124</v>
      </c>
      <c r="X2706">
        <v>0</v>
      </c>
      <c r="Y2706">
        <v>480672.46139572724</v>
      </c>
      <c r="Z2706">
        <v>32653.53860427269</v>
      </c>
      <c r="AA2706">
        <v>513325.99999999994</v>
      </c>
      <c r="AB2706" t="s">
        <v>242</v>
      </c>
      <c r="AC2706">
        <v>5</v>
      </c>
      <c r="AD2706">
        <v>148000</v>
      </c>
      <c r="AE2706">
        <v>0</v>
      </c>
      <c r="AF2706">
        <v>0</v>
      </c>
      <c r="AG2706">
        <v>9393.0408349796398</v>
      </c>
      <c r="AH2706" t="s">
        <v>58</v>
      </c>
    </row>
    <row r="2707" spans="1:34" x14ac:dyDescent="0.3">
      <c r="A2707" t="s">
        <v>798</v>
      </c>
      <c r="B2707">
        <v>4142300720</v>
      </c>
      <c r="C2707">
        <v>10326408</v>
      </c>
      <c r="D2707" t="s">
        <v>205</v>
      </c>
      <c r="E2707" t="s">
        <v>445</v>
      </c>
      <c r="F2707" t="s">
        <v>430</v>
      </c>
      <c r="G2707" t="s">
        <v>230</v>
      </c>
      <c r="H2707" t="s">
        <v>234</v>
      </c>
      <c r="J2707" t="s">
        <v>52</v>
      </c>
      <c r="K2707" s="15">
        <v>5000</v>
      </c>
      <c r="M2707">
        <v>45413</v>
      </c>
      <c r="N2707" t="s">
        <v>1013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487675.32710280374</v>
      </c>
      <c r="Y2707">
        <v>487675.32710280374</v>
      </c>
      <c r="Z2707">
        <v>34137.272897196264</v>
      </c>
      <c r="AA2707">
        <v>521812.6</v>
      </c>
      <c r="AB2707" t="s">
        <v>242</v>
      </c>
      <c r="AC2707">
        <v>9</v>
      </c>
      <c r="AD2707">
        <v>45000</v>
      </c>
      <c r="AE2707">
        <v>0</v>
      </c>
      <c r="AF2707">
        <v>0</v>
      </c>
      <c r="AG2707">
        <v>2943.9252336448581</v>
      </c>
      <c r="AH2707" t="s">
        <v>58</v>
      </c>
    </row>
    <row r="2708" spans="1:34" x14ac:dyDescent="0.3">
      <c r="A2708" t="s">
        <v>798</v>
      </c>
      <c r="B2708">
        <v>52200024</v>
      </c>
      <c r="C2708">
        <v>25429489</v>
      </c>
      <c r="D2708" t="s">
        <v>769</v>
      </c>
      <c r="E2708" t="s">
        <v>435</v>
      </c>
      <c r="F2708" t="s">
        <v>431</v>
      </c>
      <c r="G2708" t="s">
        <v>230</v>
      </c>
      <c r="H2708" t="s">
        <v>231</v>
      </c>
      <c r="J2708" t="s">
        <v>52</v>
      </c>
      <c r="K2708" s="15">
        <v>3000</v>
      </c>
      <c r="M2708">
        <v>45413</v>
      </c>
      <c r="N2708" t="s">
        <v>1029</v>
      </c>
      <c r="O2708">
        <v>2509.9867571685327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2327.1151802163231</v>
      </c>
      <c r="V2708">
        <v>0</v>
      </c>
      <c r="W2708">
        <v>140186.91588785045</v>
      </c>
      <c r="X2708">
        <v>0</v>
      </c>
      <c r="Y2708">
        <v>145024.01782523532</v>
      </c>
      <c r="Z2708">
        <v>9975.9821747646747</v>
      </c>
      <c r="AA2708">
        <v>155000</v>
      </c>
      <c r="AB2708" t="s">
        <v>242</v>
      </c>
      <c r="AC2708">
        <v>2</v>
      </c>
      <c r="AD2708">
        <v>28000</v>
      </c>
      <c r="AE2708">
        <v>0</v>
      </c>
      <c r="AF2708">
        <v>0</v>
      </c>
      <c r="AG2708">
        <v>1799.7187598147634</v>
      </c>
      <c r="AH2708" t="s">
        <v>58</v>
      </c>
    </row>
    <row r="2709" spans="1:34" x14ac:dyDescent="0.3">
      <c r="A2709" t="s">
        <v>798</v>
      </c>
      <c r="B2709">
        <v>4142300794</v>
      </c>
      <c r="C2709">
        <v>10379208</v>
      </c>
      <c r="D2709" t="s">
        <v>209</v>
      </c>
      <c r="E2709" t="s">
        <v>445</v>
      </c>
      <c r="F2709" t="s">
        <v>430</v>
      </c>
      <c r="G2709" t="s">
        <v>230</v>
      </c>
      <c r="H2709" t="s">
        <v>234</v>
      </c>
      <c r="J2709" t="s">
        <v>52</v>
      </c>
      <c r="K2709" s="15">
        <v>12000</v>
      </c>
      <c r="M2709">
        <v>45413</v>
      </c>
      <c r="N2709" t="s">
        <v>1072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395420.81308411201</v>
      </c>
      <c r="Y2709">
        <v>395420.81308411201</v>
      </c>
      <c r="Z2709">
        <v>27679.456915887844</v>
      </c>
      <c r="AA2709">
        <v>423100.26999999984</v>
      </c>
      <c r="AB2709" t="s">
        <v>242</v>
      </c>
      <c r="AC2709">
        <v>9</v>
      </c>
      <c r="AD2709">
        <v>125000</v>
      </c>
      <c r="AE2709">
        <v>0</v>
      </c>
      <c r="AF2709">
        <v>0</v>
      </c>
      <c r="AG2709">
        <v>8177.5700934579481</v>
      </c>
      <c r="AH2709" t="s">
        <v>58</v>
      </c>
    </row>
    <row r="2710" spans="1:34" x14ac:dyDescent="0.3">
      <c r="A2710" t="s">
        <v>798</v>
      </c>
      <c r="B2710">
        <v>52200024</v>
      </c>
      <c r="C2710">
        <v>25429489</v>
      </c>
      <c r="D2710" t="s">
        <v>769</v>
      </c>
      <c r="E2710" t="s">
        <v>435</v>
      </c>
      <c r="F2710" t="s">
        <v>431</v>
      </c>
      <c r="G2710" t="s">
        <v>230</v>
      </c>
      <c r="H2710" t="s">
        <v>231</v>
      </c>
      <c r="J2710" t="s">
        <v>52</v>
      </c>
      <c r="K2710" s="15">
        <v>500</v>
      </c>
      <c r="M2710">
        <v>45413</v>
      </c>
      <c r="N2710" t="s">
        <v>1029</v>
      </c>
      <c r="O2710">
        <v>2501.3330638189482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1867.9130244682713</v>
      </c>
      <c r="V2710">
        <v>0</v>
      </c>
      <c r="W2710">
        <v>140186.91588785045</v>
      </c>
      <c r="X2710">
        <v>0</v>
      </c>
      <c r="Y2710">
        <v>144556.16197613766</v>
      </c>
      <c r="Z2710">
        <v>9943.8380238623104</v>
      </c>
      <c r="AA2710">
        <v>154499.99999999997</v>
      </c>
      <c r="AB2710" t="s">
        <v>242</v>
      </c>
      <c r="AC2710">
        <v>3</v>
      </c>
      <c r="AD2710">
        <v>28500</v>
      </c>
      <c r="AE2710">
        <v>0</v>
      </c>
      <c r="AF2710">
        <v>0</v>
      </c>
      <c r="AG2710">
        <v>1831.8629107171271</v>
      </c>
      <c r="AH2710" t="s">
        <v>58</v>
      </c>
    </row>
    <row r="2711" spans="1:34" x14ac:dyDescent="0.3">
      <c r="A2711" t="s">
        <v>798</v>
      </c>
      <c r="B2711">
        <v>4142300274</v>
      </c>
      <c r="C2711">
        <v>10118963</v>
      </c>
      <c r="D2711" t="s">
        <v>796</v>
      </c>
      <c r="E2711" t="s">
        <v>445</v>
      </c>
      <c r="F2711" t="s">
        <v>430</v>
      </c>
      <c r="G2711" t="s">
        <v>230</v>
      </c>
      <c r="H2711" t="s">
        <v>234</v>
      </c>
      <c r="J2711" t="s">
        <v>52</v>
      </c>
      <c r="K2711" s="15">
        <v>4000</v>
      </c>
      <c r="M2711">
        <v>45413</v>
      </c>
      <c r="N2711" t="s">
        <v>1013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480085.523364486</v>
      </c>
      <c r="Y2711">
        <v>480085.523364486</v>
      </c>
      <c r="Z2711">
        <v>33605.986635514026</v>
      </c>
      <c r="AA2711">
        <v>513691.51</v>
      </c>
      <c r="AB2711" t="s">
        <v>242</v>
      </c>
      <c r="AC2711">
        <v>2</v>
      </c>
      <c r="AD2711">
        <v>9500</v>
      </c>
      <c r="AE2711">
        <v>0</v>
      </c>
      <c r="AF2711">
        <v>0</v>
      </c>
      <c r="AG2711">
        <v>621.49532710280346</v>
      </c>
      <c r="AH2711" t="s">
        <v>58</v>
      </c>
    </row>
    <row r="2712" spans="1:34" x14ac:dyDescent="0.3">
      <c r="A2712" t="s">
        <v>798</v>
      </c>
      <c r="B2712">
        <v>4312300003</v>
      </c>
      <c r="C2712" t="s">
        <v>63</v>
      </c>
      <c r="D2712" t="s">
        <v>935</v>
      </c>
      <c r="E2712" t="s">
        <v>448</v>
      </c>
      <c r="F2712" t="s">
        <v>433</v>
      </c>
      <c r="G2712" t="s">
        <v>82</v>
      </c>
      <c r="H2712" t="s">
        <v>71</v>
      </c>
      <c r="J2712" t="s">
        <v>52</v>
      </c>
      <c r="K2712" s="15">
        <v>20000</v>
      </c>
      <c r="M2712">
        <v>45413</v>
      </c>
      <c r="N2712" t="s">
        <v>1029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211331.00000000003</v>
      </c>
      <c r="Y2712">
        <v>211331.00000000003</v>
      </c>
      <c r="Z2712">
        <v>14793.170000000004</v>
      </c>
      <c r="AA2712">
        <v>226124.17000000004</v>
      </c>
      <c r="AB2712" t="s">
        <v>242</v>
      </c>
      <c r="AC2712">
        <v>5</v>
      </c>
      <c r="AD2712">
        <v>100000</v>
      </c>
      <c r="AE2712">
        <v>0</v>
      </c>
      <c r="AF2712">
        <v>0</v>
      </c>
      <c r="AG2712">
        <v>6542.0560747663512</v>
      </c>
      <c r="AH2712" t="s">
        <v>58</v>
      </c>
    </row>
    <row r="2713" spans="1:34" x14ac:dyDescent="0.3">
      <c r="A2713" t="s">
        <v>798</v>
      </c>
      <c r="B2713">
        <v>4312300013</v>
      </c>
      <c r="C2713" t="s">
        <v>67</v>
      </c>
      <c r="D2713" t="s">
        <v>936</v>
      </c>
      <c r="E2713" t="s">
        <v>448</v>
      </c>
      <c r="F2713" t="s">
        <v>433</v>
      </c>
      <c r="G2713" t="s">
        <v>82</v>
      </c>
      <c r="H2713" t="s">
        <v>71</v>
      </c>
      <c r="J2713" t="s">
        <v>52</v>
      </c>
      <c r="K2713" s="15">
        <v>10000</v>
      </c>
      <c r="M2713">
        <v>45413</v>
      </c>
      <c r="N2713" t="s">
        <v>1013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1796133.0000000002</v>
      </c>
      <c r="Y2713">
        <v>1796133.0000000002</v>
      </c>
      <c r="Z2713">
        <v>125729.31000000003</v>
      </c>
      <c r="AA2713">
        <v>1921862.3100000003</v>
      </c>
      <c r="AB2713" t="s">
        <v>242</v>
      </c>
      <c r="AC2713">
        <v>4</v>
      </c>
      <c r="AD2713">
        <v>77500</v>
      </c>
      <c r="AE2713">
        <v>0</v>
      </c>
      <c r="AF2713">
        <v>0</v>
      </c>
      <c r="AG2713">
        <v>5070.0934579439254</v>
      </c>
      <c r="AH2713" t="s">
        <v>58</v>
      </c>
    </row>
    <row r="2714" spans="1:34" x14ac:dyDescent="0.3">
      <c r="A2714" t="s">
        <v>798</v>
      </c>
      <c r="B2714">
        <v>4312300014</v>
      </c>
      <c r="C2714" t="s">
        <v>69</v>
      </c>
      <c r="D2714" t="s">
        <v>936</v>
      </c>
      <c r="E2714" t="s">
        <v>448</v>
      </c>
      <c r="F2714" t="s">
        <v>433</v>
      </c>
      <c r="G2714" t="s">
        <v>82</v>
      </c>
      <c r="H2714" t="s">
        <v>71</v>
      </c>
      <c r="J2714" t="s">
        <v>52</v>
      </c>
      <c r="K2714" s="15">
        <v>10000</v>
      </c>
      <c r="M2714">
        <v>45413</v>
      </c>
      <c r="N2714" t="s">
        <v>1013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1821116.0934579442</v>
      </c>
      <c r="Y2714">
        <v>1821116.0934579442</v>
      </c>
      <c r="Z2714">
        <v>127478.12654205611</v>
      </c>
      <c r="AA2714">
        <v>1948594.2200000004</v>
      </c>
      <c r="AB2714" t="s">
        <v>242</v>
      </c>
      <c r="AC2714">
        <v>4</v>
      </c>
      <c r="AD2714">
        <v>77500</v>
      </c>
      <c r="AE2714">
        <v>0</v>
      </c>
      <c r="AF2714">
        <v>0</v>
      </c>
      <c r="AG2714">
        <v>5070.0934579439254</v>
      </c>
      <c r="AH2714" t="s">
        <v>58</v>
      </c>
    </row>
    <row r="2715" spans="1:34" x14ac:dyDescent="0.3">
      <c r="A2715" t="s">
        <v>798</v>
      </c>
      <c r="B2715">
        <v>4312300011</v>
      </c>
      <c r="C2715" t="s">
        <v>70</v>
      </c>
      <c r="D2715" t="s">
        <v>935</v>
      </c>
      <c r="E2715" t="s">
        <v>448</v>
      </c>
      <c r="F2715" t="s">
        <v>433</v>
      </c>
      <c r="G2715" t="s">
        <v>82</v>
      </c>
      <c r="H2715" t="s">
        <v>71</v>
      </c>
      <c r="J2715" t="s">
        <v>52</v>
      </c>
      <c r="K2715" s="15">
        <v>20000</v>
      </c>
      <c r="M2715">
        <v>45413</v>
      </c>
      <c r="N2715" t="s">
        <v>1029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241600.93457943929</v>
      </c>
      <c r="Y2715">
        <v>241600.93457943929</v>
      </c>
      <c r="Z2715">
        <v>16912.065420560753</v>
      </c>
      <c r="AA2715">
        <v>258513.00000000003</v>
      </c>
      <c r="AB2715" t="s">
        <v>242</v>
      </c>
      <c r="AC2715">
        <v>6</v>
      </c>
      <c r="AD2715">
        <v>133000</v>
      </c>
      <c r="AE2715">
        <v>0</v>
      </c>
      <c r="AF2715">
        <v>0</v>
      </c>
      <c r="AG2715">
        <v>8700.9345794392502</v>
      </c>
      <c r="AH2715" t="s">
        <v>58</v>
      </c>
    </row>
    <row r="2716" spans="1:34" x14ac:dyDescent="0.3">
      <c r="A2716" t="s">
        <v>798</v>
      </c>
      <c r="B2716">
        <v>4132301734</v>
      </c>
      <c r="C2716" t="s">
        <v>685</v>
      </c>
      <c r="D2716" t="s">
        <v>937</v>
      </c>
      <c r="E2716" t="s">
        <v>442</v>
      </c>
      <c r="F2716" t="s">
        <v>430</v>
      </c>
      <c r="G2716" t="s">
        <v>230</v>
      </c>
      <c r="H2716" t="s">
        <v>231</v>
      </c>
      <c r="J2716" t="s">
        <v>52</v>
      </c>
      <c r="K2716" s="15">
        <v>3000</v>
      </c>
      <c r="M2716">
        <v>45413</v>
      </c>
      <c r="N2716" t="s">
        <v>1013</v>
      </c>
      <c r="O2716">
        <v>0</v>
      </c>
      <c r="P2716">
        <v>15312.045347715139</v>
      </c>
      <c r="Q2716">
        <v>0</v>
      </c>
      <c r="R2716">
        <v>0</v>
      </c>
      <c r="S2716">
        <v>28938.33</v>
      </c>
      <c r="T2716">
        <v>46470.985656340992</v>
      </c>
      <c r="U2716">
        <v>33644.859813084113</v>
      </c>
      <c r="V2716">
        <v>0</v>
      </c>
      <c r="W2716">
        <v>548442.05607476633</v>
      </c>
      <c r="X2716">
        <v>0</v>
      </c>
      <c r="Y2716">
        <v>672808.27689190651</v>
      </c>
      <c r="Z2716">
        <v>43999.053108093402</v>
      </c>
      <c r="AA2716">
        <v>716807.33</v>
      </c>
      <c r="AB2716" t="s">
        <v>242</v>
      </c>
      <c r="AC2716">
        <v>3</v>
      </c>
      <c r="AD2716">
        <v>11000</v>
      </c>
      <c r="AE2716">
        <v>0</v>
      </c>
      <c r="AF2716">
        <v>0</v>
      </c>
      <c r="AG2716">
        <v>672.26464891594378</v>
      </c>
      <c r="AH2716" t="s">
        <v>58</v>
      </c>
    </row>
    <row r="2717" spans="1:34" x14ac:dyDescent="0.3">
      <c r="A2717" t="s">
        <v>798</v>
      </c>
      <c r="B2717">
        <v>4132300654</v>
      </c>
      <c r="C2717">
        <v>1130007615</v>
      </c>
      <c r="D2717" t="s">
        <v>1063</v>
      </c>
      <c r="E2717" t="s">
        <v>441</v>
      </c>
      <c r="F2717" t="s">
        <v>430</v>
      </c>
      <c r="G2717" t="s">
        <v>238</v>
      </c>
      <c r="H2717" t="s">
        <v>236</v>
      </c>
      <c r="J2717" t="s">
        <v>52</v>
      </c>
      <c r="K2717" s="15">
        <v>1000</v>
      </c>
      <c r="M2717">
        <v>45413</v>
      </c>
      <c r="N2717" t="s">
        <v>1013</v>
      </c>
      <c r="O2717">
        <v>0</v>
      </c>
      <c r="P2717">
        <v>0</v>
      </c>
      <c r="Q2717">
        <v>0</v>
      </c>
      <c r="R2717">
        <v>0</v>
      </c>
      <c r="S2717">
        <v>37701.150778859541</v>
      </c>
      <c r="T2717">
        <v>0</v>
      </c>
      <c r="U2717">
        <v>0</v>
      </c>
      <c r="V2717">
        <v>74146.920921050492</v>
      </c>
      <c r="W2717">
        <v>0</v>
      </c>
      <c r="X2717">
        <v>0</v>
      </c>
      <c r="Y2717">
        <v>111848.07169991004</v>
      </c>
      <c r="Z2717">
        <v>5190.2844644735351</v>
      </c>
      <c r="AA2717">
        <v>117038.35616438357</v>
      </c>
      <c r="AB2717" t="s">
        <v>242</v>
      </c>
      <c r="AC2717">
        <v>1</v>
      </c>
      <c r="AD2717">
        <v>1000</v>
      </c>
      <c r="AE2717">
        <v>0</v>
      </c>
      <c r="AF2717">
        <v>0</v>
      </c>
      <c r="AG2717">
        <v>43.360395339549996</v>
      </c>
      <c r="AH2717" t="s">
        <v>72</v>
      </c>
    </row>
    <row r="2718" spans="1:34" x14ac:dyDescent="0.3">
      <c r="A2718" t="s">
        <v>798</v>
      </c>
      <c r="B2718">
        <v>4142301224</v>
      </c>
      <c r="C2718">
        <v>10167044</v>
      </c>
      <c r="D2718" t="s">
        <v>1064</v>
      </c>
      <c r="E2718" t="s">
        <v>446</v>
      </c>
      <c r="F2718" t="s">
        <v>430</v>
      </c>
      <c r="G2718" t="s">
        <v>230</v>
      </c>
      <c r="H2718" t="s">
        <v>234</v>
      </c>
      <c r="J2718" t="s">
        <v>52</v>
      </c>
      <c r="K2718" s="15">
        <v>5000</v>
      </c>
      <c r="M2718">
        <v>45413</v>
      </c>
      <c r="N2718" t="s">
        <v>1013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386488.93867622584</v>
      </c>
      <c r="Y2718">
        <v>386488.93867622584</v>
      </c>
      <c r="Z2718">
        <v>27054.225707335812</v>
      </c>
      <c r="AA2718">
        <v>413543.16438356164</v>
      </c>
      <c r="AB2718" t="s">
        <v>242</v>
      </c>
      <c r="AC2718">
        <v>1</v>
      </c>
      <c r="AD2718">
        <v>5000</v>
      </c>
      <c r="AE2718">
        <v>0</v>
      </c>
      <c r="AF2718">
        <v>0</v>
      </c>
      <c r="AG2718">
        <v>327.10280373831756</v>
      </c>
      <c r="AH2718" t="s">
        <v>72</v>
      </c>
    </row>
    <row r="2719" spans="1:34" x14ac:dyDescent="0.3">
      <c r="A2719" t="s">
        <v>798</v>
      </c>
      <c r="B2719">
        <v>52201823</v>
      </c>
      <c r="C2719">
        <v>26207055</v>
      </c>
      <c r="D2719" t="s">
        <v>165</v>
      </c>
      <c r="E2719" t="s">
        <v>438</v>
      </c>
      <c r="F2719" t="s">
        <v>431</v>
      </c>
      <c r="G2719" t="s">
        <v>82</v>
      </c>
      <c r="H2719" t="s">
        <v>83</v>
      </c>
      <c r="J2719" t="s">
        <v>52</v>
      </c>
      <c r="K2719" s="15">
        <v>1000</v>
      </c>
      <c r="M2719">
        <v>45413</v>
      </c>
      <c r="N2719" t="s">
        <v>1013</v>
      </c>
      <c r="O2719">
        <v>0</v>
      </c>
      <c r="P2719">
        <v>0</v>
      </c>
      <c r="Q2719">
        <v>0</v>
      </c>
      <c r="R2719">
        <v>816.98242653396744</v>
      </c>
      <c r="S2719">
        <v>27300.279609737572</v>
      </c>
      <c r="T2719">
        <v>0</v>
      </c>
      <c r="U2719">
        <v>0</v>
      </c>
      <c r="V2719">
        <v>82604.409809083882</v>
      </c>
      <c r="W2719">
        <v>0</v>
      </c>
      <c r="X2719">
        <v>0</v>
      </c>
      <c r="Y2719">
        <v>110721.67184535542</v>
      </c>
      <c r="Z2719">
        <v>7693.3282593175027</v>
      </c>
      <c r="AA2719">
        <v>118415.00010467292</v>
      </c>
      <c r="AB2719" t="s">
        <v>242</v>
      </c>
      <c r="AC2719">
        <v>12</v>
      </c>
      <c r="AD2719">
        <v>10000</v>
      </c>
      <c r="AE2719">
        <v>0</v>
      </c>
      <c r="AF2719">
        <v>0</v>
      </c>
      <c r="AG2719">
        <v>649.36333631530647</v>
      </c>
      <c r="AH2719" t="s">
        <v>58</v>
      </c>
    </row>
    <row r="2720" spans="1:34" x14ac:dyDescent="0.3">
      <c r="A2720" t="s">
        <v>798</v>
      </c>
      <c r="B2720">
        <v>4142300948</v>
      </c>
      <c r="C2720">
        <v>10459292</v>
      </c>
      <c r="D2720" t="s">
        <v>1065</v>
      </c>
      <c r="E2720" t="s">
        <v>445</v>
      </c>
      <c r="F2720" t="s">
        <v>430</v>
      </c>
      <c r="G2720" t="s">
        <v>230</v>
      </c>
      <c r="H2720" t="s">
        <v>234</v>
      </c>
      <c r="J2720" t="s">
        <v>52</v>
      </c>
      <c r="K2720" s="15">
        <v>400</v>
      </c>
      <c r="M2720">
        <v>45414</v>
      </c>
      <c r="N2720" t="s">
        <v>1013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235894.27102803739</v>
      </c>
      <c r="Y2720">
        <v>235894.27102803739</v>
      </c>
      <c r="Z2720">
        <v>16512.59897196262</v>
      </c>
      <c r="AA2720">
        <v>252406.87</v>
      </c>
      <c r="AB2720" t="s">
        <v>242</v>
      </c>
      <c r="AC2720">
        <v>1</v>
      </c>
      <c r="AD2720">
        <v>400</v>
      </c>
      <c r="AE2720">
        <v>0</v>
      </c>
      <c r="AF2720">
        <v>0</v>
      </c>
      <c r="AG2720">
        <v>26.1682242990654</v>
      </c>
      <c r="AH2720" t="s">
        <v>72</v>
      </c>
    </row>
    <row r="2721" spans="1:34" x14ac:dyDescent="0.3">
      <c r="A2721" t="s">
        <v>798</v>
      </c>
      <c r="B2721">
        <v>4132301772</v>
      </c>
      <c r="C2721" t="s">
        <v>689</v>
      </c>
      <c r="D2721" t="s">
        <v>938</v>
      </c>
      <c r="E2721" t="s">
        <v>442</v>
      </c>
      <c r="F2721" t="s">
        <v>430</v>
      </c>
      <c r="G2721" t="s">
        <v>230</v>
      </c>
      <c r="H2721" t="s">
        <v>231</v>
      </c>
      <c r="J2721" t="s">
        <v>52</v>
      </c>
      <c r="K2721" s="15">
        <v>1000</v>
      </c>
      <c r="M2721">
        <v>45414</v>
      </c>
      <c r="N2721" t="s">
        <v>1013</v>
      </c>
      <c r="O2721">
        <v>0</v>
      </c>
      <c r="P2721">
        <v>23387.300984508656</v>
      </c>
      <c r="Q2721">
        <v>0</v>
      </c>
      <c r="R2721">
        <v>0</v>
      </c>
      <c r="S2721">
        <v>564880.79</v>
      </c>
      <c r="T2721">
        <v>37052.989734104056</v>
      </c>
      <c r="U2721">
        <v>56074.766355140186</v>
      </c>
      <c r="V2721">
        <v>0</v>
      </c>
      <c r="W2721">
        <v>747663.55140186916</v>
      </c>
      <c r="X2721">
        <v>0</v>
      </c>
      <c r="Y2721">
        <v>1429059.3984756221</v>
      </c>
      <c r="Z2721">
        <v>58855.391524377948</v>
      </c>
      <c r="AA2721">
        <v>1487914.79</v>
      </c>
      <c r="AB2721" t="s">
        <v>242</v>
      </c>
      <c r="AC2721">
        <v>4</v>
      </c>
      <c r="AD2721">
        <v>4000</v>
      </c>
      <c r="AE2721">
        <v>0</v>
      </c>
      <c r="AF2721">
        <v>0</v>
      </c>
      <c r="AG2721">
        <v>153.95427001458495</v>
      </c>
      <c r="AH2721" t="s">
        <v>58</v>
      </c>
    </row>
    <row r="2722" spans="1:34" x14ac:dyDescent="0.3">
      <c r="A2722" t="s">
        <v>798</v>
      </c>
      <c r="B2722">
        <v>4302300048</v>
      </c>
      <c r="C2722">
        <v>901020006420</v>
      </c>
      <c r="D2722" t="s">
        <v>228</v>
      </c>
      <c r="E2722" t="s">
        <v>447</v>
      </c>
      <c r="F2722" t="s">
        <v>433</v>
      </c>
      <c r="G2722" t="s">
        <v>82</v>
      </c>
      <c r="H2722" t="s">
        <v>83</v>
      </c>
      <c r="J2722" t="s">
        <v>52</v>
      </c>
      <c r="K2722" s="15">
        <v>20000</v>
      </c>
      <c r="M2722">
        <v>45414</v>
      </c>
      <c r="N2722" t="s">
        <v>1013</v>
      </c>
      <c r="O2722">
        <v>0</v>
      </c>
      <c r="P2722">
        <v>0</v>
      </c>
      <c r="Q2722">
        <v>18055.8205111641</v>
      </c>
      <c r="R2722">
        <v>2772.12</v>
      </c>
      <c r="S2722">
        <v>0</v>
      </c>
      <c r="T2722">
        <v>0</v>
      </c>
      <c r="U2722">
        <v>0</v>
      </c>
      <c r="V2722">
        <v>286156.17980265024</v>
      </c>
      <c r="W2722">
        <v>0</v>
      </c>
      <c r="X2722">
        <v>0</v>
      </c>
      <c r="Y2722">
        <v>306984.12031381432</v>
      </c>
      <c r="Z2722">
        <v>20030.932586185518</v>
      </c>
      <c r="AA2722">
        <v>327015.05289999984</v>
      </c>
      <c r="AB2722" t="s">
        <v>242</v>
      </c>
      <c r="AC2722">
        <v>11</v>
      </c>
      <c r="AD2722">
        <v>234206</v>
      </c>
      <c r="AE2722">
        <v>0</v>
      </c>
      <c r="AF2722">
        <v>0</v>
      </c>
      <c r="AG2722">
        <v>14259.79031381447</v>
      </c>
      <c r="AH2722" t="s">
        <v>58</v>
      </c>
    </row>
    <row r="2723" spans="1:34" x14ac:dyDescent="0.3">
      <c r="A2723" t="s">
        <v>798</v>
      </c>
      <c r="B2723">
        <v>4242300005</v>
      </c>
      <c r="C2723">
        <v>123246</v>
      </c>
      <c r="D2723" t="s">
        <v>939</v>
      </c>
      <c r="E2723" t="s">
        <v>444</v>
      </c>
      <c r="F2723" t="s">
        <v>431</v>
      </c>
      <c r="G2723" t="s">
        <v>237</v>
      </c>
      <c r="H2723" t="s">
        <v>231</v>
      </c>
      <c r="J2723" t="s">
        <v>52</v>
      </c>
      <c r="K2723" s="15">
        <v>5000</v>
      </c>
      <c r="M2723">
        <v>45414</v>
      </c>
      <c r="N2723" t="s">
        <v>1013</v>
      </c>
      <c r="O2723">
        <v>0</v>
      </c>
      <c r="P2723">
        <v>4137.9890324219768</v>
      </c>
      <c r="Q2723">
        <v>0</v>
      </c>
      <c r="R2723">
        <v>0</v>
      </c>
      <c r="S2723">
        <v>0</v>
      </c>
      <c r="T2723">
        <v>0</v>
      </c>
      <c r="U2723">
        <v>14825.870063157026</v>
      </c>
      <c r="V2723">
        <v>0</v>
      </c>
      <c r="W2723">
        <v>0</v>
      </c>
      <c r="X2723">
        <v>0</v>
      </c>
      <c r="Y2723">
        <v>18963.859095579002</v>
      </c>
      <c r="Z2723">
        <v>1037.8109044209918</v>
      </c>
      <c r="AA2723">
        <v>20001.669999999995</v>
      </c>
      <c r="AB2723" t="s">
        <v>242</v>
      </c>
      <c r="AC2723">
        <v>8</v>
      </c>
      <c r="AD2723">
        <v>47200</v>
      </c>
      <c r="AE2723">
        <v>0</v>
      </c>
      <c r="AF2723">
        <v>0</v>
      </c>
      <c r="AG2723">
        <v>2381.503955392091</v>
      </c>
      <c r="AH2723" t="s">
        <v>58</v>
      </c>
    </row>
    <row r="2724" spans="1:34" x14ac:dyDescent="0.3">
      <c r="A2724" t="s">
        <v>798</v>
      </c>
      <c r="B2724">
        <v>52201131</v>
      </c>
      <c r="C2724">
        <v>25692011</v>
      </c>
      <c r="D2724" t="s">
        <v>652</v>
      </c>
      <c r="E2724" t="s">
        <v>438</v>
      </c>
      <c r="F2724" t="s">
        <v>431</v>
      </c>
      <c r="G2724" t="s">
        <v>235</v>
      </c>
      <c r="H2724" t="s">
        <v>236</v>
      </c>
      <c r="J2724" t="s">
        <v>52</v>
      </c>
      <c r="K2724" s="15">
        <v>3000</v>
      </c>
      <c r="M2724">
        <v>45414</v>
      </c>
      <c r="N2724" t="s">
        <v>1013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172350.46728971967</v>
      </c>
      <c r="W2724">
        <v>0</v>
      </c>
      <c r="X2724">
        <v>0</v>
      </c>
      <c r="Y2724">
        <v>172350.46728971967</v>
      </c>
      <c r="Z2724">
        <v>12064.532710280379</v>
      </c>
      <c r="AA2724">
        <v>184415.00000000006</v>
      </c>
      <c r="AB2724" t="s">
        <v>242</v>
      </c>
      <c r="AC2724">
        <v>5</v>
      </c>
      <c r="AD2724">
        <v>14400</v>
      </c>
      <c r="AE2724">
        <v>0</v>
      </c>
      <c r="AF2724">
        <v>0</v>
      </c>
      <c r="AG2724">
        <v>941.02606570020907</v>
      </c>
      <c r="AH2724" t="s">
        <v>58</v>
      </c>
    </row>
    <row r="2725" spans="1:34" x14ac:dyDescent="0.3">
      <c r="A2725" t="s">
        <v>798</v>
      </c>
      <c r="B2725">
        <v>4302300019</v>
      </c>
      <c r="C2725">
        <v>901019008726</v>
      </c>
      <c r="D2725" t="s">
        <v>224</v>
      </c>
      <c r="E2725" t="s">
        <v>447</v>
      </c>
      <c r="F2725" t="s">
        <v>433</v>
      </c>
      <c r="G2725" t="s">
        <v>82</v>
      </c>
      <c r="H2725" t="s">
        <v>83</v>
      </c>
      <c r="J2725" t="s">
        <v>52</v>
      </c>
      <c r="K2725" s="15">
        <v>20000</v>
      </c>
      <c r="M2725">
        <v>45415</v>
      </c>
      <c r="N2725" t="s">
        <v>1013</v>
      </c>
      <c r="O2725">
        <v>0</v>
      </c>
      <c r="P2725">
        <v>0</v>
      </c>
      <c r="Q2725">
        <v>23734.066296757672</v>
      </c>
      <c r="R2725">
        <v>1621.7399999999998</v>
      </c>
      <c r="S2725">
        <v>0</v>
      </c>
      <c r="T2725">
        <v>0</v>
      </c>
      <c r="U2725">
        <v>0</v>
      </c>
      <c r="V2725">
        <v>387637.84495630121</v>
      </c>
      <c r="W2725">
        <v>0</v>
      </c>
      <c r="X2725">
        <v>0</v>
      </c>
      <c r="Y2725">
        <v>412993.65125305887</v>
      </c>
      <c r="Z2725">
        <v>27134.649146941087</v>
      </c>
      <c r="AA2725">
        <v>440128.30039999995</v>
      </c>
      <c r="AB2725" t="s">
        <v>242</v>
      </c>
      <c r="AC2725">
        <v>5</v>
      </c>
      <c r="AD2725">
        <v>170000</v>
      </c>
      <c r="AE2725">
        <v>0</v>
      </c>
      <c r="AF2725">
        <v>0</v>
      </c>
      <c r="AG2725">
        <v>10428.801253058919</v>
      </c>
      <c r="AH2725" t="s">
        <v>58</v>
      </c>
    </row>
    <row r="2726" spans="1:34" x14ac:dyDescent="0.3">
      <c r="A2726" t="s">
        <v>798</v>
      </c>
      <c r="B2726">
        <v>4312300012</v>
      </c>
      <c r="C2726" t="s">
        <v>61</v>
      </c>
      <c r="D2726" t="s">
        <v>963</v>
      </c>
      <c r="E2726" t="s">
        <v>448</v>
      </c>
      <c r="F2726" t="s">
        <v>433</v>
      </c>
      <c r="G2726" t="s">
        <v>82</v>
      </c>
      <c r="H2726" t="s">
        <v>71</v>
      </c>
      <c r="J2726" t="s">
        <v>52</v>
      </c>
      <c r="K2726" s="15">
        <v>25000</v>
      </c>
      <c r="M2726">
        <v>45415</v>
      </c>
      <c r="N2726" t="s">
        <v>1029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1712061.0093457946</v>
      </c>
      <c r="Y2726">
        <v>1712061.0093457946</v>
      </c>
      <c r="Z2726">
        <v>119844.27065420563</v>
      </c>
      <c r="AA2726">
        <v>1831905.2800000003</v>
      </c>
      <c r="AB2726" t="s">
        <v>242</v>
      </c>
      <c r="AC2726">
        <v>15</v>
      </c>
      <c r="AD2726">
        <v>280165</v>
      </c>
      <c r="AE2726">
        <v>0</v>
      </c>
      <c r="AF2726">
        <v>0</v>
      </c>
      <c r="AG2726">
        <v>18328.551401869161</v>
      </c>
      <c r="AH2726" t="s">
        <v>58</v>
      </c>
    </row>
    <row r="2727" spans="1:34" x14ac:dyDescent="0.3">
      <c r="A2727" t="s">
        <v>798</v>
      </c>
      <c r="B2727">
        <v>4132301817</v>
      </c>
      <c r="C2727" t="s">
        <v>691</v>
      </c>
      <c r="D2727" t="s">
        <v>944</v>
      </c>
      <c r="E2727" t="s">
        <v>442</v>
      </c>
      <c r="F2727" t="s">
        <v>430</v>
      </c>
      <c r="G2727" t="s">
        <v>230</v>
      </c>
      <c r="H2727" t="s">
        <v>231</v>
      </c>
      <c r="J2727" t="s">
        <v>52</v>
      </c>
      <c r="K2727" s="15">
        <v>5000</v>
      </c>
      <c r="M2727">
        <v>45415</v>
      </c>
      <c r="N2727" t="s">
        <v>1013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320164.51401869161</v>
      </c>
      <c r="X2727">
        <v>0</v>
      </c>
      <c r="Y2727">
        <v>320164.51401869161</v>
      </c>
      <c r="Z2727">
        <v>22411.515981308414</v>
      </c>
      <c r="AA2727">
        <v>342576.03</v>
      </c>
      <c r="AB2727" t="s">
        <v>242</v>
      </c>
      <c r="AC2727">
        <v>5</v>
      </c>
      <c r="AD2727">
        <v>25000</v>
      </c>
      <c r="AE2727">
        <v>0</v>
      </c>
      <c r="AF2727">
        <v>0</v>
      </c>
      <c r="AG2727">
        <v>1635.5140186915878</v>
      </c>
      <c r="AH2727" t="s">
        <v>58</v>
      </c>
    </row>
    <row r="2728" spans="1:34" x14ac:dyDescent="0.3">
      <c r="A2728" t="s">
        <v>798</v>
      </c>
      <c r="B2728">
        <v>62200043</v>
      </c>
      <c r="C2728">
        <v>26069838</v>
      </c>
      <c r="D2728" t="s">
        <v>769</v>
      </c>
      <c r="E2728" t="s">
        <v>435</v>
      </c>
      <c r="F2728" t="s">
        <v>432</v>
      </c>
      <c r="G2728" t="s">
        <v>82</v>
      </c>
      <c r="H2728" t="s">
        <v>82</v>
      </c>
      <c r="J2728" t="s">
        <v>52</v>
      </c>
      <c r="K2728" s="15">
        <v>4500</v>
      </c>
      <c r="M2728">
        <v>45415</v>
      </c>
      <c r="N2728" t="s">
        <v>1029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24794.465753424658</v>
      </c>
      <c r="W2728">
        <v>0</v>
      </c>
      <c r="X2728">
        <v>0</v>
      </c>
      <c r="Y2728">
        <v>24794.465753424658</v>
      </c>
      <c r="Z2728">
        <v>0</v>
      </c>
      <c r="AA2728">
        <v>24794.465753424658</v>
      </c>
      <c r="AB2728" t="s">
        <v>242</v>
      </c>
      <c r="AC2728">
        <v>3</v>
      </c>
      <c r="AD2728">
        <v>13500</v>
      </c>
      <c r="AE2728">
        <v>0</v>
      </c>
      <c r="AF2728">
        <v>0</v>
      </c>
      <c r="AG2728">
        <v>0</v>
      </c>
      <c r="AH2728" t="s">
        <v>58</v>
      </c>
    </row>
    <row r="2729" spans="1:34" x14ac:dyDescent="0.3">
      <c r="A2729" t="s">
        <v>798</v>
      </c>
      <c r="B2729">
        <v>4232300101</v>
      </c>
      <c r="C2729">
        <v>129790</v>
      </c>
      <c r="D2729" t="s">
        <v>764</v>
      </c>
      <c r="E2729" t="s">
        <v>443</v>
      </c>
      <c r="F2729" t="s">
        <v>431</v>
      </c>
      <c r="G2729" t="s">
        <v>230</v>
      </c>
      <c r="H2729" t="s">
        <v>231</v>
      </c>
      <c r="J2729" t="s">
        <v>52</v>
      </c>
      <c r="K2729" s="15">
        <v>67300</v>
      </c>
      <c r="M2729">
        <v>45415</v>
      </c>
      <c r="N2729" t="s">
        <v>1029</v>
      </c>
      <c r="O2729">
        <v>0</v>
      </c>
      <c r="P2729">
        <v>17261.529990981297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549282.68225141929</v>
      </c>
      <c r="X2729">
        <v>0</v>
      </c>
      <c r="Y2729">
        <v>566544.21224240062</v>
      </c>
      <c r="Z2729">
        <v>38449.787757599355</v>
      </c>
      <c r="AA2729">
        <v>604994</v>
      </c>
      <c r="AB2729" t="s">
        <v>242</v>
      </c>
      <c r="AC2729">
        <v>3</v>
      </c>
      <c r="AD2729">
        <v>254600</v>
      </c>
      <c r="AE2729">
        <v>0</v>
      </c>
      <c r="AF2729">
        <v>0</v>
      </c>
      <c r="AG2729">
        <v>16139.483270438031</v>
      </c>
      <c r="AH2729" t="s">
        <v>58</v>
      </c>
    </row>
    <row r="2730" spans="1:34" x14ac:dyDescent="0.3">
      <c r="A2730" t="s">
        <v>798</v>
      </c>
      <c r="B2730">
        <v>62200095</v>
      </c>
      <c r="C2730">
        <v>16244612</v>
      </c>
      <c r="D2730" t="s">
        <v>639</v>
      </c>
      <c r="E2730" t="s">
        <v>435</v>
      </c>
      <c r="F2730" t="s">
        <v>432</v>
      </c>
      <c r="G2730" t="s">
        <v>235</v>
      </c>
      <c r="H2730" t="s">
        <v>235</v>
      </c>
      <c r="J2730" t="s">
        <v>52</v>
      </c>
      <c r="K2730" s="15">
        <v>2000</v>
      </c>
      <c r="M2730">
        <v>45415</v>
      </c>
      <c r="N2730" t="s">
        <v>1013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28352.790000000008</v>
      </c>
      <c r="W2730">
        <v>0</v>
      </c>
      <c r="X2730">
        <v>0</v>
      </c>
      <c r="Y2730">
        <v>28352.790000000008</v>
      </c>
      <c r="Z2730">
        <v>0</v>
      </c>
      <c r="AA2730">
        <v>28352.790000000008</v>
      </c>
      <c r="AB2730" t="s">
        <v>242</v>
      </c>
      <c r="AC2730">
        <v>14</v>
      </c>
      <c r="AD2730">
        <v>28000</v>
      </c>
      <c r="AE2730">
        <v>0</v>
      </c>
      <c r="AF2730">
        <v>0</v>
      </c>
      <c r="AG2730">
        <v>0</v>
      </c>
      <c r="AH2730" t="s">
        <v>58</v>
      </c>
    </row>
    <row r="2731" spans="1:34" x14ac:dyDescent="0.3">
      <c r="A2731" t="s">
        <v>798</v>
      </c>
      <c r="B2731">
        <v>4142300111</v>
      </c>
      <c r="C2731">
        <v>97925</v>
      </c>
      <c r="D2731" t="s">
        <v>1066</v>
      </c>
      <c r="E2731" t="s">
        <v>444</v>
      </c>
      <c r="F2731" t="s">
        <v>430</v>
      </c>
      <c r="G2731" t="s">
        <v>230</v>
      </c>
      <c r="H2731" t="s">
        <v>231</v>
      </c>
      <c r="J2731" t="s">
        <v>450</v>
      </c>
      <c r="K2731" s="15">
        <v>10000</v>
      </c>
      <c r="M2731">
        <v>45415</v>
      </c>
      <c r="N2731" t="s">
        <v>1031</v>
      </c>
      <c r="O2731">
        <v>0</v>
      </c>
      <c r="P2731">
        <v>4000</v>
      </c>
      <c r="Q2731">
        <v>0</v>
      </c>
      <c r="R2731">
        <v>0</v>
      </c>
      <c r="S2731">
        <v>0</v>
      </c>
      <c r="T2731">
        <v>53551.401869158879</v>
      </c>
      <c r="U2731">
        <v>58878.504672897194</v>
      </c>
      <c r="V2731">
        <v>0</v>
      </c>
      <c r="W2731">
        <v>383177.57009345794</v>
      </c>
      <c r="X2731">
        <v>0</v>
      </c>
      <c r="Y2731">
        <v>499607.476635514</v>
      </c>
      <c r="Z2731">
        <v>34692.523364485984</v>
      </c>
      <c r="AA2731">
        <v>534300</v>
      </c>
      <c r="AB2731" t="s">
        <v>331</v>
      </c>
      <c r="AC2731">
        <v>0</v>
      </c>
      <c r="AD2731">
        <v>0</v>
      </c>
      <c r="AE2731">
        <v>0</v>
      </c>
      <c r="AF2731">
        <v>10000</v>
      </c>
      <c r="AG2731">
        <v>654.20560747663512</v>
      </c>
      <c r="AH2731" t="s">
        <v>72</v>
      </c>
    </row>
    <row r="2732" spans="1:34" x14ac:dyDescent="0.3">
      <c r="A2732" t="s">
        <v>798</v>
      </c>
      <c r="B2732">
        <v>4132301665</v>
      </c>
      <c r="C2732" t="s">
        <v>99</v>
      </c>
      <c r="D2732" t="s">
        <v>941</v>
      </c>
      <c r="E2732" t="s">
        <v>442</v>
      </c>
      <c r="F2732" t="s">
        <v>430</v>
      </c>
      <c r="G2732" t="s">
        <v>230</v>
      </c>
      <c r="H2732" t="s">
        <v>231</v>
      </c>
      <c r="J2732" t="s">
        <v>52</v>
      </c>
      <c r="K2732" s="15">
        <v>1000</v>
      </c>
      <c r="M2732">
        <v>45415</v>
      </c>
      <c r="N2732" t="s">
        <v>1073</v>
      </c>
      <c r="O2732">
        <v>0</v>
      </c>
      <c r="P2732">
        <v>25642.870227471456</v>
      </c>
      <c r="Q2732">
        <v>0</v>
      </c>
      <c r="R2732">
        <v>0</v>
      </c>
      <c r="S2732">
        <v>492316.5</v>
      </c>
      <c r="T2732">
        <v>9084.2334322696697</v>
      </c>
      <c r="U2732">
        <v>67289.719626168226</v>
      </c>
      <c r="V2732">
        <v>0</v>
      </c>
      <c r="W2732">
        <v>794392.52336448594</v>
      </c>
      <c r="X2732">
        <v>0</v>
      </c>
      <c r="Y2732">
        <v>1388725.8466503953</v>
      </c>
      <c r="Z2732">
        <v>60953.653349604676</v>
      </c>
      <c r="AA2732">
        <v>1449679.5</v>
      </c>
      <c r="AB2732" t="s">
        <v>242</v>
      </c>
      <c r="AC2732">
        <v>7</v>
      </c>
      <c r="AD2732">
        <v>7000</v>
      </c>
      <c r="AE2732">
        <v>0</v>
      </c>
      <c r="AF2732">
        <v>0</v>
      </c>
      <c r="AG2732">
        <v>287.12235132990838</v>
      </c>
      <c r="AH2732" t="s">
        <v>58</v>
      </c>
    </row>
    <row r="2733" spans="1:34" x14ac:dyDescent="0.3">
      <c r="A2733" t="s">
        <v>798</v>
      </c>
      <c r="B2733">
        <v>4132301706</v>
      </c>
      <c r="C2733" t="s">
        <v>683</v>
      </c>
      <c r="D2733" t="s">
        <v>980</v>
      </c>
      <c r="E2733" t="s">
        <v>442</v>
      </c>
      <c r="F2733" t="s">
        <v>430</v>
      </c>
      <c r="G2733" t="s">
        <v>230</v>
      </c>
      <c r="H2733" t="s">
        <v>231</v>
      </c>
      <c r="J2733" t="s">
        <v>52</v>
      </c>
      <c r="K2733" s="15">
        <v>3000</v>
      </c>
      <c r="M2733">
        <v>45416</v>
      </c>
      <c r="N2733" t="s">
        <v>1013</v>
      </c>
      <c r="O2733">
        <v>0</v>
      </c>
      <c r="P2733">
        <v>13473.73341327983</v>
      </c>
      <c r="Q2733">
        <v>0</v>
      </c>
      <c r="R2733">
        <v>0</v>
      </c>
      <c r="S2733">
        <v>12681.38</v>
      </c>
      <c r="T2733">
        <v>3615.8005483366214</v>
      </c>
      <c r="U2733">
        <v>42056.074766355137</v>
      </c>
      <c r="V2733">
        <v>0</v>
      </c>
      <c r="W2733">
        <v>299065.42056074768</v>
      </c>
      <c r="X2733">
        <v>0</v>
      </c>
      <c r="Y2733">
        <v>370892.4092887193</v>
      </c>
      <c r="Z2733">
        <v>24131.610711280762</v>
      </c>
      <c r="AA2733">
        <v>395024.02000000008</v>
      </c>
      <c r="AB2733" t="s">
        <v>242</v>
      </c>
      <c r="AC2733">
        <v>4</v>
      </c>
      <c r="AD2733">
        <v>12000</v>
      </c>
      <c r="AE2733">
        <v>0</v>
      </c>
      <c r="AF2733">
        <v>0</v>
      </c>
      <c r="AG2733">
        <v>729.61807376597017</v>
      </c>
      <c r="AH2733" t="s">
        <v>58</v>
      </c>
    </row>
    <row r="2734" spans="1:34" x14ac:dyDescent="0.3">
      <c r="A2734" t="s">
        <v>798</v>
      </c>
      <c r="B2734">
        <v>4132300266</v>
      </c>
      <c r="C2734">
        <v>1100168312</v>
      </c>
      <c r="D2734" t="s">
        <v>173</v>
      </c>
      <c r="E2734" t="s">
        <v>441</v>
      </c>
      <c r="F2734" t="s">
        <v>430</v>
      </c>
      <c r="G2734" t="s">
        <v>235</v>
      </c>
      <c r="H2734" t="s">
        <v>236</v>
      </c>
      <c r="J2734" t="s">
        <v>52</v>
      </c>
      <c r="K2734" s="15">
        <v>2000</v>
      </c>
      <c r="M2734">
        <v>45416</v>
      </c>
      <c r="N2734" t="s">
        <v>1013</v>
      </c>
      <c r="O2734">
        <v>0</v>
      </c>
      <c r="P2734">
        <v>0</v>
      </c>
      <c r="Q2734">
        <v>0</v>
      </c>
      <c r="R2734">
        <v>0</v>
      </c>
      <c r="S2734">
        <v>80711.175430279021</v>
      </c>
      <c r="T2734">
        <v>0</v>
      </c>
      <c r="U2734">
        <v>0</v>
      </c>
      <c r="V2734">
        <v>211049.85525015529</v>
      </c>
      <c r="W2734">
        <v>0</v>
      </c>
      <c r="X2734">
        <v>0</v>
      </c>
      <c r="Y2734">
        <v>291761.03068043431</v>
      </c>
      <c r="Z2734">
        <v>14773.489867510873</v>
      </c>
      <c r="AA2734">
        <v>306534.52054794517</v>
      </c>
      <c r="AB2734" t="s">
        <v>242</v>
      </c>
      <c r="AC2734">
        <v>6</v>
      </c>
      <c r="AD2734">
        <v>12000</v>
      </c>
      <c r="AE2734">
        <v>0</v>
      </c>
      <c r="AF2734">
        <v>0</v>
      </c>
      <c r="AG2734">
        <v>567.63162781623078</v>
      </c>
      <c r="AH2734" t="s">
        <v>58</v>
      </c>
    </row>
    <row r="2735" spans="1:34" x14ac:dyDescent="0.3">
      <c r="A2735" t="s">
        <v>798</v>
      </c>
      <c r="B2735">
        <v>4142301135</v>
      </c>
      <c r="C2735">
        <v>10066787</v>
      </c>
      <c r="D2735" t="s">
        <v>775</v>
      </c>
      <c r="E2735" t="s">
        <v>445</v>
      </c>
      <c r="F2735" t="s">
        <v>430</v>
      </c>
      <c r="G2735" t="s">
        <v>230</v>
      </c>
      <c r="H2735" t="s">
        <v>234</v>
      </c>
      <c r="J2735" t="s">
        <v>52</v>
      </c>
      <c r="K2735" s="15">
        <v>50000</v>
      </c>
      <c r="M2735">
        <v>45417</v>
      </c>
      <c r="N2735" t="s">
        <v>1074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253327.94859813078</v>
      </c>
      <c r="Y2735">
        <v>253327.94859813078</v>
      </c>
      <c r="Z2735">
        <v>17732.956401869156</v>
      </c>
      <c r="AA2735">
        <v>271060.90499999991</v>
      </c>
      <c r="AB2735" t="s">
        <v>242</v>
      </c>
      <c r="AC2735">
        <v>3</v>
      </c>
      <c r="AD2735">
        <v>150000</v>
      </c>
      <c r="AE2735">
        <v>0</v>
      </c>
      <c r="AF2735">
        <v>0</v>
      </c>
      <c r="AG2735">
        <v>9813.0841121495323</v>
      </c>
      <c r="AH2735" t="s">
        <v>58</v>
      </c>
    </row>
    <row r="2736" spans="1:34" x14ac:dyDescent="0.3">
      <c r="A2736" t="s">
        <v>798</v>
      </c>
      <c r="B2736">
        <v>52200085</v>
      </c>
      <c r="C2736">
        <v>26393637</v>
      </c>
      <c r="D2736" t="s">
        <v>656</v>
      </c>
      <c r="E2736" t="s">
        <v>436</v>
      </c>
      <c r="F2736" t="s">
        <v>431</v>
      </c>
      <c r="G2736" t="s">
        <v>235</v>
      </c>
      <c r="H2736" t="s">
        <v>236</v>
      </c>
      <c r="J2736" t="s">
        <v>52</v>
      </c>
      <c r="K2736" s="15">
        <v>3000</v>
      </c>
      <c r="M2736">
        <v>45417</v>
      </c>
      <c r="N2736" t="s">
        <v>1013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148190.65420560751</v>
      </c>
      <c r="W2736">
        <v>0</v>
      </c>
      <c r="X2736">
        <v>0</v>
      </c>
      <c r="Y2736">
        <v>148190.65420560751</v>
      </c>
      <c r="Z2736">
        <v>10373.345794392528</v>
      </c>
      <c r="AA2736">
        <v>158564.00000000003</v>
      </c>
      <c r="AB2736" t="s">
        <v>242</v>
      </c>
      <c r="AC2736">
        <v>5</v>
      </c>
      <c r="AD2736">
        <v>14000</v>
      </c>
      <c r="AE2736">
        <v>0</v>
      </c>
      <c r="AF2736">
        <v>0</v>
      </c>
      <c r="AG2736">
        <v>915.00518452948518</v>
      </c>
      <c r="AH2736" t="s">
        <v>58</v>
      </c>
    </row>
    <row r="2737" spans="1:38" x14ac:dyDescent="0.3">
      <c r="A2737" t="s">
        <v>798</v>
      </c>
      <c r="B2737">
        <v>2200002</v>
      </c>
      <c r="C2737">
        <v>22961666</v>
      </c>
      <c r="D2737" t="s">
        <v>407</v>
      </c>
      <c r="E2737" t="s">
        <v>435</v>
      </c>
      <c r="F2737" t="s">
        <v>426</v>
      </c>
      <c r="G2737" t="s">
        <v>235</v>
      </c>
      <c r="H2737" t="s">
        <v>235</v>
      </c>
      <c r="J2737" t="s">
        <v>52</v>
      </c>
      <c r="K2737" s="15">
        <v>5000</v>
      </c>
      <c r="M2737">
        <v>45417</v>
      </c>
      <c r="N2737" t="s">
        <v>1013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63625</v>
      </c>
      <c r="W2737">
        <v>0</v>
      </c>
      <c r="X2737">
        <v>0</v>
      </c>
      <c r="Y2737">
        <v>63625</v>
      </c>
      <c r="Z2737">
        <v>0</v>
      </c>
      <c r="AA2737">
        <v>63625</v>
      </c>
      <c r="AB2737" t="s">
        <v>242</v>
      </c>
      <c r="AC2737">
        <v>13</v>
      </c>
      <c r="AD2737">
        <v>65000</v>
      </c>
      <c r="AE2737">
        <v>0</v>
      </c>
      <c r="AF2737">
        <v>0</v>
      </c>
      <c r="AG2737">
        <v>0</v>
      </c>
      <c r="AH2737" t="s">
        <v>58</v>
      </c>
    </row>
    <row r="2738" spans="1:38" x14ac:dyDescent="0.3">
      <c r="A2738" t="s">
        <v>798</v>
      </c>
      <c r="B2738">
        <v>2200003</v>
      </c>
      <c r="C2738">
        <v>22961796</v>
      </c>
      <c r="D2738" t="s">
        <v>407</v>
      </c>
      <c r="E2738" t="s">
        <v>435</v>
      </c>
      <c r="F2738" t="s">
        <v>426</v>
      </c>
      <c r="G2738" t="s">
        <v>235</v>
      </c>
      <c r="H2738" t="s">
        <v>235</v>
      </c>
      <c r="J2738" t="s">
        <v>52</v>
      </c>
      <c r="K2738" s="15">
        <v>5000</v>
      </c>
      <c r="M2738">
        <v>45417</v>
      </c>
      <c r="N2738" t="s">
        <v>1013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73250</v>
      </c>
      <c r="W2738">
        <v>0</v>
      </c>
      <c r="X2738">
        <v>0</v>
      </c>
      <c r="Y2738">
        <v>73250</v>
      </c>
      <c r="Z2738">
        <v>0</v>
      </c>
      <c r="AA2738">
        <v>73250</v>
      </c>
      <c r="AB2738" t="s">
        <v>242</v>
      </c>
      <c r="AC2738">
        <v>13</v>
      </c>
      <c r="AD2738">
        <v>65000</v>
      </c>
      <c r="AE2738">
        <v>0</v>
      </c>
      <c r="AF2738">
        <v>0</v>
      </c>
      <c r="AG2738">
        <v>0</v>
      </c>
      <c r="AH2738" t="s">
        <v>58</v>
      </c>
    </row>
    <row r="2739" spans="1:38" x14ac:dyDescent="0.3">
      <c r="A2739" t="s">
        <v>798</v>
      </c>
      <c r="B2739">
        <v>52201087</v>
      </c>
      <c r="C2739">
        <v>26018254</v>
      </c>
      <c r="D2739" t="s">
        <v>149</v>
      </c>
      <c r="E2739" t="s">
        <v>438</v>
      </c>
      <c r="F2739" t="s">
        <v>431</v>
      </c>
      <c r="G2739" t="s">
        <v>82</v>
      </c>
      <c r="H2739" t="s">
        <v>83</v>
      </c>
      <c r="J2739" t="s">
        <v>52</v>
      </c>
      <c r="K2739" s="15">
        <v>2000</v>
      </c>
      <c r="M2739">
        <v>45418</v>
      </c>
      <c r="N2739" t="s">
        <v>1013</v>
      </c>
      <c r="O2739">
        <v>0</v>
      </c>
      <c r="P2739">
        <v>0</v>
      </c>
      <c r="Q2739">
        <v>0</v>
      </c>
      <c r="R2739">
        <v>726.91151860242849</v>
      </c>
      <c r="S2739">
        <v>0</v>
      </c>
      <c r="T2739">
        <v>0</v>
      </c>
      <c r="U2739">
        <v>0</v>
      </c>
      <c r="V2739">
        <v>32343.073175906546</v>
      </c>
      <c r="W2739">
        <v>0</v>
      </c>
      <c r="X2739">
        <v>0</v>
      </c>
      <c r="Y2739">
        <v>33069.984694508974</v>
      </c>
      <c r="Z2739">
        <v>2264.0151223134585</v>
      </c>
      <c r="AA2739">
        <v>35333.999816822434</v>
      </c>
      <c r="AB2739" t="s">
        <v>242</v>
      </c>
      <c r="AC2739">
        <v>7</v>
      </c>
      <c r="AD2739">
        <v>14000</v>
      </c>
      <c r="AE2739">
        <v>0</v>
      </c>
      <c r="AF2739">
        <v>0</v>
      </c>
      <c r="AG2739">
        <v>895.47084701137396</v>
      </c>
      <c r="AH2739" t="s">
        <v>58</v>
      </c>
    </row>
    <row r="2740" spans="1:38" x14ac:dyDescent="0.3">
      <c r="A2740" t="s">
        <v>798</v>
      </c>
      <c r="B2740">
        <v>4342300003</v>
      </c>
      <c r="C2740" t="s">
        <v>695</v>
      </c>
      <c r="D2740" t="s">
        <v>985</v>
      </c>
      <c r="E2740" t="s">
        <v>448</v>
      </c>
      <c r="F2740" t="s">
        <v>433</v>
      </c>
      <c r="G2740" t="s">
        <v>230</v>
      </c>
      <c r="H2740" t="s">
        <v>231</v>
      </c>
      <c r="J2740" t="s">
        <v>52</v>
      </c>
      <c r="K2740" s="15">
        <v>10000</v>
      </c>
      <c r="M2740">
        <v>45419</v>
      </c>
      <c r="N2740" t="s">
        <v>1013</v>
      </c>
      <c r="O2740">
        <v>0</v>
      </c>
      <c r="P2740">
        <v>2499.6857296201933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198893.46193493437</v>
      </c>
      <c r="X2740">
        <v>0</v>
      </c>
      <c r="Y2740">
        <v>201393.14766455456</v>
      </c>
      <c r="Z2740">
        <v>13922.542335445407</v>
      </c>
      <c r="AA2740">
        <v>215315.68999999997</v>
      </c>
      <c r="AB2740" t="s">
        <v>242</v>
      </c>
      <c r="AC2740">
        <v>4</v>
      </c>
      <c r="AD2740">
        <v>40000</v>
      </c>
      <c r="AE2740">
        <v>0</v>
      </c>
      <c r="AF2740">
        <v>0</v>
      </c>
      <c r="AG2740">
        <v>2584.0915897882387</v>
      </c>
      <c r="AH2740" t="s">
        <v>58</v>
      </c>
    </row>
    <row r="2741" spans="1:38" x14ac:dyDescent="0.3">
      <c r="A2741" t="s">
        <v>798</v>
      </c>
      <c r="B2741">
        <v>4132301344</v>
      </c>
      <c r="C2741" t="s">
        <v>940</v>
      </c>
      <c r="D2741" t="s">
        <v>1007</v>
      </c>
      <c r="E2741" t="s">
        <v>442</v>
      </c>
      <c r="F2741" t="s">
        <v>430</v>
      </c>
      <c r="G2741" t="s">
        <v>230</v>
      </c>
      <c r="H2741" t="s">
        <v>231</v>
      </c>
      <c r="J2741" t="s">
        <v>52</v>
      </c>
      <c r="K2741" s="15">
        <v>1000</v>
      </c>
      <c r="M2741">
        <v>45419</v>
      </c>
      <c r="N2741" t="s">
        <v>1013</v>
      </c>
      <c r="O2741">
        <v>0</v>
      </c>
      <c r="P2741">
        <v>19123.796748349618</v>
      </c>
      <c r="Q2741">
        <v>0</v>
      </c>
      <c r="R2741">
        <v>0</v>
      </c>
      <c r="S2741">
        <v>299709.57</v>
      </c>
      <c r="T2741">
        <v>17462.80677724335</v>
      </c>
      <c r="U2741">
        <v>14953.271028037383</v>
      </c>
      <c r="V2741">
        <v>0</v>
      </c>
      <c r="W2741">
        <v>579439.25233644864</v>
      </c>
      <c r="X2741">
        <v>0</v>
      </c>
      <c r="Y2741">
        <v>930688.69689007895</v>
      </c>
      <c r="Z2741">
        <v>42829.873109921056</v>
      </c>
      <c r="AA2741">
        <v>973518.57000000007</v>
      </c>
      <c r="AB2741" t="s">
        <v>242</v>
      </c>
      <c r="AC2741">
        <v>2</v>
      </c>
      <c r="AD2741">
        <v>2000</v>
      </c>
      <c r="AE2741">
        <v>0</v>
      </c>
      <c r="AF2741">
        <v>0</v>
      </c>
      <c r="AG2741">
        <v>86.014740546236681</v>
      </c>
      <c r="AH2741" t="s">
        <v>58</v>
      </c>
    </row>
    <row r="2742" spans="1:38" x14ac:dyDescent="0.3">
      <c r="A2742" t="s">
        <v>798</v>
      </c>
      <c r="B2742">
        <v>52200185</v>
      </c>
      <c r="C2742">
        <v>24837727</v>
      </c>
      <c r="D2742" t="s">
        <v>133</v>
      </c>
      <c r="E2742" t="s">
        <v>436</v>
      </c>
      <c r="F2742" t="s">
        <v>431</v>
      </c>
      <c r="G2742" t="s">
        <v>82</v>
      </c>
      <c r="H2742" t="s">
        <v>83</v>
      </c>
      <c r="J2742" t="s">
        <v>52</v>
      </c>
      <c r="K2742" s="15">
        <v>2000</v>
      </c>
      <c r="M2742">
        <v>45419</v>
      </c>
      <c r="N2742" t="s">
        <v>1013</v>
      </c>
      <c r="O2742">
        <v>0</v>
      </c>
      <c r="P2742">
        <v>0</v>
      </c>
      <c r="Q2742">
        <v>0</v>
      </c>
      <c r="R2742">
        <v>725.62856859085355</v>
      </c>
      <c r="S2742">
        <v>2850.4523745373262</v>
      </c>
      <c r="T2742">
        <v>0</v>
      </c>
      <c r="U2742">
        <v>0</v>
      </c>
      <c r="V2742">
        <v>51964.847111538125</v>
      </c>
      <c r="W2742">
        <v>0</v>
      </c>
      <c r="X2742">
        <v>0</v>
      </c>
      <c r="Y2742">
        <v>55540.928054666307</v>
      </c>
      <c r="Z2742">
        <v>3837.0709640252821</v>
      </c>
      <c r="AA2742">
        <v>59377.999018691589</v>
      </c>
      <c r="AB2742" t="s">
        <v>242</v>
      </c>
      <c r="AC2742">
        <v>10</v>
      </c>
      <c r="AD2742">
        <v>20000</v>
      </c>
      <c r="AE2742">
        <v>0</v>
      </c>
      <c r="AF2742">
        <v>0</v>
      </c>
      <c r="AG2742">
        <v>1291.1158876648224</v>
      </c>
      <c r="AH2742" t="s">
        <v>58</v>
      </c>
    </row>
    <row r="2743" spans="1:38" x14ac:dyDescent="0.3">
      <c r="A2743" t="s">
        <v>798</v>
      </c>
      <c r="B2743">
        <v>52200012</v>
      </c>
      <c r="C2743">
        <v>26851674</v>
      </c>
      <c r="D2743" t="s">
        <v>637</v>
      </c>
      <c r="E2743" t="s">
        <v>435</v>
      </c>
      <c r="F2743" t="s">
        <v>431</v>
      </c>
      <c r="G2743" t="s">
        <v>230</v>
      </c>
      <c r="H2743" t="s">
        <v>231</v>
      </c>
      <c r="J2743" t="s">
        <v>52</v>
      </c>
      <c r="K2743" s="15">
        <v>2500</v>
      </c>
      <c r="M2743">
        <v>45419</v>
      </c>
      <c r="N2743" t="s">
        <v>1073</v>
      </c>
      <c r="O2743">
        <v>3386.827447705205</v>
      </c>
      <c r="P2743">
        <v>0</v>
      </c>
      <c r="Q2743">
        <v>0</v>
      </c>
      <c r="R2743">
        <v>0</v>
      </c>
      <c r="S2743">
        <v>0</v>
      </c>
      <c r="T2743">
        <v>5563.7126656960618</v>
      </c>
      <c r="U2743">
        <v>0</v>
      </c>
      <c r="V2743">
        <v>0</v>
      </c>
      <c r="W2743">
        <v>42990.654205607476</v>
      </c>
      <c r="X2743">
        <v>0</v>
      </c>
      <c r="Y2743">
        <v>51941.19431900874</v>
      </c>
      <c r="Z2743">
        <v>3398.8056809912478</v>
      </c>
      <c r="AA2743">
        <v>55339.999999999985</v>
      </c>
      <c r="AB2743" t="s">
        <v>242</v>
      </c>
      <c r="AC2743">
        <v>15</v>
      </c>
      <c r="AD2743">
        <v>36300</v>
      </c>
      <c r="AE2743">
        <v>0</v>
      </c>
      <c r="AF2743">
        <v>0</v>
      </c>
      <c r="AG2743">
        <v>2216.8952535881908</v>
      </c>
      <c r="AH2743" t="s">
        <v>58</v>
      </c>
    </row>
    <row r="2744" spans="1:38" x14ac:dyDescent="0.3">
      <c r="A2744" t="s">
        <v>798</v>
      </c>
      <c r="B2744">
        <v>4132301700</v>
      </c>
      <c r="C2744" t="s">
        <v>100</v>
      </c>
      <c r="D2744" t="s">
        <v>942</v>
      </c>
      <c r="E2744" t="s">
        <v>442</v>
      </c>
      <c r="F2744" t="s">
        <v>430</v>
      </c>
      <c r="G2744" t="s">
        <v>230</v>
      </c>
      <c r="H2744" t="s">
        <v>231</v>
      </c>
      <c r="J2744" t="s">
        <v>52</v>
      </c>
      <c r="K2744" s="15">
        <v>500</v>
      </c>
      <c r="M2744">
        <v>45419</v>
      </c>
      <c r="N2744" t="s">
        <v>1013</v>
      </c>
      <c r="O2744">
        <v>0</v>
      </c>
      <c r="P2744">
        <v>17261.578261365943</v>
      </c>
      <c r="Q2744">
        <v>0</v>
      </c>
      <c r="R2744">
        <v>0</v>
      </c>
      <c r="S2744">
        <v>0</v>
      </c>
      <c r="T2744">
        <v>0</v>
      </c>
      <c r="U2744">
        <v>120172.35676507857</v>
      </c>
      <c r="V2744">
        <v>0</v>
      </c>
      <c r="W2744">
        <v>373831.77570093458</v>
      </c>
      <c r="X2744">
        <v>0</v>
      </c>
      <c r="Y2744">
        <v>511265.71072737908</v>
      </c>
      <c r="Z2744">
        <v>34580.289272620925</v>
      </c>
      <c r="AA2744">
        <v>545846</v>
      </c>
      <c r="AB2744" t="s">
        <v>242</v>
      </c>
      <c r="AC2744">
        <v>5</v>
      </c>
      <c r="AD2744">
        <v>2500</v>
      </c>
      <c r="AE2744">
        <v>0</v>
      </c>
      <c r="AF2744">
        <v>0</v>
      </c>
      <c r="AG2744">
        <v>158.02848438842602</v>
      </c>
      <c r="AH2744" t="s">
        <v>58</v>
      </c>
    </row>
    <row r="2745" spans="1:38" x14ac:dyDescent="0.3">
      <c r="A2745" t="s">
        <v>798</v>
      </c>
      <c r="B2745">
        <v>52201039</v>
      </c>
      <c r="C2745">
        <v>29379502</v>
      </c>
      <c r="D2745" t="s">
        <v>146</v>
      </c>
      <c r="E2745" t="s">
        <v>438</v>
      </c>
      <c r="F2745" t="s">
        <v>431</v>
      </c>
      <c r="G2745" t="s">
        <v>82</v>
      </c>
      <c r="H2745" t="s">
        <v>83</v>
      </c>
      <c r="J2745" t="s">
        <v>52</v>
      </c>
      <c r="K2745" s="15">
        <v>3000</v>
      </c>
      <c r="M2745">
        <v>45420</v>
      </c>
      <c r="N2745" t="s">
        <v>1075</v>
      </c>
      <c r="O2745">
        <v>0</v>
      </c>
      <c r="P2745">
        <v>0</v>
      </c>
      <c r="Q2745">
        <v>0</v>
      </c>
      <c r="R2745">
        <v>698.78288120401555</v>
      </c>
      <c r="S2745">
        <v>3632.1173583214854</v>
      </c>
      <c r="T2745">
        <v>0</v>
      </c>
      <c r="U2745">
        <v>0</v>
      </c>
      <c r="V2745">
        <v>49170.889355899591</v>
      </c>
      <c r="W2745">
        <v>0</v>
      </c>
      <c r="X2745">
        <v>0</v>
      </c>
      <c r="Y2745">
        <v>53501.789595425093</v>
      </c>
      <c r="Z2745">
        <v>3696.2104699954757</v>
      </c>
      <c r="AA2745">
        <v>57198.000065420565</v>
      </c>
      <c r="AB2745" t="s">
        <v>242</v>
      </c>
      <c r="AC2745">
        <v>10</v>
      </c>
      <c r="AD2745">
        <v>22000</v>
      </c>
      <c r="AE2745">
        <v>0</v>
      </c>
      <c r="AF2745">
        <v>0</v>
      </c>
      <c r="AG2745">
        <v>1420.2007492376463</v>
      </c>
      <c r="AH2745" t="s">
        <v>58</v>
      </c>
    </row>
    <row r="2746" spans="1:38" x14ac:dyDescent="0.3">
      <c r="A2746" t="s">
        <v>798</v>
      </c>
      <c r="B2746">
        <v>4142300833</v>
      </c>
      <c r="C2746">
        <v>10386254</v>
      </c>
      <c r="D2746" t="s">
        <v>743</v>
      </c>
      <c r="E2746" t="s">
        <v>445</v>
      </c>
      <c r="F2746" t="s">
        <v>430</v>
      </c>
      <c r="G2746" t="s">
        <v>230</v>
      </c>
      <c r="H2746" t="s">
        <v>234</v>
      </c>
      <c r="J2746" t="s">
        <v>52</v>
      </c>
      <c r="K2746" s="15">
        <v>4000</v>
      </c>
      <c r="M2746">
        <v>45420</v>
      </c>
      <c r="N2746" t="s">
        <v>1073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401735.75700934581</v>
      </c>
      <c r="Y2746">
        <v>401735.75700934581</v>
      </c>
      <c r="Z2746">
        <v>28121.502990654208</v>
      </c>
      <c r="AA2746">
        <v>429857.26</v>
      </c>
      <c r="AB2746" t="s">
        <v>242</v>
      </c>
      <c r="AC2746">
        <v>5</v>
      </c>
      <c r="AD2746">
        <v>22000</v>
      </c>
      <c r="AE2746">
        <v>0</v>
      </c>
      <c r="AF2746">
        <v>0</v>
      </c>
      <c r="AG2746">
        <v>1439.2523364485978</v>
      </c>
      <c r="AH2746" t="s">
        <v>58</v>
      </c>
    </row>
    <row r="2748" spans="1:38" x14ac:dyDescent="0.3">
      <c r="A2748" t="s">
        <v>798</v>
      </c>
      <c r="B2748">
        <v>4312400033</v>
      </c>
      <c r="C2748" t="s">
        <v>1121</v>
      </c>
      <c r="D2748" t="s">
        <v>1127</v>
      </c>
      <c r="E2748" t="s">
        <v>1117</v>
      </c>
      <c r="F2748" t="s">
        <v>433</v>
      </c>
      <c r="G2748" t="s">
        <v>82</v>
      </c>
      <c r="H2748" t="s">
        <v>71</v>
      </c>
      <c r="I2748" t="s">
        <v>1086</v>
      </c>
      <c r="J2748" t="s">
        <v>1086</v>
      </c>
      <c r="L2748" s="15" t="s">
        <v>52</v>
      </c>
      <c r="M2748" t="s">
        <v>1136</v>
      </c>
      <c r="N2748">
        <v>3000</v>
      </c>
      <c r="P2748">
        <v>45581</v>
      </c>
      <c r="Q2748">
        <v>45581</v>
      </c>
      <c r="R2748" t="s">
        <v>1013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245435.99999999997</v>
      </c>
      <c r="AC2748">
        <v>245435.99999999997</v>
      </c>
      <c r="AD2748">
        <v>17180.52</v>
      </c>
      <c r="AE2748">
        <v>262616.51999999996</v>
      </c>
      <c r="AF2748" t="s">
        <v>242</v>
      </c>
      <c r="AG2748">
        <v>1</v>
      </c>
      <c r="AH2748">
        <v>3000</v>
      </c>
      <c r="AI2748">
        <v>0</v>
      </c>
      <c r="AJ2748">
        <v>0</v>
      </c>
      <c r="AK2748">
        <v>196.2616822429909</v>
      </c>
      <c r="AL2748" t="s">
        <v>72</v>
      </c>
    </row>
    <row r="2749" spans="1:38" x14ac:dyDescent="0.3">
      <c r="A2749" t="s">
        <v>798</v>
      </c>
      <c r="B2749">
        <v>4322400021</v>
      </c>
      <c r="C2749" t="s">
        <v>1122</v>
      </c>
      <c r="D2749" t="s">
        <v>1128</v>
      </c>
      <c r="E2749" t="s">
        <v>1117</v>
      </c>
      <c r="F2749" t="s">
        <v>433</v>
      </c>
      <c r="G2749" t="s">
        <v>232</v>
      </c>
      <c r="H2749" t="s">
        <v>234</v>
      </c>
      <c r="I2749" t="s">
        <v>1086</v>
      </c>
      <c r="J2749" t="s">
        <v>1086</v>
      </c>
      <c r="L2749" s="15" t="s">
        <v>52</v>
      </c>
      <c r="M2749" t="s">
        <v>1136</v>
      </c>
      <c r="N2749">
        <v>2000</v>
      </c>
      <c r="P2749">
        <v>45581</v>
      </c>
      <c r="Q2749">
        <v>45581</v>
      </c>
      <c r="R2749" t="s">
        <v>1013</v>
      </c>
      <c r="S2749">
        <v>0</v>
      </c>
      <c r="T2749">
        <v>0</v>
      </c>
      <c r="U2749">
        <v>0</v>
      </c>
      <c r="V2749">
        <v>229286.16999999926</v>
      </c>
      <c r="W2749">
        <v>0</v>
      </c>
      <c r="X2749">
        <v>0</v>
      </c>
      <c r="Y2749">
        <v>0</v>
      </c>
      <c r="Z2749">
        <v>175408.93</v>
      </c>
      <c r="AA2749">
        <v>0</v>
      </c>
      <c r="AB2749">
        <v>0</v>
      </c>
      <c r="AC2749">
        <v>404695.09999999928</v>
      </c>
      <c r="AD2749">
        <v>0</v>
      </c>
      <c r="AE2749">
        <v>404695.09999999928</v>
      </c>
      <c r="AF2749" t="s">
        <v>242</v>
      </c>
      <c r="AG2749">
        <v>1</v>
      </c>
      <c r="AH2749">
        <v>2000</v>
      </c>
      <c r="AI2749">
        <v>0</v>
      </c>
      <c r="AJ2749">
        <v>0</v>
      </c>
      <c r="AK2749">
        <v>0</v>
      </c>
      <c r="AL2749" t="s">
        <v>72</v>
      </c>
    </row>
    <row r="2750" spans="1:38" x14ac:dyDescent="0.3">
      <c r="A2750" t="s">
        <v>798</v>
      </c>
      <c r="B2750">
        <v>52201323</v>
      </c>
      <c r="C2750">
        <v>26835889</v>
      </c>
      <c r="D2750" t="s">
        <v>877</v>
      </c>
      <c r="E2750" t="s">
        <v>1088</v>
      </c>
      <c r="F2750" t="s">
        <v>431</v>
      </c>
      <c r="G2750" t="s">
        <v>82</v>
      </c>
      <c r="H2750" t="s">
        <v>83</v>
      </c>
      <c r="I2750" t="s">
        <v>1086</v>
      </c>
      <c r="J2750" t="s">
        <v>1087</v>
      </c>
      <c r="L2750" s="15" t="s">
        <v>52</v>
      </c>
      <c r="M2750" t="s">
        <v>1137</v>
      </c>
      <c r="N2750">
        <v>3000</v>
      </c>
      <c r="P2750">
        <v>45596</v>
      </c>
      <c r="Q2750">
        <v>45596</v>
      </c>
      <c r="R2750" t="s">
        <v>1139</v>
      </c>
      <c r="S2750">
        <v>0</v>
      </c>
      <c r="T2750">
        <v>0</v>
      </c>
      <c r="U2750">
        <v>0</v>
      </c>
      <c r="V2750">
        <v>742.3518191500508</v>
      </c>
      <c r="W2750">
        <v>4198.0609122090245</v>
      </c>
      <c r="X2750">
        <v>0</v>
      </c>
      <c r="Y2750">
        <v>0</v>
      </c>
      <c r="Z2750">
        <v>48109.079118336827</v>
      </c>
      <c r="AA2750">
        <v>0</v>
      </c>
      <c r="AB2750">
        <v>0</v>
      </c>
      <c r="AC2750">
        <v>53049.4918496959</v>
      </c>
      <c r="AD2750">
        <v>3661.4998021382098</v>
      </c>
      <c r="AE2750">
        <v>56710.991651834112</v>
      </c>
      <c r="AF2750" t="s">
        <v>242</v>
      </c>
      <c r="AG2750">
        <v>12</v>
      </c>
      <c r="AH2750">
        <v>17500</v>
      </c>
      <c r="AI2750">
        <v>0</v>
      </c>
      <c r="AJ2750">
        <v>0</v>
      </c>
      <c r="AK2750">
        <v>1128.6585302247695</v>
      </c>
      <c r="AL2750" t="s">
        <v>58</v>
      </c>
    </row>
    <row r="2751" spans="1:38" x14ac:dyDescent="0.3">
      <c r="A2751" t="s">
        <v>798</v>
      </c>
      <c r="B2751">
        <v>52201335</v>
      </c>
      <c r="C2751">
        <v>26922769</v>
      </c>
      <c r="D2751" t="s">
        <v>878</v>
      </c>
      <c r="E2751" t="s">
        <v>1088</v>
      </c>
      <c r="F2751" t="s">
        <v>431</v>
      </c>
      <c r="G2751" t="s">
        <v>82</v>
      </c>
      <c r="H2751" t="s">
        <v>83</v>
      </c>
      <c r="I2751" t="s">
        <v>1086</v>
      </c>
      <c r="J2751" t="s">
        <v>1087</v>
      </c>
      <c r="L2751" s="15" t="s">
        <v>52</v>
      </c>
      <c r="M2751" t="s">
        <v>1138</v>
      </c>
      <c r="N2751">
        <v>1200</v>
      </c>
      <c r="P2751">
        <v>45596</v>
      </c>
      <c r="Q2751">
        <v>45596</v>
      </c>
      <c r="R2751" t="s">
        <v>1013</v>
      </c>
      <c r="S2751">
        <v>0</v>
      </c>
      <c r="T2751">
        <v>0</v>
      </c>
      <c r="U2751">
        <v>0</v>
      </c>
      <c r="V2751">
        <v>968.6569523297095</v>
      </c>
      <c r="W2751">
        <v>29231.072786034078</v>
      </c>
      <c r="X2751">
        <v>0</v>
      </c>
      <c r="Y2751">
        <v>0</v>
      </c>
      <c r="Z2751">
        <v>54048.686613046368</v>
      </c>
      <c r="AA2751">
        <v>0</v>
      </c>
      <c r="AB2751">
        <v>0</v>
      </c>
      <c r="AC2751">
        <v>84248.416351410153</v>
      </c>
      <c r="AD2751">
        <v>5829.5831579356318</v>
      </c>
      <c r="AE2751">
        <v>90077.999509345784</v>
      </c>
      <c r="AF2751" t="s">
        <v>242</v>
      </c>
      <c r="AG2751">
        <v>4</v>
      </c>
      <c r="AH2751">
        <v>6100</v>
      </c>
      <c r="AI2751">
        <v>0</v>
      </c>
      <c r="AJ2751">
        <v>0</v>
      </c>
      <c r="AK2751">
        <v>394.46353893745777</v>
      </c>
      <c r="AL2751" t="s">
        <v>58</v>
      </c>
    </row>
    <row r="2752" spans="1:38" x14ac:dyDescent="0.3">
      <c r="A2752" t="s">
        <v>798</v>
      </c>
      <c r="B2752">
        <v>4142301540</v>
      </c>
      <c r="C2752">
        <v>10592307</v>
      </c>
      <c r="D2752" t="s">
        <v>760</v>
      </c>
      <c r="E2752" t="s">
        <v>1096</v>
      </c>
      <c r="F2752" t="s">
        <v>430</v>
      </c>
      <c r="G2752" t="s">
        <v>230</v>
      </c>
      <c r="H2752" t="s">
        <v>234</v>
      </c>
      <c r="I2752" t="s">
        <v>1086</v>
      </c>
      <c r="J2752" t="s">
        <v>1086</v>
      </c>
      <c r="L2752" s="15" t="s">
        <v>52</v>
      </c>
      <c r="M2752" t="s">
        <v>1138</v>
      </c>
      <c r="N2752">
        <v>5000</v>
      </c>
      <c r="P2752">
        <v>45596</v>
      </c>
      <c r="Q2752">
        <v>45596</v>
      </c>
      <c r="R2752" t="s">
        <v>1013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202681.77177570094</v>
      </c>
      <c r="AC2752">
        <v>202681.77177570094</v>
      </c>
      <c r="AD2752">
        <v>14187.724024299067</v>
      </c>
      <c r="AE2752">
        <v>216869.4958</v>
      </c>
      <c r="AF2752" t="s">
        <v>242</v>
      </c>
      <c r="AG2752">
        <v>10</v>
      </c>
      <c r="AH2752">
        <v>196000</v>
      </c>
      <c r="AI2752">
        <v>0</v>
      </c>
      <c r="AJ2752">
        <v>0</v>
      </c>
      <c r="AK2752">
        <v>12822.429906542071</v>
      </c>
      <c r="AL2752" t="s">
        <v>58</v>
      </c>
    </row>
    <row r="2753" spans="1:38" x14ac:dyDescent="0.3">
      <c r="A2753" t="s">
        <v>798</v>
      </c>
      <c r="B2753">
        <v>4142301217</v>
      </c>
      <c r="C2753">
        <v>10151131</v>
      </c>
      <c r="D2753" t="s">
        <v>749</v>
      </c>
      <c r="E2753" t="s">
        <v>1096</v>
      </c>
      <c r="F2753" t="s">
        <v>430</v>
      </c>
      <c r="G2753" t="s">
        <v>230</v>
      </c>
      <c r="H2753" t="s">
        <v>234</v>
      </c>
      <c r="I2753" t="s">
        <v>1086</v>
      </c>
      <c r="J2753" t="s">
        <v>1086</v>
      </c>
      <c r="L2753" s="15" t="s">
        <v>52</v>
      </c>
      <c r="M2753" t="s">
        <v>1138</v>
      </c>
      <c r="N2753">
        <v>1000</v>
      </c>
      <c r="P2753">
        <v>45596</v>
      </c>
      <c r="Q2753">
        <v>45596</v>
      </c>
      <c r="R2753" t="s">
        <v>1013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471611.41121495335</v>
      </c>
      <c r="AC2753">
        <v>471611.41121495335</v>
      </c>
      <c r="AD2753">
        <v>33012.79878504674</v>
      </c>
      <c r="AE2753">
        <v>504624.21000000008</v>
      </c>
      <c r="AF2753" t="s">
        <v>242</v>
      </c>
      <c r="AG2753">
        <v>8</v>
      </c>
      <c r="AH2753">
        <v>14000</v>
      </c>
      <c r="AI2753">
        <v>0</v>
      </c>
      <c r="AJ2753">
        <v>0</v>
      </c>
      <c r="AK2753">
        <v>915.88785046728981</v>
      </c>
      <c r="AL2753" t="s">
        <v>58</v>
      </c>
    </row>
    <row r="2754" spans="1:38" x14ac:dyDescent="0.3">
      <c r="A2754" t="s">
        <v>798</v>
      </c>
      <c r="B2754">
        <v>52201528</v>
      </c>
      <c r="C2754">
        <v>30183985</v>
      </c>
      <c r="D2754" t="s">
        <v>654</v>
      </c>
      <c r="E2754" t="s">
        <v>1088</v>
      </c>
      <c r="F2754" t="s">
        <v>431</v>
      </c>
      <c r="G2754" t="s">
        <v>235</v>
      </c>
      <c r="H2754" t="s">
        <v>236</v>
      </c>
      <c r="I2754" t="s">
        <v>1086</v>
      </c>
      <c r="J2754" t="s">
        <v>1093</v>
      </c>
      <c r="L2754" s="15" t="s">
        <v>52</v>
      </c>
      <c r="M2754" t="s">
        <v>1138</v>
      </c>
      <c r="N2754">
        <v>1000</v>
      </c>
      <c r="P2754">
        <v>45596</v>
      </c>
      <c r="Q2754">
        <v>45596</v>
      </c>
      <c r="R2754" t="s">
        <v>1013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172476.63551401874</v>
      </c>
      <c r="AA2754">
        <v>0</v>
      </c>
      <c r="AB2754">
        <v>0</v>
      </c>
      <c r="AC2754">
        <v>172476.63551401874</v>
      </c>
      <c r="AD2754">
        <v>12073.364485981312</v>
      </c>
      <c r="AE2754">
        <v>184550.00000000006</v>
      </c>
      <c r="AF2754" t="s">
        <v>242</v>
      </c>
      <c r="AG2754">
        <v>7</v>
      </c>
      <c r="AH2754">
        <v>6500</v>
      </c>
      <c r="AI2754">
        <v>0</v>
      </c>
      <c r="AJ2754">
        <v>0</v>
      </c>
      <c r="AK2754">
        <v>423.59917882179741</v>
      </c>
      <c r="AL2754" t="s">
        <v>58</v>
      </c>
    </row>
    <row r="2755" spans="1:38" x14ac:dyDescent="0.3">
      <c r="A2755" t="s">
        <v>798</v>
      </c>
      <c r="B2755">
        <v>4142300515</v>
      </c>
      <c r="C2755">
        <v>10224848</v>
      </c>
      <c r="D2755" t="s">
        <v>918</v>
      </c>
      <c r="E2755" t="s">
        <v>1095</v>
      </c>
      <c r="F2755" t="s">
        <v>430</v>
      </c>
      <c r="G2755" t="s">
        <v>237</v>
      </c>
      <c r="H2755" t="s">
        <v>234</v>
      </c>
      <c r="I2755" t="s">
        <v>1086</v>
      </c>
      <c r="J2755" t="s">
        <v>1092</v>
      </c>
      <c r="L2755" s="15" t="s">
        <v>52</v>
      </c>
      <c r="M2755" t="s">
        <v>1138</v>
      </c>
      <c r="N2755">
        <v>500</v>
      </c>
      <c r="P2755">
        <v>45596</v>
      </c>
      <c r="Q2755">
        <v>45596</v>
      </c>
      <c r="R2755" t="s">
        <v>1013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25062.6168224299</v>
      </c>
      <c r="AC2755">
        <v>25062.6168224299</v>
      </c>
      <c r="AD2755">
        <v>1754.3831775700933</v>
      </c>
      <c r="AE2755">
        <v>26816.999999999993</v>
      </c>
      <c r="AF2755" t="s">
        <v>242</v>
      </c>
      <c r="AG2755">
        <v>7</v>
      </c>
      <c r="AH2755">
        <v>3500</v>
      </c>
      <c r="AI2755">
        <v>0</v>
      </c>
      <c r="AJ2755">
        <v>0</v>
      </c>
      <c r="AK2755">
        <v>228.97196261682245</v>
      </c>
      <c r="AL2755" t="s">
        <v>58</v>
      </c>
    </row>
    <row r="2756" spans="1:38" x14ac:dyDescent="0.3">
      <c r="A2756" t="s">
        <v>798</v>
      </c>
      <c r="B2756">
        <v>4142300798</v>
      </c>
      <c r="C2756">
        <v>10364170</v>
      </c>
      <c r="D2756" t="s">
        <v>210</v>
      </c>
      <c r="E2756" t="s">
        <v>1095</v>
      </c>
      <c r="F2756" t="s">
        <v>430</v>
      </c>
      <c r="G2756" t="s">
        <v>230</v>
      </c>
      <c r="H2756" t="s">
        <v>234</v>
      </c>
      <c r="I2756" t="s">
        <v>1086</v>
      </c>
      <c r="J2756" t="s">
        <v>1086</v>
      </c>
      <c r="L2756" s="15" t="s">
        <v>52</v>
      </c>
      <c r="M2756" t="s">
        <v>1138</v>
      </c>
      <c r="N2756">
        <v>10000</v>
      </c>
      <c r="P2756">
        <v>45596</v>
      </c>
      <c r="Q2756">
        <v>45596</v>
      </c>
      <c r="R2756" t="s">
        <v>1013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681501.88093714009</v>
      </c>
      <c r="AC2756">
        <v>681501.88093714009</v>
      </c>
      <c r="AD2756">
        <v>47705.131665599809</v>
      </c>
      <c r="AE2756">
        <v>729207.01260273985</v>
      </c>
      <c r="AF2756" t="s">
        <v>242</v>
      </c>
      <c r="AG2756">
        <v>11</v>
      </c>
      <c r="AH2756">
        <v>242000</v>
      </c>
      <c r="AI2756">
        <v>0</v>
      </c>
      <c r="AJ2756">
        <v>0</v>
      </c>
      <c r="AK2756">
        <v>15831.775700934582</v>
      </c>
      <c r="AL2756" t="s">
        <v>58</v>
      </c>
    </row>
    <row r="2757" spans="1:38" x14ac:dyDescent="0.3">
      <c r="A2757" t="s">
        <v>798</v>
      </c>
      <c r="B2757">
        <v>42201416</v>
      </c>
      <c r="C2757">
        <v>2759018438</v>
      </c>
      <c r="D2757" t="s">
        <v>965</v>
      </c>
      <c r="E2757" t="s">
        <v>1097</v>
      </c>
      <c r="F2757" t="s">
        <v>430</v>
      </c>
      <c r="G2757" t="s">
        <v>230</v>
      </c>
      <c r="H2757" t="s">
        <v>234</v>
      </c>
      <c r="I2757" t="s">
        <v>1086</v>
      </c>
      <c r="J2757" t="s">
        <v>1093</v>
      </c>
      <c r="L2757" s="15" t="s">
        <v>52</v>
      </c>
      <c r="M2757" t="s">
        <v>1138</v>
      </c>
      <c r="N2757">
        <v>500</v>
      </c>
      <c r="P2757">
        <v>45596</v>
      </c>
      <c r="Q2757">
        <v>45596</v>
      </c>
      <c r="R2757" t="s">
        <v>1013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581985.99065420544</v>
      </c>
      <c r="AC2757">
        <v>581985.99065420544</v>
      </c>
      <c r="AD2757">
        <v>40739.019345794382</v>
      </c>
      <c r="AE2757">
        <v>622725.00999999978</v>
      </c>
      <c r="AF2757" t="s">
        <v>242</v>
      </c>
      <c r="AG2757">
        <v>8</v>
      </c>
      <c r="AH2757">
        <v>19500</v>
      </c>
      <c r="AI2757">
        <v>0</v>
      </c>
      <c r="AJ2757">
        <v>0</v>
      </c>
      <c r="AK2757">
        <v>1275.7009345794409</v>
      </c>
      <c r="AL2757" t="s">
        <v>58</v>
      </c>
    </row>
    <row r="2758" spans="1:38" x14ac:dyDescent="0.3">
      <c r="A2758" t="s">
        <v>798</v>
      </c>
      <c r="B2758">
        <v>52201131</v>
      </c>
      <c r="C2758">
        <v>25692011</v>
      </c>
      <c r="D2758" t="s">
        <v>652</v>
      </c>
      <c r="E2758" t="s">
        <v>1088</v>
      </c>
      <c r="F2758" t="s">
        <v>431</v>
      </c>
      <c r="G2758" t="s">
        <v>235</v>
      </c>
      <c r="H2758" t="s">
        <v>236</v>
      </c>
      <c r="I2758" t="s">
        <v>1086</v>
      </c>
      <c r="J2758" t="s">
        <v>1086</v>
      </c>
      <c r="L2758" s="15" t="s">
        <v>52</v>
      </c>
      <c r="M2758" t="s">
        <v>1138</v>
      </c>
      <c r="N2758">
        <v>3000</v>
      </c>
      <c r="P2758">
        <v>45596</v>
      </c>
      <c r="Q2758">
        <v>45596</v>
      </c>
      <c r="R2758" t="s">
        <v>1013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158331.77570093467</v>
      </c>
      <c r="AA2758">
        <v>0</v>
      </c>
      <c r="AB2758">
        <v>0</v>
      </c>
      <c r="AC2758">
        <v>158331.77570093467</v>
      </c>
      <c r="AD2758">
        <v>11083.224299065429</v>
      </c>
      <c r="AE2758">
        <v>169415.00000000009</v>
      </c>
      <c r="AF2758" t="s">
        <v>242</v>
      </c>
      <c r="AG2758">
        <v>10</v>
      </c>
      <c r="AH2758">
        <v>29400</v>
      </c>
      <c r="AI2758">
        <v>0</v>
      </c>
      <c r="AJ2758">
        <v>0</v>
      </c>
      <c r="AK2758">
        <v>1922.3344769151636</v>
      </c>
      <c r="AL2758" t="s">
        <v>58</v>
      </c>
    </row>
    <row r="2759" spans="1:38" x14ac:dyDescent="0.3">
      <c r="A2759" t="s">
        <v>798</v>
      </c>
      <c r="B2759">
        <v>12200122</v>
      </c>
      <c r="C2759">
        <v>5900440096</v>
      </c>
      <c r="D2759" t="s">
        <v>113</v>
      </c>
      <c r="E2759" t="s">
        <v>1101</v>
      </c>
      <c r="F2759" t="s">
        <v>427</v>
      </c>
      <c r="G2759" t="s">
        <v>82</v>
      </c>
      <c r="H2759" t="s">
        <v>82</v>
      </c>
      <c r="I2759" t="s">
        <v>1086</v>
      </c>
      <c r="J2759" t="s">
        <v>1086</v>
      </c>
      <c r="L2759" s="15" t="s">
        <v>52</v>
      </c>
      <c r="M2759" t="s">
        <v>1138</v>
      </c>
      <c r="N2759">
        <v>1000</v>
      </c>
      <c r="P2759">
        <v>45596</v>
      </c>
      <c r="Q2759">
        <v>45596</v>
      </c>
      <c r="R2759" t="s">
        <v>1013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2999.4900000000016</v>
      </c>
      <c r="AA2759">
        <v>0</v>
      </c>
      <c r="AB2759">
        <v>0</v>
      </c>
      <c r="AC2759">
        <v>2999.4900000000016</v>
      </c>
      <c r="AD2759">
        <v>0</v>
      </c>
      <c r="AE2759">
        <v>2999.4900000000016</v>
      </c>
      <c r="AF2759" t="s">
        <v>242</v>
      </c>
      <c r="AG2759">
        <v>16</v>
      </c>
      <c r="AH2759">
        <v>18276</v>
      </c>
      <c r="AI2759">
        <v>0</v>
      </c>
      <c r="AJ2759">
        <v>0</v>
      </c>
      <c r="AK2759">
        <v>0</v>
      </c>
      <c r="AL2759" t="s">
        <v>58</v>
      </c>
    </row>
    <row r="2760" spans="1:38" x14ac:dyDescent="0.3">
      <c r="A2760" t="s">
        <v>798</v>
      </c>
      <c r="B2760">
        <v>22200068</v>
      </c>
      <c r="C2760">
        <v>20579132</v>
      </c>
      <c r="D2760" t="s">
        <v>80</v>
      </c>
      <c r="E2760" t="s">
        <v>1098</v>
      </c>
      <c r="F2760" t="s">
        <v>428</v>
      </c>
      <c r="G2760" t="s">
        <v>82</v>
      </c>
      <c r="H2760" t="s">
        <v>82</v>
      </c>
      <c r="I2760" t="s">
        <v>1086</v>
      </c>
      <c r="J2760" t="s">
        <v>1086</v>
      </c>
      <c r="L2760" s="15" t="s">
        <v>52</v>
      </c>
      <c r="M2760" t="s">
        <v>1138</v>
      </c>
      <c r="N2760">
        <v>500</v>
      </c>
      <c r="P2760">
        <v>45596</v>
      </c>
      <c r="Q2760">
        <v>45596</v>
      </c>
      <c r="R2760" t="s">
        <v>1013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18691.271592123288</v>
      </c>
      <c r="AA2760">
        <v>0</v>
      </c>
      <c r="AB2760">
        <v>0</v>
      </c>
      <c r="AC2760">
        <v>18691.271592123288</v>
      </c>
      <c r="AD2760">
        <v>0</v>
      </c>
      <c r="AE2760">
        <v>18691.271592123288</v>
      </c>
      <c r="AF2760" t="s">
        <v>242</v>
      </c>
      <c r="AG2760">
        <v>19</v>
      </c>
      <c r="AH2760">
        <v>11000</v>
      </c>
      <c r="AI2760">
        <v>0</v>
      </c>
      <c r="AJ2760">
        <v>0</v>
      </c>
      <c r="AK2760">
        <v>0</v>
      </c>
      <c r="AL2760" t="s">
        <v>58</v>
      </c>
    </row>
    <row r="2761" spans="1:38" x14ac:dyDescent="0.3">
      <c r="A2761" t="s">
        <v>798</v>
      </c>
      <c r="B2761">
        <v>4132300605</v>
      </c>
      <c r="C2761">
        <v>1090219169</v>
      </c>
      <c r="D2761" t="s">
        <v>1104</v>
      </c>
      <c r="E2761" t="s">
        <v>1090</v>
      </c>
      <c r="F2761" t="s">
        <v>430</v>
      </c>
      <c r="G2761" t="s">
        <v>238</v>
      </c>
      <c r="H2761" t="s">
        <v>236</v>
      </c>
      <c r="I2761" t="s">
        <v>1086</v>
      </c>
      <c r="J2761" t="s">
        <v>1092</v>
      </c>
      <c r="L2761" s="15" t="s">
        <v>52</v>
      </c>
      <c r="M2761" t="s">
        <v>1138</v>
      </c>
      <c r="N2761">
        <v>1200</v>
      </c>
      <c r="P2761">
        <v>45596</v>
      </c>
      <c r="Q2761">
        <v>45596</v>
      </c>
      <c r="R2761" t="s">
        <v>1013</v>
      </c>
      <c r="S2761">
        <v>0</v>
      </c>
      <c r="T2761">
        <v>0</v>
      </c>
      <c r="U2761">
        <v>0</v>
      </c>
      <c r="V2761">
        <v>0</v>
      </c>
      <c r="W2761">
        <v>1796.7091647063016</v>
      </c>
      <c r="X2761">
        <v>0</v>
      </c>
      <c r="Y2761">
        <v>0</v>
      </c>
      <c r="Z2761">
        <v>22599.109985615669</v>
      </c>
      <c r="AA2761">
        <v>0</v>
      </c>
      <c r="AB2761">
        <v>0</v>
      </c>
      <c r="AC2761">
        <v>24395.819150321971</v>
      </c>
      <c r="AD2761">
        <v>1581.937698993097</v>
      </c>
      <c r="AE2761">
        <v>25977.756849315068</v>
      </c>
      <c r="AF2761" t="s">
        <v>242</v>
      </c>
      <c r="AG2761">
        <v>4</v>
      </c>
      <c r="AH2761">
        <v>4800</v>
      </c>
      <c r="AI2761">
        <v>0</v>
      </c>
      <c r="AJ2761">
        <v>0</v>
      </c>
      <c r="AK2761">
        <v>290.7258524087722</v>
      </c>
      <c r="AL2761" t="s">
        <v>58</v>
      </c>
    </row>
    <row r="2762" spans="1:38" x14ac:dyDescent="0.3">
      <c r="A2762" t="s">
        <v>798</v>
      </c>
      <c r="B2762">
        <v>4132301221</v>
      </c>
      <c r="C2762">
        <v>9090068323</v>
      </c>
      <c r="D2762" t="s">
        <v>1105</v>
      </c>
      <c r="E2762" t="s">
        <v>1090</v>
      </c>
      <c r="F2762" t="s">
        <v>430</v>
      </c>
      <c r="G2762" t="s">
        <v>233</v>
      </c>
      <c r="H2762" t="s">
        <v>231</v>
      </c>
      <c r="I2762" t="s">
        <v>1086</v>
      </c>
      <c r="J2762" t="s">
        <v>1092</v>
      </c>
      <c r="L2762" s="15" t="s">
        <v>52</v>
      </c>
      <c r="M2762" t="s">
        <v>1138</v>
      </c>
      <c r="N2762">
        <v>4000</v>
      </c>
      <c r="P2762">
        <v>45596</v>
      </c>
      <c r="Q2762">
        <v>45596</v>
      </c>
      <c r="R2762" t="s">
        <v>1013</v>
      </c>
      <c r="S2762">
        <v>0</v>
      </c>
      <c r="T2762">
        <v>8171.5576502692265</v>
      </c>
      <c r="U2762">
        <v>0</v>
      </c>
      <c r="V2762">
        <v>0</v>
      </c>
      <c r="W2762">
        <v>64956.164383561641</v>
      </c>
      <c r="X2762">
        <v>262099.47883152415</v>
      </c>
      <c r="Y2762">
        <v>0</v>
      </c>
      <c r="Z2762">
        <v>0</v>
      </c>
      <c r="AA2762">
        <v>0</v>
      </c>
      <c r="AB2762">
        <v>0</v>
      </c>
      <c r="AC2762">
        <v>335227.20086535503</v>
      </c>
      <c r="AD2762">
        <v>18346.963518206692</v>
      </c>
      <c r="AE2762">
        <v>353574.1643835617</v>
      </c>
      <c r="AF2762" t="s">
        <v>242</v>
      </c>
      <c r="AG2762">
        <v>6</v>
      </c>
      <c r="AH2762">
        <v>24000</v>
      </c>
      <c r="AI2762">
        <v>0</v>
      </c>
      <c r="AJ2762">
        <v>0</v>
      </c>
      <c r="AK2762">
        <v>1226.8682574942491</v>
      </c>
      <c r="AL2762" t="s">
        <v>58</v>
      </c>
    </row>
    <row r="2763" spans="1:38" x14ac:dyDescent="0.3">
      <c r="A2763" t="s">
        <v>798</v>
      </c>
      <c r="B2763">
        <v>4132300331</v>
      </c>
      <c r="C2763">
        <v>9040040746</v>
      </c>
      <c r="D2763" t="s">
        <v>174</v>
      </c>
      <c r="E2763" t="s">
        <v>1090</v>
      </c>
      <c r="F2763" t="s">
        <v>430</v>
      </c>
      <c r="G2763" t="s">
        <v>230</v>
      </c>
      <c r="H2763" t="s">
        <v>231</v>
      </c>
      <c r="I2763" t="s">
        <v>1086</v>
      </c>
      <c r="J2763" t="s">
        <v>1086</v>
      </c>
      <c r="L2763" s="15" t="s">
        <v>52</v>
      </c>
      <c r="M2763" t="s">
        <v>1138</v>
      </c>
      <c r="N2763">
        <v>1000</v>
      </c>
      <c r="P2763">
        <v>45596</v>
      </c>
      <c r="Q2763">
        <v>45596</v>
      </c>
      <c r="R2763" t="s">
        <v>1013</v>
      </c>
      <c r="S2763">
        <v>0</v>
      </c>
      <c r="T2763">
        <v>8427.8140171458363</v>
      </c>
      <c r="U2763">
        <v>0</v>
      </c>
      <c r="V2763">
        <v>0</v>
      </c>
      <c r="W2763">
        <v>7733.8356164383558</v>
      </c>
      <c r="X2763">
        <v>30333.818675564646</v>
      </c>
      <c r="Y2763">
        <v>0</v>
      </c>
      <c r="Z2763">
        <v>0</v>
      </c>
      <c r="AA2763">
        <v>168224.29906542055</v>
      </c>
      <c r="AB2763">
        <v>0</v>
      </c>
      <c r="AC2763">
        <v>214719.76737456938</v>
      </c>
      <c r="AD2763">
        <v>13899.068241868965</v>
      </c>
      <c r="AE2763">
        <v>228618.83561643833</v>
      </c>
      <c r="AF2763" t="s">
        <v>242</v>
      </c>
      <c r="AG2763">
        <v>13</v>
      </c>
      <c r="AH2763">
        <v>16000</v>
      </c>
      <c r="AI2763">
        <v>0</v>
      </c>
      <c r="AJ2763">
        <v>0</v>
      </c>
      <c r="AK2763">
        <v>967.75418803757793</v>
      </c>
      <c r="AL2763" t="s">
        <v>58</v>
      </c>
    </row>
    <row r="2764" spans="1:38" x14ac:dyDescent="0.3">
      <c r="A2764" t="s">
        <v>798</v>
      </c>
      <c r="B2764">
        <v>4142300021</v>
      </c>
      <c r="C2764">
        <v>99299</v>
      </c>
      <c r="D2764" t="s">
        <v>1111</v>
      </c>
      <c r="E2764" t="s">
        <v>1109</v>
      </c>
      <c r="F2764" t="s">
        <v>430</v>
      </c>
      <c r="G2764" t="s">
        <v>237</v>
      </c>
      <c r="H2764" t="s">
        <v>231</v>
      </c>
      <c r="I2764" t="s">
        <v>1086</v>
      </c>
      <c r="J2764" t="s">
        <v>1092</v>
      </c>
      <c r="L2764" s="15" t="s">
        <v>52</v>
      </c>
      <c r="M2764" t="s">
        <v>1138</v>
      </c>
      <c r="N2764">
        <v>2000</v>
      </c>
      <c r="P2764">
        <v>45596</v>
      </c>
      <c r="Q2764">
        <v>45596</v>
      </c>
      <c r="R2764" t="s">
        <v>1013</v>
      </c>
      <c r="S2764">
        <v>0</v>
      </c>
      <c r="T2764">
        <v>3373.8088449563825</v>
      </c>
      <c r="U2764">
        <v>0</v>
      </c>
      <c r="V2764">
        <v>0</v>
      </c>
      <c r="W2764">
        <v>0</v>
      </c>
      <c r="X2764">
        <v>0</v>
      </c>
      <c r="Y2764">
        <v>50856.253415928615</v>
      </c>
      <c r="Z2764">
        <v>0</v>
      </c>
      <c r="AA2764">
        <v>0</v>
      </c>
      <c r="AB2764">
        <v>0</v>
      </c>
      <c r="AC2764">
        <v>54230.062260884995</v>
      </c>
      <c r="AD2764">
        <v>3559.9377391150033</v>
      </c>
      <c r="AE2764">
        <v>57790</v>
      </c>
      <c r="AF2764" t="s">
        <v>242</v>
      </c>
      <c r="AG2764">
        <v>5</v>
      </c>
      <c r="AH2764">
        <v>10000</v>
      </c>
      <c r="AI2764">
        <v>0</v>
      </c>
      <c r="AJ2764">
        <v>0</v>
      </c>
      <c r="AK2764">
        <v>613.23983097845507</v>
      </c>
      <c r="AL2764" t="s">
        <v>58</v>
      </c>
    </row>
    <row r="2765" spans="1:38" x14ac:dyDescent="0.3">
      <c r="A2765" t="s">
        <v>798</v>
      </c>
      <c r="B2765">
        <v>4142300708</v>
      </c>
      <c r="C2765">
        <v>10316437</v>
      </c>
      <c r="D2765" t="s">
        <v>741</v>
      </c>
      <c r="E2765" t="s">
        <v>1095</v>
      </c>
      <c r="F2765" t="s">
        <v>430</v>
      </c>
      <c r="G2765" t="s">
        <v>230</v>
      </c>
      <c r="H2765" t="s">
        <v>234</v>
      </c>
      <c r="I2765" t="s">
        <v>1086</v>
      </c>
      <c r="J2765" t="s">
        <v>1093</v>
      </c>
      <c r="L2765" s="15" t="s">
        <v>52</v>
      </c>
      <c r="M2765" t="s">
        <v>1138</v>
      </c>
      <c r="N2765">
        <v>5000</v>
      </c>
      <c r="P2765">
        <v>45596</v>
      </c>
      <c r="Q2765">
        <v>45596</v>
      </c>
      <c r="R2765" t="s">
        <v>1013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276939.75700934581</v>
      </c>
      <c r="AC2765">
        <v>276939.75700934581</v>
      </c>
      <c r="AD2765">
        <v>19385.782990654207</v>
      </c>
      <c r="AE2765">
        <v>296325.54000000004</v>
      </c>
      <c r="AF2765" t="s">
        <v>242</v>
      </c>
      <c r="AG2765">
        <v>4</v>
      </c>
      <c r="AH2765">
        <v>20000</v>
      </c>
      <c r="AI2765">
        <v>0</v>
      </c>
      <c r="AJ2765">
        <v>0</v>
      </c>
      <c r="AK2765">
        <v>1308.4112149532702</v>
      </c>
      <c r="AL2765" t="s">
        <v>58</v>
      </c>
    </row>
    <row r="2766" spans="1:38" x14ac:dyDescent="0.3">
      <c r="A2766" t="s">
        <v>798</v>
      </c>
      <c r="B2766">
        <v>4142300254</v>
      </c>
      <c r="C2766">
        <v>10153969</v>
      </c>
      <c r="D2766" t="s">
        <v>195</v>
      </c>
      <c r="E2766" t="s">
        <v>1095</v>
      </c>
      <c r="F2766" t="s">
        <v>430</v>
      </c>
      <c r="G2766" t="s">
        <v>237</v>
      </c>
      <c r="H2766" t="s">
        <v>234</v>
      </c>
      <c r="I2766" t="s">
        <v>1086</v>
      </c>
      <c r="J2766" t="s">
        <v>1086</v>
      </c>
      <c r="L2766" s="15" t="s">
        <v>52</v>
      </c>
      <c r="M2766" t="s">
        <v>1138</v>
      </c>
      <c r="N2766">
        <v>5000</v>
      </c>
      <c r="P2766">
        <v>45596</v>
      </c>
      <c r="Q2766">
        <v>45596</v>
      </c>
      <c r="R2766" t="s">
        <v>1013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15523.570093457944</v>
      </c>
      <c r="AC2766">
        <v>15523.570093457944</v>
      </c>
      <c r="AD2766">
        <v>1086.6499065420562</v>
      </c>
      <c r="AE2766">
        <v>16610.22</v>
      </c>
      <c r="AF2766" t="s">
        <v>242</v>
      </c>
      <c r="AG2766">
        <v>15</v>
      </c>
      <c r="AH2766">
        <v>75000</v>
      </c>
      <c r="AI2766">
        <v>0</v>
      </c>
      <c r="AJ2766">
        <v>0</v>
      </c>
      <c r="AK2766">
        <v>4906.5420560747634</v>
      </c>
      <c r="AL2766" t="s">
        <v>58</v>
      </c>
    </row>
    <row r="2767" spans="1:38" x14ac:dyDescent="0.3">
      <c r="A2767" t="s">
        <v>798</v>
      </c>
      <c r="B2767">
        <v>12200041</v>
      </c>
      <c r="C2767">
        <v>23113175</v>
      </c>
      <c r="D2767" t="s">
        <v>78</v>
      </c>
      <c r="E2767" t="s">
        <v>1098</v>
      </c>
      <c r="F2767" t="s">
        <v>427</v>
      </c>
      <c r="G2767" t="s">
        <v>82</v>
      </c>
      <c r="H2767" t="s">
        <v>82</v>
      </c>
      <c r="I2767" t="s">
        <v>1086</v>
      </c>
      <c r="J2767" t="s">
        <v>1087</v>
      </c>
      <c r="L2767" s="15" t="s">
        <v>52</v>
      </c>
      <c r="M2767" t="s">
        <v>1138</v>
      </c>
      <c r="N2767">
        <v>5000</v>
      </c>
      <c r="P2767">
        <v>45596</v>
      </c>
      <c r="Q2767">
        <v>45596</v>
      </c>
      <c r="R2767" t="s">
        <v>1013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107565.03142572055</v>
      </c>
      <c r="AA2767">
        <v>0</v>
      </c>
      <c r="AB2767">
        <v>0</v>
      </c>
      <c r="AC2767">
        <v>107565.03142572055</v>
      </c>
      <c r="AD2767">
        <v>0</v>
      </c>
      <c r="AE2767">
        <v>107565.03142572055</v>
      </c>
      <c r="AF2767" t="s">
        <v>242</v>
      </c>
      <c r="AG2767">
        <v>26</v>
      </c>
      <c r="AH2767">
        <v>115000</v>
      </c>
      <c r="AI2767">
        <v>0</v>
      </c>
      <c r="AJ2767">
        <v>0</v>
      </c>
      <c r="AK2767">
        <v>0</v>
      </c>
      <c r="AL2767" t="s">
        <v>58</v>
      </c>
    </row>
    <row r="2768" spans="1:38" x14ac:dyDescent="0.3">
      <c r="A2768" t="s">
        <v>798</v>
      </c>
      <c r="B2768">
        <v>52200644</v>
      </c>
      <c r="C2768">
        <v>25645406</v>
      </c>
      <c r="D2768" t="s">
        <v>662</v>
      </c>
      <c r="E2768" t="s">
        <v>1088</v>
      </c>
      <c r="F2768" t="s">
        <v>431</v>
      </c>
      <c r="G2768" t="s">
        <v>230</v>
      </c>
      <c r="H2768" t="s">
        <v>231</v>
      </c>
      <c r="I2768" t="s">
        <v>1086</v>
      </c>
      <c r="J2768" t="s">
        <v>1087</v>
      </c>
      <c r="L2768" s="15" t="s">
        <v>52</v>
      </c>
      <c r="M2768" t="s">
        <v>1138</v>
      </c>
      <c r="N2768">
        <v>1000</v>
      </c>
      <c r="P2768">
        <v>45596</v>
      </c>
      <c r="Q2768">
        <v>45596</v>
      </c>
      <c r="R2768" t="s">
        <v>1013</v>
      </c>
      <c r="S2768">
        <v>2735.5275191340784</v>
      </c>
      <c r="T2768">
        <v>0</v>
      </c>
      <c r="U2768">
        <v>0</v>
      </c>
      <c r="V2768">
        <v>0</v>
      </c>
      <c r="W2768">
        <v>0</v>
      </c>
      <c r="X2768">
        <v>27723.806056884045</v>
      </c>
      <c r="Y2768">
        <v>0</v>
      </c>
      <c r="Z2768">
        <v>0</v>
      </c>
      <c r="AA2768">
        <v>78504.672897196258</v>
      </c>
      <c r="AB2768">
        <v>0</v>
      </c>
      <c r="AC2768">
        <v>108964.00647321438</v>
      </c>
      <c r="AD2768">
        <v>7435.9935267856217</v>
      </c>
      <c r="AE2768">
        <v>116400</v>
      </c>
      <c r="AF2768" t="s">
        <v>242</v>
      </c>
      <c r="AG2768">
        <v>11</v>
      </c>
      <c r="AH2768">
        <v>13000</v>
      </c>
      <c r="AI2768">
        <v>0</v>
      </c>
      <c r="AJ2768">
        <v>0</v>
      </c>
      <c r="AK2768">
        <v>831.9886797713732</v>
      </c>
      <c r="AL2768" t="s">
        <v>58</v>
      </c>
    </row>
    <row r="2769" spans="1:38" x14ac:dyDescent="0.3">
      <c r="A2769" t="s">
        <v>798</v>
      </c>
      <c r="B2769">
        <v>82200002</v>
      </c>
      <c r="C2769">
        <v>901014005220</v>
      </c>
      <c r="D2769" t="s">
        <v>994</v>
      </c>
      <c r="E2769" t="s">
        <v>1114</v>
      </c>
      <c r="F2769" t="s">
        <v>433</v>
      </c>
      <c r="G2769" t="s">
        <v>82</v>
      </c>
      <c r="H2769" t="s">
        <v>83</v>
      </c>
      <c r="I2769" t="s">
        <v>1086</v>
      </c>
      <c r="J2769" t="s">
        <v>1086</v>
      </c>
      <c r="L2769" s="15" t="s">
        <v>52</v>
      </c>
      <c r="M2769" t="s">
        <v>1138</v>
      </c>
      <c r="N2769">
        <v>10000</v>
      </c>
      <c r="P2769">
        <v>45596</v>
      </c>
      <c r="Q2769">
        <v>45596</v>
      </c>
      <c r="R2769" t="s">
        <v>1013</v>
      </c>
      <c r="S2769">
        <v>0</v>
      </c>
      <c r="T2769">
        <v>0</v>
      </c>
      <c r="U2769">
        <v>59498.832881991148</v>
      </c>
      <c r="V2769">
        <v>34918.17</v>
      </c>
      <c r="W2769">
        <v>137322.27581122323</v>
      </c>
      <c r="X2769">
        <v>0</v>
      </c>
      <c r="Y2769">
        <v>0</v>
      </c>
      <c r="Z2769">
        <v>967982.71</v>
      </c>
      <c r="AA2769">
        <v>0</v>
      </c>
      <c r="AB2769">
        <v>0</v>
      </c>
      <c r="AC2769">
        <v>1199721.9886932143</v>
      </c>
      <c r="AD2769">
        <v>77371.349006785633</v>
      </c>
      <c r="AE2769">
        <v>1277093.3376999998</v>
      </c>
      <c r="AF2769" t="s">
        <v>242</v>
      </c>
      <c r="AG2769">
        <v>7</v>
      </c>
      <c r="AH2769">
        <v>120000</v>
      </c>
      <c r="AI2769">
        <v>0</v>
      </c>
      <c r="AJ2769">
        <v>0</v>
      </c>
      <c r="AK2769">
        <v>7230.5186932143752</v>
      </c>
      <c r="AL2769" t="s">
        <v>58</v>
      </c>
    </row>
    <row r="2770" spans="1:38" x14ac:dyDescent="0.3">
      <c r="A2770" t="s">
        <v>798</v>
      </c>
      <c r="B2770">
        <v>52200647</v>
      </c>
      <c r="C2770">
        <v>29594859</v>
      </c>
      <c r="D2770" t="s">
        <v>139</v>
      </c>
      <c r="E2770" t="s">
        <v>1088</v>
      </c>
      <c r="F2770" t="s">
        <v>431</v>
      </c>
      <c r="G2770" t="s">
        <v>82</v>
      </c>
      <c r="H2770" t="s">
        <v>83</v>
      </c>
      <c r="I2770" t="s">
        <v>1086</v>
      </c>
      <c r="J2770" t="s">
        <v>1086</v>
      </c>
      <c r="L2770" s="15" t="s">
        <v>52</v>
      </c>
      <c r="M2770" t="s">
        <v>1138</v>
      </c>
      <c r="N2770">
        <v>1000</v>
      </c>
      <c r="P2770">
        <v>45596</v>
      </c>
      <c r="Q2770">
        <v>45596</v>
      </c>
      <c r="R2770" t="s">
        <v>1013</v>
      </c>
      <c r="S2770">
        <v>0</v>
      </c>
      <c r="T2770">
        <v>0</v>
      </c>
      <c r="U2770">
        <v>0</v>
      </c>
      <c r="V2770">
        <v>475.05197224947489</v>
      </c>
      <c r="W2770">
        <v>0</v>
      </c>
      <c r="X2770">
        <v>0</v>
      </c>
      <c r="Y2770">
        <v>0</v>
      </c>
      <c r="Z2770">
        <v>49968.178810981794</v>
      </c>
      <c r="AA2770">
        <v>0</v>
      </c>
      <c r="AB2770">
        <v>0</v>
      </c>
      <c r="AC2770">
        <v>50443.230783231265</v>
      </c>
      <c r="AD2770">
        <v>3497.7725167687258</v>
      </c>
      <c r="AE2770">
        <v>53941.003299999989</v>
      </c>
      <c r="AF2770" t="s">
        <v>242</v>
      </c>
      <c r="AG2770">
        <v>15</v>
      </c>
      <c r="AH2770">
        <v>58000</v>
      </c>
      <c r="AI2770">
        <v>0</v>
      </c>
      <c r="AJ2770">
        <v>0</v>
      </c>
      <c r="AK2770">
        <v>3757.4987271565087</v>
      </c>
      <c r="AL2770" t="s">
        <v>58</v>
      </c>
    </row>
    <row r="2771" spans="1:38" x14ac:dyDescent="0.3">
      <c r="A2771" t="s">
        <v>798</v>
      </c>
      <c r="B2771">
        <v>4132301419</v>
      </c>
      <c r="C2771" t="s">
        <v>680</v>
      </c>
      <c r="D2771" t="s">
        <v>969</v>
      </c>
      <c r="E2771" t="s">
        <v>1094</v>
      </c>
      <c r="F2771" t="s">
        <v>430</v>
      </c>
      <c r="G2771" t="s">
        <v>230</v>
      </c>
      <c r="H2771" t="s">
        <v>231</v>
      </c>
      <c r="I2771" t="s">
        <v>1086</v>
      </c>
      <c r="J2771" t="s">
        <v>1086</v>
      </c>
      <c r="L2771" s="15" t="s">
        <v>52</v>
      </c>
      <c r="M2771" t="s">
        <v>1138</v>
      </c>
      <c r="N2771">
        <v>1000</v>
      </c>
      <c r="P2771">
        <v>45596</v>
      </c>
      <c r="Q2771">
        <v>45596</v>
      </c>
      <c r="R2771" t="s">
        <v>1013</v>
      </c>
      <c r="S2771">
        <v>0</v>
      </c>
      <c r="T2771">
        <v>11912.774583385219</v>
      </c>
      <c r="U2771">
        <v>0</v>
      </c>
      <c r="V2771">
        <v>0</v>
      </c>
      <c r="W2771">
        <v>5877.24</v>
      </c>
      <c r="X2771">
        <v>0</v>
      </c>
      <c r="Y2771">
        <v>23009.556464125963</v>
      </c>
      <c r="Z2771">
        <v>0</v>
      </c>
      <c r="AA2771">
        <v>261682.24299065419</v>
      </c>
      <c r="AB2771">
        <v>0</v>
      </c>
      <c r="AC2771">
        <v>302481.81403816538</v>
      </c>
      <c r="AD2771">
        <v>19928.425961834615</v>
      </c>
      <c r="AE2771">
        <v>322410.23999999999</v>
      </c>
      <c r="AF2771" t="s">
        <v>242</v>
      </c>
      <c r="AG2771">
        <v>10</v>
      </c>
      <c r="AH2771">
        <v>19000</v>
      </c>
      <c r="AI2771">
        <v>0</v>
      </c>
      <c r="AJ2771">
        <v>0</v>
      </c>
      <c r="AK2771">
        <v>1169.7048792868841</v>
      </c>
      <c r="AL2771" t="s">
        <v>58</v>
      </c>
    </row>
    <row r="2772" spans="1:38" x14ac:dyDescent="0.3">
      <c r="A2772" t="s">
        <v>798</v>
      </c>
      <c r="B2772">
        <v>4142300146</v>
      </c>
      <c r="C2772">
        <v>10031823</v>
      </c>
      <c r="D2772" t="s">
        <v>1129</v>
      </c>
      <c r="E2772" t="s">
        <v>1095</v>
      </c>
      <c r="F2772" t="s">
        <v>430</v>
      </c>
      <c r="G2772" t="s">
        <v>230</v>
      </c>
      <c r="H2772" t="s">
        <v>234</v>
      </c>
      <c r="I2772" t="s">
        <v>1086</v>
      </c>
      <c r="J2772" t="s">
        <v>1093</v>
      </c>
      <c r="L2772" s="15" t="s">
        <v>52</v>
      </c>
      <c r="M2772" t="s">
        <v>1138</v>
      </c>
      <c r="N2772">
        <v>1000</v>
      </c>
      <c r="P2772">
        <v>45596</v>
      </c>
      <c r="Q2772">
        <v>45596</v>
      </c>
      <c r="R2772" t="s">
        <v>1013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126192.16489565997</v>
      </c>
      <c r="AC2772">
        <v>126192.16489565997</v>
      </c>
      <c r="AD2772">
        <v>8833.4515426961989</v>
      </c>
      <c r="AE2772">
        <v>135025.61643835617</v>
      </c>
      <c r="AF2772" t="s">
        <v>242</v>
      </c>
      <c r="AG2772">
        <v>1</v>
      </c>
      <c r="AH2772">
        <v>1000</v>
      </c>
      <c r="AI2772">
        <v>0</v>
      </c>
      <c r="AJ2772">
        <v>0</v>
      </c>
      <c r="AK2772">
        <v>65.420560747663558</v>
      </c>
      <c r="AL2772" t="s">
        <v>72</v>
      </c>
    </row>
    <row r="2773" spans="1:38" x14ac:dyDescent="0.3">
      <c r="A2773" t="s">
        <v>798</v>
      </c>
      <c r="B2773">
        <v>4142301291</v>
      </c>
      <c r="C2773">
        <v>10277238</v>
      </c>
      <c r="D2773" t="s">
        <v>1130</v>
      </c>
      <c r="E2773" t="s">
        <v>1096</v>
      </c>
      <c r="F2773" t="s">
        <v>430</v>
      </c>
      <c r="G2773" t="s">
        <v>230</v>
      </c>
      <c r="H2773" t="s">
        <v>234</v>
      </c>
      <c r="I2773" t="s">
        <v>1086</v>
      </c>
      <c r="J2773" t="s">
        <v>1093</v>
      </c>
      <c r="L2773" s="15" t="s">
        <v>52</v>
      </c>
      <c r="M2773" t="s">
        <v>1138</v>
      </c>
      <c r="N2773">
        <v>1500</v>
      </c>
      <c r="P2773">
        <v>45596</v>
      </c>
      <c r="Q2773">
        <v>45596</v>
      </c>
      <c r="R2773" t="s">
        <v>1013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289046.72897196258</v>
      </c>
      <c r="AC2773">
        <v>289046.72897196258</v>
      </c>
      <c r="AD2773">
        <v>20233.271028037383</v>
      </c>
      <c r="AE2773">
        <v>309279.99999999994</v>
      </c>
      <c r="AF2773" t="s">
        <v>242</v>
      </c>
      <c r="AG2773">
        <v>1</v>
      </c>
      <c r="AH2773">
        <v>1500</v>
      </c>
      <c r="AI2773">
        <v>0</v>
      </c>
      <c r="AJ2773">
        <v>0</v>
      </c>
      <c r="AK2773">
        <v>98.13084112149545</v>
      </c>
      <c r="AL2773" t="s">
        <v>72</v>
      </c>
    </row>
    <row r="2774" spans="1:38" x14ac:dyDescent="0.3">
      <c r="A2774" t="s">
        <v>798</v>
      </c>
      <c r="B2774">
        <v>4132300496</v>
      </c>
      <c r="C2774">
        <v>1030400573</v>
      </c>
      <c r="D2774" t="s">
        <v>1103</v>
      </c>
      <c r="E2774" t="s">
        <v>1090</v>
      </c>
      <c r="F2774" t="s">
        <v>430</v>
      </c>
      <c r="G2774" t="s">
        <v>233</v>
      </c>
      <c r="H2774" t="s">
        <v>231</v>
      </c>
      <c r="I2774" t="s">
        <v>1086</v>
      </c>
      <c r="J2774" t="s">
        <v>1092</v>
      </c>
      <c r="L2774" s="15" t="s">
        <v>52</v>
      </c>
      <c r="M2774" t="s">
        <v>1138</v>
      </c>
      <c r="N2774">
        <v>3500</v>
      </c>
      <c r="P2774">
        <v>45596</v>
      </c>
      <c r="Q2774">
        <v>45596</v>
      </c>
      <c r="R2774" t="s">
        <v>1013</v>
      </c>
      <c r="S2774">
        <v>0</v>
      </c>
      <c r="T2774">
        <v>0</v>
      </c>
      <c r="U2774">
        <v>0</v>
      </c>
      <c r="V2774">
        <v>0</v>
      </c>
      <c r="W2774">
        <v>64292.151405591991</v>
      </c>
      <c r="X2774">
        <v>177929.721584199</v>
      </c>
      <c r="Y2774">
        <v>0</v>
      </c>
      <c r="Z2774">
        <v>0</v>
      </c>
      <c r="AA2774">
        <v>0</v>
      </c>
      <c r="AB2774">
        <v>0</v>
      </c>
      <c r="AC2774">
        <v>242221.87298979098</v>
      </c>
      <c r="AD2774">
        <v>12455.080510893931</v>
      </c>
      <c r="AE2774">
        <v>254676.9535006849</v>
      </c>
      <c r="AF2774" t="s">
        <v>242</v>
      </c>
      <c r="AG2774">
        <v>6</v>
      </c>
      <c r="AH2774">
        <v>21500</v>
      </c>
      <c r="AI2774">
        <v>0</v>
      </c>
      <c r="AJ2774">
        <v>0</v>
      </c>
      <c r="AK2774">
        <v>1032.29902181635</v>
      </c>
      <c r="AL2774" t="s">
        <v>58</v>
      </c>
    </row>
    <row r="2775" spans="1:38" x14ac:dyDescent="0.3">
      <c r="A2775" t="s">
        <v>798</v>
      </c>
      <c r="B2775">
        <v>4132300824</v>
      </c>
      <c r="C2775">
        <v>9070041828</v>
      </c>
      <c r="D2775" t="s">
        <v>177</v>
      </c>
      <c r="E2775" t="s">
        <v>1090</v>
      </c>
      <c r="F2775" t="s">
        <v>430</v>
      </c>
      <c r="G2775" t="s">
        <v>233</v>
      </c>
      <c r="H2775" t="s">
        <v>231</v>
      </c>
      <c r="I2775" t="s">
        <v>1086</v>
      </c>
      <c r="J2775" t="s">
        <v>1092</v>
      </c>
      <c r="L2775" s="15" t="s">
        <v>52</v>
      </c>
      <c r="M2775" t="s">
        <v>1138</v>
      </c>
      <c r="N2775">
        <v>500</v>
      </c>
      <c r="P2775">
        <v>45596</v>
      </c>
      <c r="Q2775">
        <v>45596</v>
      </c>
      <c r="R2775" t="s">
        <v>1013</v>
      </c>
      <c r="S2775">
        <v>0</v>
      </c>
      <c r="T2775">
        <v>0</v>
      </c>
      <c r="U2775">
        <v>0</v>
      </c>
      <c r="V2775">
        <v>0</v>
      </c>
      <c r="W2775">
        <v>10290.996911189757</v>
      </c>
      <c r="X2775">
        <v>12934.947196045932</v>
      </c>
      <c r="Y2775">
        <v>0</v>
      </c>
      <c r="Z2775">
        <v>0</v>
      </c>
      <c r="AA2775">
        <v>0</v>
      </c>
      <c r="AB2775">
        <v>0</v>
      </c>
      <c r="AC2775">
        <v>23225.944107235689</v>
      </c>
      <c r="AD2775">
        <v>905.44630372321535</v>
      </c>
      <c r="AE2775">
        <v>24131.390410958906</v>
      </c>
      <c r="AF2775" t="s">
        <v>242</v>
      </c>
      <c r="AG2775">
        <v>12</v>
      </c>
      <c r="AH2775">
        <v>9500</v>
      </c>
      <c r="AI2775">
        <v>0</v>
      </c>
      <c r="AJ2775">
        <v>0</v>
      </c>
      <c r="AK2775">
        <v>344.08640655715863</v>
      </c>
      <c r="AL2775" t="s">
        <v>58</v>
      </c>
    </row>
    <row r="2776" spans="1:38" x14ac:dyDescent="0.3">
      <c r="A2776" t="s">
        <v>798</v>
      </c>
      <c r="B2776">
        <v>4142301655</v>
      </c>
      <c r="C2776">
        <v>10756568</v>
      </c>
      <c r="D2776" t="s">
        <v>795</v>
      </c>
      <c r="E2776" t="s">
        <v>1096</v>
      </c>
      <c r="F2776" t="s">
        <v>430</v>
      </c>
      <c r="G2776" t="s">
        <v>230</v>
      </c>
      <c r="H2776" t="s">
        <v>234</v>
      </c>
      <c r="I2776" t="s">
        <v>1086</v>
      </c>
      <c r="J2776" t="s">
        <v>1093</v>
      </c>
      <c r="L2776" s="15" t="s">
        <v>52</v>
      </c>
      <c r="M2776" t="s">
        <v>1138</v>
      </c>
      <c r="N2776">
        <v>100</v>
      </c>
      <c r="P2776">
        <v>45596</v>
      </c>
      <c r="Q2776">
        <v>45597</v>
      </c>
      <c r="R2776" t="s">
        <v>1013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665368.41121495294</v>
      </c>
      <c r="AC2776">
        <v>665368.41121495294</v>
      </c>
      <c r="AD2776">
        <v>46575.788785046709</v>
      </c>
      <c r="AE2776">
        <v>711944.1999999996</v>
      </c>
      <c r="AF2776" t="s">
        <v>242</v>
      </c>
      <c r="AG2776">
        <v>6</v>
      </c>
      <c r="AH2776">
        <v>1600</v>
      </c>
      <c r="AI2776">
        <v>0</v>
      </c>
      <c r="AJ2776">
        <v>0</v>
      </c>
      <c r="AK2776">
        <v>104.67289719626172</v>
      </c>
      <c r="AL2776" t="s">
        <v>58</v>
      </c>
    </row>
    <row r="2777" spans="1:38" x14ac:dyDescent="0.3">
      <c r="A2777" t="s">
        <v>798</v>
      </c>
      <c r="B2777">
        <v>4302300047</v>
      </c>
      <c r="C2777">
        <v>901012034728</v>
      </c>
      <c r="D2777" t="s">
        <v>227</v>
      </c>
      <c r="E2777" t="s">
        <v>1089</v>
      </c>
      <c r="F2777" t="s">
        <v>433</v>
      </c>
      <c r="G2777" t="s">
        <v>82</v>
      </c>
      <c r="H2777" t="s">
        <v>83</v>
      </c>
      <c r="I2777" t="s">
        <v>1086</v>
      </c>
      <c r="J2777">
        <v>168</v>
      </c>
      <c r="L2777" s="15" t="s">
        <v>52</v>
      </c>
      <c r="M2777" t="s">
        <v>1138</v>
      </c>
      <c r="N2777">
        <v>200</v>
      </c>
      <c r="P2777">
        <v>45596</v>
      </c>
      <c r="Q2777">
        <v>45597</v>
      </c>
      <c r="R2777" t="s">
        <v>1013</v>
      </c>
      <c r="S2777">
        <v>0</v>
      </c>
      <c r="T2777">
        <v>0</v>
      </c>
      <c r="U2777">
        <v>48832.083895282405</v>
      </c>
      <c r="V2777">
        <v>45094.06</v>
      </c>
      <c r="W2777">
        <v>91065.851125904286</v>
      </c>
      <c r="X2777">
        <v>0</v>
      </c>
      <c r="Y2777">
        <v>0</v>
      </c>
      <c r="Z2777">
        <v>745073.02</v>
      </c>
      <c r="AA2777">
        <v>0</v>
      </c>
      <c r="AB2777">
        <v>0</v>
      </c>
      <c r="AC2777">
        <v>930065.01502118679</v>
      </c>
      <c r="AD2777">
        <v>58529.720978813304</v>
      </c>
      <c r="AE2777">
        <v>988594.73600000003</v>
      </c>
      <c r="AF2777" t="s">
        <v>242</v>
      </c>
      <c r="AG2777">
        <v>13</v>
      </c>
      <c r="AH2777">
        <v>31500</v>
      </c>
      <c r="AI2777">
        <v>0</v>
      </c>
      <c r="AJ2777">
        <v>0</v>
      </c>
      <c r="AK2777">
        <v>1852.4050211867</v>
      </c>
      <c r="AL2777" t="s">
        <v>58</v>
      </c>
    </row>
    <row r="2778" spans="1:38" x14ac:dyDescent="0.3">
      <c r="A2778" t="s">
        <v>798</v>
      </c>
      <c r="B2778">
        <v>4302300045</v>
      </c>
      <c r="C2778">
        <v>901012030501</v>
      </c>
      <c r="D2778" t="s">
        <v>227</v>
      </c>
      <c r="E2778" t="s">
        <v>1089</v>
      </c>
      <c r="F2778" t="s">
        <v>433</v>
      </c>
      <c r="G2778" t="s">
        <v>82</v>
      </c>
      <c r="H2778" t="s">
        <v>83</v>
      </c>
      <c r="I2778" t="s">
        <v>1086</v>
      </c>
      <c r="J2778">
        <v>168</v>
      </c>
      <c r="L2778" s="15" t="s">
        <v>52</v>
      </c>
      <c r="M2778" t="s">
        <v>1138</v>
      </c>
      <c r="N2778">
        <v>200</v>
      </c>
      <c r="P2778">
        <v>45596</v>
      </c>
      <c r="Q2778">
        <v>45597</v>
      </c>
      <c r="R2778" t="s">
        <v>1013</v>
      </c>
      <c r="S2778">
        <v>0</v>
      </c>
      <c r="T2778">
        <v>0</v>
      </c>
      <c r="U2778">
        <v>49447.802930389771</v>
      </c>
      <c r="V2778">
        <v>42537.96</v>
      </c>
      <c r="W2778">
        <v>112235.57623328059</v>
      </c>
      <c r="X2778">
        <v>0</v>
      </c>
      <c r="Y2778">
        <v>0</v>
      </c>
      <c r="Z2778">
        <v>727221.82</v>
      </c>
      <c r="AA2778">
        <v>0</v>
      </c>
      <c r="AB2778">
        <v>0</v>
      </c>
      <c r="AC2778">
        <v>931443.15916367038</v>
      </c>
      <c r="AD2778">
        <v>58762.017736329646</v>
      </c>
      <c r="AE2778">
        <v>990205.17690000008</v>
      </c>
      <c r="AF2778" t="s">
        <v>242</v>
      </c>
      <c r="AG2778">
        <v>12</v>
      </c>
      <c r="AH2778">
        <v>8100</v>
      </c>
      <c r="AI2778">
        <v>0</v>
      </c>
      <c r="AJ2778">
        <v>0</v>
      </c>
      <c r="AK2778">
        <v>477.55916367035786</v>
      </c>
      <c r="AL2778" t="s">
        <v>58</v>
      </c>
    </row>
    <row r="2779" spans="1:38" x14ac:dyDescent="0.3">
      <c r="A2779" t="s">
        <v>798</v>
      </c>
      <c r="B2779">
        <v>4302300043</v>
      </c>
      <c r="C2779">
        <v>901012030332</v>
      </c>
      <c r="D2779" t="s">
        <v>227</v>
      </c>
      <c r="E2779" t="s">
        <v>1089</v>
      </c>
      <c r="F2779" t="s">
        <v>433</v>
      </c>
      <c r="G2779" t="s">
        <v>82</v>
      </c>
      <c r="H2779" t="s">
        <v>83</v>
      </c>
      <c r="I2779" t="s">
        <v>1086</v>
      </c>
      <c r="J2779">
        <v>168</v>
      </c>
      <c r="L2779" s="15" t="s">
        <v>52</v>
      </c>
      <c r="M2779" t="s">
        <v>1138</v>
      </c>
      <c r="N2779">
        <v>200</v>
      </c>
      <c r="P2779">
        <v>45596</v>
      </c>
      <c r="Q2779">
        <v>45597</v>
      </c>
      <c r="R2779" t="s">
        <v>1013</v>
      </c>
      <c r="S2779">
        <v>0</v>
      </c>
      <c r="T2779">
        <v>0</v>
      </c>
      <c r="U2779">
        <v>47843.62246622736</v>
      </c>
      <c r="V2779">
        <v>41417.75</v>
      </c>
      <c r="W2779">
        <v>100123.89797548848</v>
      </c>
      <c r="X2779">
        <v>0</v>
      </c>
      <c r="Y2779">
        <v>0</v>
      </c>
      <c r="Z2779">
        <v>706553.99</v>
      </c>
      <c r="AA2779">
        <v>0</v>
      </c>
      <c r="AB2779">
        <v>0</v>
      </c>
      <c r="AC2779">
        <v>895939.26044171583</v>
      </c>
      <c r="AD2779">
        <v>56467.452158284199</v>
      </c>
      <c r="AE2779">
        <v>952406.71259999997</v>
      </c>
      <c r="AF2779" t="s">
        <v>242</v>
      </c>
      <c r="AG2779">
        <v>13</v>
      </c>
      <c r="AH2779">
        <v>15100</v>
      </c>
      <c r="AI2779">
        <v>0</v>
      </c>
      <c r="AJ2779">
        <v>0</v>
      </c>
      <c r="AK2779">
        <v>889.37044171580817</v>
      </c>
      <c r="AL2779" t="s">
        <v>58</v>
      </c>
    </row>
    <row r="2780" spans="1:38" x14ac:dyDescent="0.3">
      <c r="A2780" t="s">
        <v>798</v>
      </c>
      <c r="B2780">
        <v>4302300044</v>
      </c>
      <c r="C2780">
        <v>901012030496</v>
      </c>
      <c r="D2780" t="s">
        <v>227</v>
      </c>
      <c r="E2780" t="s">
        <v>1089</v>
      </c>
      <c r="F2780" t="s">
        <v>433</v>
      </c>
      <c r="G2780" t="s">
        <v>82</v>
      </c>
      <c r="H2780" t="s">
        <v>83</v>
      </c>
      <c r="I2780" t="s">
        <v>1086</v>
      </c>
      <c r="J2780">
        <v>168</v>
      </c>
      <c r="L2780" s="15" t="s">
        <v>52</v>
      </c>
      <c r="M2780" t="s">
        <v>1138</v>
      </c>
      <c r="N2780">
        <v>200</v>
      </c>
      <c r="P2780">
        <v>45596</v>
      </c>
      <c r="Q2780">
        <v>45597</v>
      </c>
      <c r="R2780" t="s">
        <v>1013</v>
      </c>
      <c r="S2780">
        <v>0</v>
      </c>
      <c r="T2780">
        <v>0</v>
      </c>
      <c r="U2780">
        <v>49798.9559138857</v>
      </c>
      <c r="V2780">
        <v>42434.2</v>
      </c>
      <c r="W2780">
        <v>112070.60428608811</v>
      </c>
      <c r="X2780">
        <v>0</v>
      </c>
      <c r="Y2780">
        <v>0</v>
      </c>
      <c r="Z2780">
        <v>725754.44</v>
      </c>
      <c r="AA2780">
        <v>0</v>
      </c>
      <c r="AB2780">
        <v>0</v>
      </c>
      <c r="AC2780">
        <v>930058.20019997377</v>
      </c>
      <c r="AD2780">
        <v>58647.753100026173</v>
      </c>
      <c r="AE2780">
        <v>988705.95329999994</v>
      </c>
      <c r="AF2780" t="s">
        <v>242</v>
      </c>
      <c r="AG2780">
        <v>12</v>
      </c>
      <c r="AH2780">
        <v>8100</v>
      </c>
      <c r="AI2780">
        <v>0</v>
      </c>
      <c r="AJ2780">
        <v>0</v>
      </c>
      <c r="AK2780">
        <v>477.34019997383155</v>
      </c>
      <c r="AL2780" t="s">
        <v>58</v>
      </c>
    </row>
    <row r="2781" spans="1:38" x14ac:dyDescent="0.3">
      <c r="A2781" t="s">
        <v>798</v>
      </c>
      <c r="B2781">
        <v>4302300042</v>
      </c>
      <c r="C2781">
        <v>901012024750</v>
      </c>
      <c r="D2781" t="s">
        <v>227</v>
      </c>
      <c r="E2781" t="s">
        <v>1089</v>
      </c>
      <c r="F2781" t="s">
        <v>433</v>
      </c>
      <c r="G2781" t="s">
        <v>82</v>
      </c>
      <c r="H2781" t="s">
        <v>83</v>
      </c>
      <c r="I2781" t="s">
        <v>1086</v>
      </c>
      <c r="J2781">
        <v>168</v>
      </c>
      <c r="L2781" s="15" t="s">
        <v>52</v>
      </c>
      <c r="M2781" t="s">
        <v>1138</v>
      </c>
      <c r="N2781">
        <v>200</v>
      </c>
      <c r="P2781">
        <v>45596</v>
      </c>
      <c r="Q2781">
        <v>45597</v>
      </c>
      <c r="R2781" t="s">
        <v>1013</v>
      </c>
      <c r="S2781">
        <v>0</v>
      </c>
      <c r="T2781">
        <v>0</v>
      </c>
      <c r="U2781">
        <v>37637.262105552203</v>
      </c>
      <c r="V2781">
        <v>37265.26</v>
      </c>
      <c r="W2781">
        <v>90721.731209764286</v>
      </c>
      <c r="X2781">
        <v>0</v>
      </c>
      <c r="Y2781">
        <v>0</v>
      </c>
      <c r="Z2781">
        <v>553789.81999999995</v>
      </c>
      <c r="AA2781">
        <v>0</v>
      </c>
      <c r="AB2781">
        <v>0</v>
      </c>
      <c r="AC2781">
        <v>719414.07331531646</v>
      </c>
      <c r="AD2781">
        <v>45115.808584683502</v>
      </c>
      <c r="AE2781">
        <v>764529.88189999992</v>
      </c>
      <c r="AF2781" t="s">
        <v>242</v>
      </c>
      <c r="AG2781">
        <v>12</v>
      </c>
      <c r="AH2781">
        <v>8100</v>
      </c>
      <c r="AI2781">
        <v>0</v>
      </c>
      <c r="AJ2781">
        <v>0</v>
      </c>
      <c r="AK2781">
        <v>474.71331531649986</v>
      </c>
      <c r="AL2781" t="s">
        <v>58</v>
      </c>
    </row>
    <row r="2782" spans="1:38" x14ac:dyDescent="0.3">
      <c r="A2782" t="s">
        <v>798</v>
      </c>
      <c r="B2782">
        <v>42201414</v>
      </c>
      <c r="C2782">
        <v>2759011778</v>
      </c>
      <c r="D2782" t="s">
        <v>1003</v>
      </c>
      <c r="E2782" t="s">
        <v>1097</v>
      </c>
      <c r="F2782" t="s">
        <v>430</v>
      </c>
      <c r="G2782" t="s">
        <v>230</v>
      </c>
      <c r="H2782" t="s">
        <v>234</v>
      </c>
      <c r="I2782" t="s">
        <v>1086</v>
      </c>
      <c r="J2782" t="s">
        <v>1086</v>
      </c>
      <c r="L2782" s="15" t="s">
        <v>52</v>
      </c>
      <c r="M2782" t="s">
        <v>1138</v>
      </c>
      <c r="N2782">
        <v>300</v>
      </c>
      <c r="P2782">
        <v>45596</v>
      </c>
      <c r="Q2782">
        <v>45597</v>
      </c>
      <c r="R2782" t="s">
        <v>1013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121087.25233644861</v>
      </c>
      <c r="AC2782">
        <v>121087.25233644861</v>
      </c>
      <c r="AD2782">
        <v>8476.1076635514037</v>
      </c>
      <c r="AE2782">
        <v>129563.36000000002</v>
      </c>
      <c r="AF2782" t="s">
        <v>242</v>
      </c>
      <c r="AG2782">
        <v>6</v>
      </c>
      <c r="AH2782">
        <v>4800</v>
      </c>
      <c r="AI2782">
        <v>0</v>
      </c>
      <c r="AJ2782">
        <v>0</v>
      </c>
      <c r="AK2782">
        <v>314.01869158878509</v>
      </c>
      <c r="AL2782" t="s">
        <v>58</v>
      </c>
    </row>
    <row r="2783" spans="1:38" x14ac:dyDescent="0.3">
      <c r="A2783" t="s">
        <v>798</v>
      </c>
      <c r="B2783">
        <v>52200431</v>
      </c>
      <c r="C2783">
        <v>27663860</v>
      </c>
      <c r="D2783" t="s">
        <v>854</v>
      </c>
      <c r="E2783" t="s">
        <v>1100</v>
      </c>
      <c r="F2783" t="s">
        <v>431</v>
      </c>
      <c r="G2783" t="s">
        <v>82</v>
      </c>
      <c r="H2783" t="s">
        <v>83</v>
      </c>
      <c r="I2783" t="s">
        <v>1086</v>
      </c>
      <c r="J2783" t="s">
        <v>1086</v>
      </c>
      <c r="L2783" s="15" t="s">
        <v>52</v>
      </c>
      <c r="M2783" t="s">
        <v>1138</v>
      </c>
      <c r="N2783">
        <v>500</v>
      </c>
      <c r="P2783">
        <v>45596</v>
      </c>
      <c r="Q2783">
        <v>45597</v>
      </c>
      <c r="R2783" t="s">
        <v>1013</v>
      </c>
      <c r="S2783">
        <v>0</v>
      </c>
      <c r="T2783">
        <v>0</v>
      </c>
      <c r="U2783">
        <v>0</v>
      </c>
      <c r="V2783">
        <v>828.78127519012594</v>
      </c>
      <c r="W2783">
        <v>28916.559555897078</v>
      </c>
      <c r="X2783">
        <v>0</v>
      </c>
      <c r="Y2783">
        <v>0</v>
      </c>
      <c r="Z2783">
        <v>50391.121495327105</v>
      </c>
      <c r="AA2783">
        <v>0</v>
      </c>
      <c r="AB2783">
        <v>0</v>
      </c>
      <c r="AC2783">
        <v>80136.462326414301</v>
      </c>
      <c r="AD2783">
        <v>5551.5376735856935</v>
      </c>
      <c r="AE2783">
        <v>85688</v>
      </c>
      <c r="AF2783" t="s">
        <v>242</v>
      </c>
      <c r="AG2783">
        <v>9</v>
      </c>
      <c r="AH2783">
        <v>6000</v>
      </c>
      <c r="AI2783">
        <v>0</v>
      </c>
      <c r="AJ2783">
        <v>0</v>
      </c>
      <c r="AK2783">
        <v>388.45298061991485</v>
      </c>
      <c r="AL2783" t="s">
        <v>58</v>
      </c>
    </row>
    <row r="2784" spans="1:38" x14ac:dyDescent="0.3">
      <c r="A2784" t="s">
        <v>798</v>
      </c>
      <c r="B2784">
        <v>22200010</v>
      </c>
      <c r="C2784">
        <v>18928437</v>
      </c>
      <c r="D2784" t="s">
        <v>85</v>
      </c>
      <c r="E2784" t="s">
        <v>1098</v>
      </c>
      <c r="F2784" t="s">
        <v>428</v>
      </c>
      <c r="G2784" t="s">
        <v>82</v>
      </c>
      <c r="H2784" t="s">
        <v>82</v>
      </c>
      <c r="I2784" t="s">
        <v>1086</v>
      </c>
      <c r="J2784" t="s">
        <v>1087</v>
      </c>
      <c r="L2784" s="15" t="s">
        <v>52</v>
      </c>
      <c r="M2784" t="s">
        <v>1138</v>
      </c>
      <c r="N2784">
        <v>500</v>
      </c>
      <c r="P2784">
        <v>45596</v>
      </c>
      <c r="Q2784">
        <v>45597</v>
      </c>
      <c r="R2784" t="s">
        <v>1013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11569.751865506852</v>
      </c>
      <c r="AA2784">
        <v>0</v>
      </c>
      <c r="AB2784">
        <v>0</v>
      </c>
      <c r="AC2784">
        <v>11569.751865506852</v>
      </c>
      <c r="AD2784">
        <v>0</v>
      </c>
      <c r="AE2784">
        <v>11569.751865506852</v>
      </c>
      <c r="AF2784" t="s">
        <v>242</v>
      </c>
      <c r="AG2784">
        <v>26</v>
      </c>
      <c r="AH2784">
        <v>16500</v>
      </c>
      <c r="AI2784">
        <v>0</v>
      </c>
      <c r="AJ2784">
        <v>0</v>
      </c>
      <c r="AK2784">
        <v>0</v>
      </c>
      <c r="AL2784" t="s">
        <v>58</v>
      </c>
    </row>
    <row r="2785" spans="1:38" x14ac:dyDescent="0.3">
      <c r="A2785" t="s">
        <v>798</v>
      </c>
      <c r="B2785">
        <v>4142301328</v>
      </c>
      <c r="C2785">
        <v>10334417</v>
      </c>
      <c r="D2785" t="s">
        <v>752</v>
      </c>
      <c r="E2785" t="s">
        <v>1096</v>
      </c>
      <c r="F2785" t="s">
        <v>430</v>
      </c>
      <c r="G2785" t="s">
        <v>237</v>
      </c>
      <c r="H2785" t="s">
        <v>234</v>
      </c>
      <c r="I2785" t="s">
        <v>1086</v>
      </c>
      <c r="J2785" t="s">
        <v>1093</v>
      </c>
      <c r="L2785" s="15" t="s">
        <v>52</v>
      </c>
      <c r="M2785" t="s">
        <v>1138</v>
      </c>
      <c r="N2785">
        <v>1000</v>
      </c>
      <c r="P2785">
        <v>45596</v>
      </c>
      <c r="Q2785">
        <v>45597</v>
      </c>
      <c r="R2785" t="s">
        <v>1013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72795.800793752394</v>
      </c>
      <c r="AC2785">
        <v>72795.800793752394</v>
      </c>
      <c r="AD2785">
        <v>5095.7060555626676</v>
      </c>
      <c r="AE2785">
        <v>77891.506849315061</v>
      </c>
      <c r="AF2785" t="s">
        <v>242</v>
      </c>
      <c r="AG2785">
        <v>6</v>
      </c>
      <c r="AH2785">
        <v>7000</v>
      </c>
      <c r="AI2785">
        <v>0</v>
      </c>
      <c r="AJ2785">
        <v>0</v>
      </c>
      <c r="AK2785">
        <v>457.9439252336449</v>
      </c>
      <c r="AL2785" t="s">
        <v>58</v>
      </c>
    </row>
    <row r="2786" spans="1:38" x14ac:dyDescent="0.3">
      <c r="A2786" t="s">
        <v>798</v>
      </c>
      <c r="B2786">
        <v>4132301981</v>
      </c>
      <c r="C2786" t="s">
        <v>101</v>
      </c>
      <c r="D2786" t="s">
        <v>930</v>
      </c>
      <c r="E2786" t="s">
        <v>1094</v>
      </c>
      <c r="F2786" t="s">
        <v>430</v>
      </c>
      <c r="G2786" t="s">
        <v>230</v>
      </c>
      <c r="H2786" t="s">
        <v>231</v>
      </c>
      <c r="I2786" t="s">
        <v>1086</v>
      </c>
      <c r="J2786" t="s">
        <v>1091</v>
      </c>
      <c r="L2786" s="15" t="s">
        <v>52</v>
      </c>
      <c r="M2786" t="s">
        <v>1138</v>
      </c>
      <c r="N2786">
        <v>1000</v>
      </c>
      <c r="P2786">
        <v>45596</v>
      </c>
      <c r="Q2786">
        <v>45597</v>
      </c>
      <c r="R2786" t="s">
        <v>1013</v>
      </c>
      <c r="S2786">
        <v>0</v>
      </c>
      <c r="T2786">
        <v>19999.99972132748</v>
      </c>
      <c r="U2786">
        <v>0</v>
      </c>
      <c r="V2786">
        <v>0</v>
      </c>
      <c r="W2786">
        <v>23352.81</v>
      </c>
      <c r="X2786">
        <v>0</v>
      </c>
      <c r="Y2786">
        <v>76962.617082871511</v>
      </c>
      <c r="Z2786">
        <v>0</v>
      </c>
      <c r="AA2786">
        <v>619149.53271028039</v>
      </c>
      <c r="AB2786">
        <v>0</v>
      </c>
      <c r="AC2786">
        <v>739464.95951447939</v>
      </c>
      <c r="AD2786">
        <v>48727.850485520634</v>
      </c>
      <c r="AE2786">
        <v>788192.81</v>
      </c>
      <c r="AF2786" t="s">
        <v>242</v>
      </c>
      <c r="AG2786">
        <v>13</v>
      </c>
      <c r="AH2786">
        <v>40000</v>
      </c>
      <c r="AI2786">
        <v>0</v>
      </c>
      <c r="AJ2786">
        <v>0</v>
      </c>
      <c r="AK2786">
        <v>2463.0840939186228</v>
      </c>
      <c r="AL2786" t="s">
        <v>58</v>
      </c>
    </row>
    <row r="2787" spans="1:38" x14ac:dyDescent="0.3">
      <c r="A2787" t="s">
        <v>798</v>
      </c>
      <c r="B2787">
        <v>52201352</v>
      </c>
      <c r="C2787">
        <v>26584588</v>
      </c>
      <c r="D2787" t="s">
        <v>156</v>
      </c>
      <c r="E2787" t="s">
        <v>1088</v>
      </c>
      <c r="F2787" t="s">
        <v>431</v>
      </c>
      <c r="G2787" t="s">
        <v>82</v>
      </c>
      <c r="H2787" t="s">
        <v>83</v>
      </c>
      <c r="I2787" t="s">
        <v>1086</v>
      </c>
      <c r="J2787" t="s">
        <v>1087</v>
      </c>
      <c r="L2787" s="15" t="s">
        <v>52</v>
      </c>
      <c r="M2787" t="s">
        <v>1138</v>
      </c>
      <c r="N2787">
        <v>1000</v>
      </c>
      <c r="P2787">
        <v>45596</v>
      </c>
      <c r="Q2787">
        <v>45597</v>
      </c>
      <c r="R2787" t="s">
        <v>1013</v>
      </c>
      <c r="S2787">
        <v>0</v>
      </c>
      <c r="T2787">
        <v>0</v>
      </c>
      <c r="U2787">
        <v>0</v>
      </c>
      <c r="V2787">
        <v>768.96596310025302</v>
      </c>
      <c r="W2787">
        <v>21757.458003415381</v>
      </c>
      <c r="X2787">
        <v>0</v>
      </c>
      <c r="Y2787">
        <v>0</v>
      </c>
      <c r="Z2787">
        <v>58235.096694359752</v>
      </c>
      <c r="AA2787">
        <v>0</v>
      </c>
      <c r="AB2787">
        <v>0</v>
      </c>
      <c r="AC2787">
        <v>80761.520660875394</v>
      </c>
      <c r="AD2787">
        <v>5599.4788288442605</v>
      </c>
      <c r="AE2787">
        <v>86360.999489719659</v>
      </c>
      <c r="AF2787" t="s">
        <v>242</v>
      </c>
      <c r="AG2787">
        <v>13</v>
      </c>
      <c r="AH2787">
        <v>23000</v>
      </c>
      <c r="AI2787">
        <v>0</v>
      </c>
      <c r="AJ2787">
        <v>0</v>
      </c>
      <c r="AK2787">
        <v>1490.2127265579609</v>
      </c>
      <c r="AL2787" t="s">
        <v>58</v>
      </c>
    </row>
    <row r="2788" spans="1:38" x14ac:dyDescent="0.3">
      <c r="A2788" t="s">
        <v>798</v>
      </c>
      <c r="B2788">
        <v>4132301772</v>
      </c>
      <c r="C2788" t="s">
        <v>689</v>
      </c>
      <c r="D2788" t="s">
        <v>938</v>
      </c>
      <c r="E2788" t="s">
        <v>1094</v>
      </c>
      <c r="F2788" t="s">
        <v>430</v>
      </c>
      <c r="G2788" t="s">
        <v>230</v>
      </c>
      <c r="H2788" t="s">
        <v>231</v>
      </c>
      <c r="I2788" t="s">
        <v>1086</v>
      </c>
      <c r="J2788">
        <v>168</v>
      </c>
      <c r="L2788" s="15" t="s">
        <v>52</v>
      </c>
      <c r="M2788" t="s">
        <v>1138</v>
      </c>
      <c r="N2788">
        <v>1000</v>
      </c>
      <c r="P2788">
        <v>45596</v>
      </c>
      <c r="Q2788">
        <v>45597</v>
      </c>
      <c r="R2788" t="s">
        <v>1013</v>
      </c>
      <c r="S2788">
        <v>0</v>
      </c>
      <c r="T2788">
        <v>20917.585231895959</v>
      </c>
      <c r="U2788">
        <v>0</v>
      </c>
      <c r="V2788">
        <v>0</v>
      </c>
      <c r="W2788">
        <v>564880.79</v>
      </c>
      <c r="X2788">
        <v>33753.658661779467</v>
      </c>
      <c r="Y2788">
        <v>56074.766355140186</v>
      </c>
      <c r="Z2788">
        <v>0</v>
      </c>
      <c r="AA2788">
        <v>747663.55140186916</v>
      </c>
      <c r="AB2788">
        <v>0</v>
      </c>
      <c r="AC2788">
        <v>1423290.3516506846</v>
      </c>
      <c r="AD2788">
        <v>58624.43834931522</v>
      </c>
      <c r="AE2788">
        <v>1481914.7899999998</v>
      </c>
      <c r="AF2788" t="s">
        <v>242</v>
      </c>
      <c r="AG2788">
        <v>10</v>
      </c>
      <c r="AH2788">
        <v>10000</v>
      </c>
      <c r="AI2788">
        <v>0</v>
      </c>
      <c r="AJ2788">
        <v>0</v>
      </c>
      <c r="AK2788">
        <v>384.90744507730562</v>
      </c>
      <c r="AL2788" t="s">
        <v>58</v>
      </c>
    </row>
    <row r="2789" spans="1:38" x14ac:dyDescent="0.3">
      <c r="A2789" t="s">
        <v>798</v>
      </c>
      <c r="B2789">
        <v>4142301491</v>
      </c>
      <c r="C2789">
        <v>10542709</v>
      </c>
      <c r="D2789" t="s">
        <v>1113</v>
      </c>
      <c r="E2789" t="s">
        <v>1096</v>
      </c>
      <c r="F2789" t="s">
        <v>430</v>
      </c>
      <c r="G2789" t="s">
        <v>237</v>
      </c>
      <c r="H2789" t="s">
        <v>234</v>
      </c>
      <c r="I2789" t="s">
        <v>1086</v>
      </c>
      <c r="J2789" t="s">
        <v>1093</v>
      </c>
      <c r="L2789" s="15" t="s">
        <v>52</v>
      </c>
      <c r="M2789" t="s">
        <v>1138</v>
      </c>
      <c r="N2789">
        <v>2000</v>
      </c>
      <c r="P2789">
        <v>45596</v>
      </c>
      <c r="Q2789">
        <v>45597</v>
      </c>
      <c r="R2789" t="s">
        <v>1013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59833.822429906548</v>
      </c>
      <c r="AC2789">
        <v>59833.822429906548</v>
      </c>
      <c r="AD2789">
        <v>4188.3675700934591</v>
      </c>
      <c r="AE2789">
        <v>64022.19000000001</v>
      </c>
      <c r="AF2789" t="s">
        <v>242</v>
      </c>
      <c r="AG2789">
        <v>2</v>
      </c>
      <c r="AH2789">
        <v>5000</v>
      </c>
      <c r="AI2789">
        <v>0</v>
      </c>
      <c r="AJ2789">
        <v>0</v>
      </c>
      <c r="AK2789">
        <v>327.10280373831802</v>
      </c>
      <c r="AL2789" t="s">
        <v>58</v>
      </c>
    </row>
    <row r="2790" spans="1:38" x14ac:dyDescent="0.3">
      <c r="A2790" t="s">
        <v>798</v>
      </c>
      <c r="B2790">
        <v>4142300842</v>
      </c>
      <c r="C2790">
        <v>10382588</v>
      </c>
      <c r="D2790" t="s">
        <v>211</v>
      </c>
      <c r="E2790" t="s">
        <v>1095</v>
      </c>
      <c r="F2790" t="s">
        <v>430</v>
      </c>
      <c r="G2790" t="s">
        <v>230</v>
      </c>
      <c r="H2790" t="s">
        <v>234</v>
      </c>
      <c r="I2790" t="s">
        <v>1086</v>
      </c>
      <c r="J2790" t="s">
        <v>1091</v>
      </c>
      <c r="L2790" s="15" t="s">
        <v>52</v>
      </c>
      <c r="M2790" t="s">
        <v>1138</v>
      </c>
      <c r="N2790">
        <v>2000</v>
      </c>
      <c r="P2790">
        <v>45596</v>
      </c>
      <c r="Q2790">
        <v>45597</v>
      </c>
      <c r="R2790" t="s">
        <v>1013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102834.71962616817</v>
      </c>
      <c r="AC2790">
        <v>102834.71962616817</v>
      </c>
      <c r="AD2790">
        <v>7198.4303738317722</v>
      </c>
      <c r="AE2790">
        <v>110033.14999999994</v>
      </c>
      <c r="AF2790" t="s">
        <v>242</v>
      </c>
      <c r="AG2790">
        <v>15</v>
      </c>
      <c r="AH2790">
        <v>26500</v>
      </c>
      <c r="AI2790">
        <v>0</v>
      </c>
      <c r="AJ2790">
        <v>0</v>
      </c>
      <c r="AK2790">
        <v>1733.6448598130844</v>
      </c>
      <c r="AL2790" t="s">
        <v>58</v>
      </c>
    </row>
    <row r="2791" spans="1:38" x14ac:dyDescent="0.3">
      <c r="A2791" t="s">
        <v>798</v>
      </c>
      <c r="B2791">
        <v>52201596</v>
      </c>
      <c r="C2791">
        <v>24420985</v>
      </c>
      <c r="D2791" t="s">
        <v>1120</v>
      </c>
      <c r="E2791" t="s">
        <v>1088</v>
      </c>
      <c r="F2791" t="s">
        <v>431</v>
      </c>
      <c r="G2791" t="s">
        <v>82</v>
      </c>
      <c r="H2791" t="s">
        <v>83</v>
      </c>
      <c r="I2791" t="s">
        <v>1086</v>
      </c>
      <c r="J2791" t="s">
        <v>1087</v>
      </c>
      <c r="L2791" s="15" t="s">
        <v>52</v>
      </c>
      <c r="M2791" t="s">
        <v>1138</v>
      </c>
      <c r="N2791">
        <v>2000</v>
      </c>
      <c r="P2791">
        <v>45596</v>
      </c>
      <c r="Q2791">
        <v>45597</v>
      </c>
      <c r="R2791" t="s">
        <v>1013</v>
      </c>
      <c r="S2791">
        <v>0</v>
      </c>
      <c r="T2791">
        <v>0</v>
      </c>
      <c r="U2791">
        <v>0</v>
      </c>
      <c r="V2791">
        <v>1041.7292889857363</v>
      </c>
      <c r="W2791">
        <v>28532.077486929215</v>
      </c>
      <c r="X2791">
        <v>0</v>
      </c>
      <c r="Y2791">
        <v>0</v>
      </c>
      <c r="Z2791">
        <v>47727.059719626181</v>
      </c>
      <c r="AA2791">
        <v>0</v>
      </c>
      <c r="AB2791">
        <v>0</v>
      </c>
      <c r="AC2791">
        <v>77300.866495541122</v>
      </c>
      <c r="AD2791">
        <v>5338.1396044588782</v>
      </c>
      <c r="AE2791">
        <v>82639.006099999999</v>
      </c>
      <c r="AF2791" t="s">
        <v>242</v>
      </c>
      <c r="AG2791">
        <v>2</v>
      </c>
      <c r="AH2791">
        <v>3500</v>
      </c>
      <c r="AI2791">
        <v>0</v>
      </c>
      <c r="AJ2791">
        <v>0</v>
      </c>
      <c r="AK2791">
        <v>225.87948619532858</v>
      </c>
      <c r="AL2791" t="s">
        <v>58</v>
      </c>
    </row>
    <row r="2792" spans="1:38" x14ac:dyDescent="0.3">
      <c r="A2792" t="s">
        <v>798</v>
      </c>
      <c r="B2792">
        <v>4132302120</v>
      </c>
      <c r="C2792">
        <v>112869</v>
      </c>
      <c r="D2792" t="s">
        <v>1106</v>
      </c>
      <c r="E2792" t="s">
        <v>1107</v>
      </c>
      <c r="F2792" t="s">
        <v>430</v>
      </c>
      <c r="G2792" t="s">
        <v>230</v>
      </c>
      <c r="H2792" t="s">
        <v>231</v>
      </c>
      <c r="I2792" t="s">
        <v>1086</v>
      </c>
      <c r="J2792" t="s">
        <v>1093</v>
      </c>
      <c r="L2792" s="15" t="s">
        <v>52</v>
      </c>
      <c r="M2792" t="s">
        <v>1138</v>
      </c>
      <c r="N2792">
        <v>2000</v>
      </c>
      <c r="P2792">
        <v>45596</v>
      </c>
      <c r="Q2792">
        <v>45597</v>
      </c>
      <c r="R2792" t="s">
        <v>1013</v>
      </c>
      <c r="S2792">
        <v>0</v>
      </c>
      <c r="T2792">
        <v>26881.272914184046</v>
      </c>
      <c r="U2792">
        <v>0</v>
      </c>
      <c r="V2792">
        <v>0</v>
      </c>
      <c r="W2792">
        <v>0</v>
      </c>
      <c r="X2792">
        <v>44529.651482070985</v>
      </c>
      <c r="Y2792">
        <v>78504.672897196258</v>
      </c>
      <c r="Z2792">
        <v>0</v>
      </c>
      <c r="AA2792">
        <v>766355.14018691587</v>
      </c>
      <c r="AB2792">
        <v>0</v>
      </c>
      <c r="AC2792">
        <v>916270.73748036718</v>
      </c>
      <c r="AD2792">
        <v>62257.26251963283</v>
      </c>
      <c r="AE2792">
        <v>978528</v>
      </c>
      <c r="AF2792" t="s">
        <v>242</v>
      </c>
      <c r="AG2792">
        <v>2</v>
      </c>
      <c r="AH2792">
        <v>5000</v>
      </c>
      <c r="AI2792">
        <v>0</v>
      </c>
      <c r="AJ2792">
        <v>0</v>
      </c>
      <c r="AK2792">
        <v>317.50383550736797</v>
      </c>
      <c r="AL2792" t="s">
        <v>58</v>
      </c>
    </row>
    <row r="2793" spans="1:38" x14ac:dyDescent="0.3">
      <c r="A2793" t="s">
        <v>798</v>
      </c>
      <c r="B2793">
        <v>52200258</v>
      </c>
      <c r="C2793">
        <v>24848292</v>
      </c>
      <c r="D2793" t="s">
        <v>660</v>
      </c>
      <c r="E2793" t="s">
        <v>1100</v>
      </c>
      <c r="F2793" t="s">
        <v>431</v>
      </c>
      <c r="G2793" t="s">
        <v>235</v>
      </c>
      <c r="H2793" t="s">
        <v>236</v>
      </c>
      <c r="I2793" t="s">
        <v>1086</v>
      </c>
      <c r="J2793" t="s">
        <v>1110</v>
      </c>
      <c r="L2793" s="15" t="s">
        <v>52</v>
      </c>
      <c r="M2793" t="s">
        <v>1138</v>
      </c>
      <c r="N2793">
        <v>3000</v>
      </c>
      <c r="P2793">
        <v>45596</v>
      </c>
      <c r="Q2793">
        <v>45597</v>
      </c>
      <c r="R2793" t="s">
        <v>1013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191201.86915887857</v>
      </c>
      <c r="AA2793">
        <v>0</v>
      </c>
      <c r="AB2793">
        <v>0</v>
      </c>
      <c r="AC2793">
        <v>191201.86915887857</v>
      </c>
      <c r="AD2793">
        <v>13384.130841121501</v>
      </c>
      <c r="AE2793">
        <v>204586.00000000009</v>
      </c>
      <c r="AF2793" t="s">
        <v>242</v>
      </c>
      <c r="AG2793">
        <v>11</v>
      </c>
      <c r="AH2793">
        <v>29000</v>
      </c>
      <c r="AI2793">
        <v>0</v>
      </c>
      <c r="AJ2793">
        <v>0</v>
      </c>
      <c r="AK2793">
        <v>1894.8511595932207</v>
      </c>
      <c r="AL2793" t="s">
        <v>58</v>
      </c>
    </row>
    <row r="2794" spans="1:38" x14ac:dyDescent="0.3">
      <c r="A2794" t="s">
        <v>798</v>
      </c>
      <c r="B2794">
        <v>4132301734</v>
      </c>
      <c r="C2794" t="s">
        <v>685</v>
      </c>
      <c r="D2794" t="s">
        <v>937</v>
      </c>
      <c r="E2794" t="s">
        <v>1094</v>
      </c>
      <c r="F2794" t="s">
        <v>430</v>
      </c>
      <c r="G2794" t="s">
        <v>230</v>
      </c>
      <c r="H2794" t="s">
        <v>231</v>
      </c>
      <c r="I2794" t="s">
        <v>1086</v>
      </c>
      <c r="J2794" t="s">
        <v>1086</v>
      </c>
      <c r="L2794" s="15" t="s">
        <v>52</v>
      </c>
      <c r="M2794" t="s">
        <v>1138</v>
      </c>
      <c r="N2794">
        <v>3000</v>
      </c>
      <c r="P2794">
        <v>45596</v>
      </c>
      <c r="Q2794">
        <v>45597</v>
      </c>
      <c r="R2794" t="s">
        <v>1013</v>
      </c>
      <c r="S2794">
        <v>0</v>
      </c>
      <c r="T2794">
        <v>14720.280561982467</v>
      </c>
      <c r="U2794">
        <v>0</v>
      </c>
      <c r="V2794">
        <v>0</v>
      </c>
      <c r="W2794">
        <v>28938.33</v>
      </c>
      <c r="X2794">
        <v>38612.821904689285</v>
      </c>
      <c r="Y2794">
        <v>33644.859813084113</v>
      </c>
      <c r="Z2794">
        <v>0</v>
      </c>
      <c r="AA2794">
        <v>548442.05607476633</v>
      </c>
      <c r="AB2794">
        <v>0</v>
      </c>
      <c r="AC2794">
        <v>664358.34835452214</v>
      </c>
      <c r="AD2794">
        <v>43448.98164547779</v>
      </c>
      <c r="AE2794">
        <v>707807.33</v>
      </c>
      <c r="AF2794" t="s">
        <v>242</v>
      </c>
      <c r="AG2794">
        <v>6</v>
      </c>
      <c r="AH2794">
        <v>20000</v>
      </c>
      <c r="AI2794">
        <v>0</v>
      </c>
      <c r="AJ2794">
        <v>0</v>
      </c>
      <c r="AK2794">
        <v>1222.3361115315629</v>
      </c>
      <c r="AL2794" t="s">
        <v>58</v>
      </c>
    </row>
    <row r="2795" spans="1:38" x14ac:dyDescent="0.3">
      <c r="A2795" t="s">
        <v>798</v>
      </c>
      <c r="B2795">
        <v>52201226</v>
      </c>
      <c r="C2795">
        <v>25511663</v>
      </c>
      <c r="D2795" t="s">
        <v>667</v>
      </c>
      <c r="E2795" t="s">
        <v>1088</v>
      </c>
      <c r="F2795" t="s">
        <v>431</v>
      </c>
      <c r="G2795" t="s">
        <v>235</v>
      </c>
      <c r="H2795" t="s">
        <v>236</v>
      </c>
      <c r="I2795" t="s">
        <v>1086</v>
      </c>
      <c r="J2795" t="s">
        <v>1110</v>
      </c>
      <c r="L2795" s="15" t="s">
        <v>52</v>
      </c>
      <c r="M2795" t="s">
        <v>1138</v>
      </c>
      <c r="N2795">
        <v>3000</v>
      </c>
      <c r="P2795">
        <v>45596</v>
      </c>
      <c r="Q2795">
        <v>45597</v>
      </c>
      <c r="R2795" t="s">
        <v>1013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189915.88785046738</v>
      </c>
      <c r="AA2795">
        <v>0</v>
      </c>
      <c r="AB2795">
        <v>0</v>
      </c>
      <c r="AC2795">
        <v>189915.88785046738</v>
      </c>
      <c r="AD2795">
        <v>13294.112149532717</v>
      </c>
      <c r="AE2795">
        <v>203210.00000000009</v>
      </c>
      <c r="AF2795" t="s">
        <v>242</v>
      </c>
      <c r="AG2795">
        <v>10</v>
      </c>
      <c r="AH2795">
        <v>28000</v>
      </c>
      <c r="AI2795">
        <v>0</v>
      </c>
      <c r="AJ2795">
        <v>0</v>
      </c>
      <c r="AK2795">
        <v>1830.9243412682285</v>
      </c>
      <c r="AL2795" t="s">
        <v>58</v>
      </c>
    </row>
    <row r="2796" spans="1:38" x14ac:dyDescent="0.3">
      <c r="A2796" t="s">
        <v>798</v>
      </c>
      <c r="B2796">
        <v>4142300213</v>
      </c>
      <c r="C2796">
        <v>10081608</v>
      </c>
      <c r="D2796" t="s">
        <v>1112</v>
      </c>
      <c r="E2796" t="s">
        <v>1095</v>
      </c>
      <c r="F2796" t="s">
        <v>430</v>
      </c>
      <c r="G2796" t="s">
        <v>230</v>
      </c>
      <c r="H2796" t="s">
        <v>234</v>
      </c>
      <c r="I2796" t="s">
        <v>1086</v>
      </c>
      <c r="J2796" t="s">
        <v>1093</v>
      </c>
      <c r="L2796" s="15" t="s">
        <v>52</v>
      </c>
      <c r="M2796" t="s">
        <v>1138</v>
      </c>
      <c r="N2796">
        <v>3000</v>
      </c>
      <c r="P2796">
        <v>45596</v>
      </c>
      <c r="Q2796">
        <v>45597</v>
      </c>
      <c r="R2796" t="s">
        <v>1013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0</v>
      </c>
      <c r="AA2796">
        <v>0</v>
      </c>
      <c r="AB2796">
        <v>601983.35514018673</v>
      </c>
      <c r="AC2796">
        <v>601983.35514018673</v>
      </c>
      <c r="AD2796">
        <v>42138.834859813076</v>
      </c>
      <c r="AE2796">
        <v>644122.18999999983</v>
      </c>
      <c r="AF2796" t="s">
        <v>242</v>
      </c>
      <c r="AG2796">
        <v>5</v>
      </c>
      <c r="AH2796">
        <v>15000</v>
      </c>
      <c r="AI2796">
        <v>0</v>
      </c>
      <c r="AJ2796">
        <v>0</v>
      </c>
      <c r="AK2796">
        <v>981.3084112149545</v>
      </c>
      <c r="AL2796" t="s">
        <v>58</v>
      </c>
    </row>
    <row r="2797" spans="1:38" x14ac:dyDescent="0.3">
      <c r="A2797" t="s">
        <v>798</v>
      </c>
      <c r="B2797">
        <v>4302300046</v>
      </c>
      <c r="C2797">
        <v>901012034713</v>
      </c>
      <c r="D2797" t="s">
        <v>227</v>
      </c>
      <c r="E2797" t="s">
        <v>1089</v>
      </c>
      <c r="F2797" t="s">
        <v>433</v>
      </c>
      <c r="G2797" t="s">
        <v>82</v>
      </c>
      <c r="H2797" t="s">
        <v>83</v>
      </c>
      <c r="I2797" t="s">
        <v>1086</v>
      </c>
      <c r="J2797">
        <v>168</v>
      </c>
      <c r="L2797" s="15" t="s">
        <v>52</v>
      </c>
      <c r="M2797" t="s">
        <v>1138</v>
      </c>
      <c r="N2797">
        <v>3000</v>
      </c>
      <c r="P2797">
        <v>45596</v>
      </c>
      <c r="Q2797">
        <v>45597</v>
      </c>
      <c r="R2797" t="s">
        <v>1029</v>
      </c>
      <c r="S2797">
        <v>0</v>
      </c>
      <c r="T2797">
        <v>0</v>
      </c>
      <c r="U2797">
        <v>48686.766327717676</v>
      </c>
      <c r="V2797">
        <v>46050.97</v>
      </c>
      <c r="W2797">
        <v>86955.828291852667</v>
      </c>
      <c r="X2797">
        <v>0</v>
      </c>
      <c r="Y2797">
        <v>0</v>
      </c>
      <c r="Z2797">
        <v>750980.5</v>
      </c>
      <c r="AA2797">
        <v>0</v>
      </c>
      <c r="AB2797">
        <v>0</v>
      </c>
      <c r="AC2797">
        <v>932674.06461957027</v>
      </c>
      <c r="AD2797">
        <v>58655.542980429695</v>
      </c>
      <c r="AE2797">
        <v>991329.60759999999</v>
      </c>
      <c r="AF2797" t="s">
        <v>242</v>
      </c>
      <c r="AG2797">
        <v>14</v>
      </c>
      <c r="AH2797">
        <v>37300</v>
      </c>
      <c r="AI2797">
        <v>0</v>
      </c>
      <c r="AJ2797">
        <v>0</v>
      </c>
      <c r="AK2797">
        <v>2192.0046195703153</v>
      </c>
      <c r="AL2797" t="s">
        <v>58</v>
      </c>
    </row>
    <row r="2798" spans="1:38" x14ac:dyDescent="0.3">
      <c r="A2798" t="s">
        <v>798</v>
      </c>
      <c r="B2798">
        <v>52200024</v>
      </c>
      <c r="C2798">
        <v>25429489</v>
      </c>
      <c r="D2798" t="s">
        <v>769</v>
      </c>
      <c r="E2798" t="s">
        <v>1098</v>
      </c>
      <c r="F2798" t="s">
        <v>431</v>
      </c>
      <c r="G2798" t="s">
        <v>230</v>
      </c>
      <c r="H2798" t="s">
        <v>231</v>
      </c>
      <c r="I2798" t="s">
        <v>1086</v>
      </c>
      <c r="J2798" t="s">
        <v>1086</v>
      </c>
      <c r="L2798" s="15" t="s">
        <v>52</v>
      </c>
      <c r="M2798" t="s">
        <v>1138</v>
      </c>
      <c r="N2798">
        <v>3500</v>
      </c>
      <c r="P2798">
        <v>45596</v>
      </c>
      <c r="Q2798">
        <v>45597</v>
      </c>
      <c r="R2798" t="s">
        <v>1140</v>
      </c>
      <c r="S2798">
        <v>2139.4498099568541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122766.8693364889</v>
      </c>
      <c r="AB2798">
        <v>0</v>
      </c>
      <c r="AC2798">
        <v>124906.31914644576</v>
      </c>
      <c r="AD2798">
        <v>8593.6808535542241</v>
      </c>
      <c r="AE2798">
        <v>133500</v>
      </c>
      <c r="AF2798" t="s">
        <v>242</v>
      </c>
      <c r="AG2798">
        <v>9</v>
      </c>
      <c r="AH2798">
        <v>49500</v>
      </c>
      <c r="AI2798">
        <v>0</v>
      </c>
      <c r="AJ2798">
        <v>0</v>
      </c>
      <c r="AK2798">
        <v>3182.0200810252145</v>
      </c>
      <c r="AL2798" t="s">
        <v>58</v>
      </c>
    </row>
    <row r="2799" spans="1:38" x14ac:dyDescent="0.3">
      <c r="A2799" t="s">
        <v>798</v>
      </c>
      <c r="B2799">
        <v>4132300714</v>
      </c>
      <c r="C2799">
        <v>2080006643</v>
      </c>
      <c r="D2799" t="s">
        <v>1131</v>
      </c>
      <c r="E2799" t="s">
        <v>1090</v>
      </c>
      <c r="F2799" t="s">
        <v>430</v>
      </c>
      <c r="G2799" t="s">
        <v>238</v>
      </c>
      <c r="H2799" t="s">
        <v>236</v>
      </c>
      <c r="I2799" t="s">
        <v>1086</v>
      </c>
      <c r="J2799">
        <v>168</v>
      </c>
      <c r="L2799" s="15" t="s">
        <v>52</v>
      </c>
      <c r="M2799" t="s">
        <v>1138</v>
      </c>
      <c r="N2799">
        <v>3671</v>
      </c>
      <c r="P2799">
        <v>45596</v>
      </c>
      <c r="Q2799">
        <v>45597</v>
      </c>
      <c r="R2799" t="s">
        <v>1013</v>
      </c>
      <c r="S2799">
        <v>0</v>
      </c>
      <c r="T2799">
        <v>0</v>
      </c>
      <c r="U2799">
        <v>0</v>
      </c>
      <c r="V2799">
        <v>0</v>
      </c>
      <c r="W2799">
        <v>14568.700902698107</v>
      </c>
      <c r="X2799">
        <v>0</v>
      </c>
      <c r="Y2799">
        <v>0</v>
      </c>
      <c r="Z2799">
        <v>31243.544156997035</v>
      </c>
      <c r="AA2799">
        <v>0</v>
      </c>
      <c r="AB2799">
        <v>0</v>
      </c>
      <c r="AC2799">
        <v>45812.245059695138</v>
      </c>
      <c r="AD2799">
        <v>2187.0480909897929</v>
      </c>
      <c r="AE2799">
        <v>47999.293150684935</v>
      </c>
      <c r="AF2799" t="s">
        <v>242</v>
      </c>
      <c r="AG2799">
        <v>1</v>
      </c>
      <c r="AH2799">
        <v>3671</v>
      </c>
      <c r="AI2799">
        <v>0</v>
      </c>
      <c r="AJ2799">
        <v>0</v>
      </c>
      <c r="AK2799">
        <v>163.51265667375947</v>
      </c>
      <c r="AL2799" t="s">
        <v>72</v>
      </c>
    </row>
    <row r="2800" spans="1:38" x14ac:dyDescent="0.3">
      <c r="A2800" t="s">
        <v>798</v>
      </c>
      <c r="B2800">
        <v>4142300274</v>
      </c>
      <c r="C2800">
        <v>10118963</v>
      </c>
      <c r="D2800" t="s">
        <v>796</v>
      </c>
      <c r="E2800" t="s">
        <v>1095</v>
      </c>
      <c r="F2800" t="s">
        <v>430</v>
      </c>
      <c r="G2800" t="s">
        <v>230</v>
      </c>
      <c r="H2800" t="s">
        <v>234</v>
      </c>
      <c r="I2800" t="s">
        <v>1086</v>
      </c>
      <c r="J2800" t="s">
        <v>1086</v>
      </c>
      <c r="L2800" s="15" t="s">
        <v>52</v>
      </c>
      <c r="M2800" t="s">
        <v>1138</v>
      </c>
      <c r="N2800">
        <v>4000</v>
      </c>
      <c r="P2800">
        <v>45596</v>
      </c>
      <c r="Q2800">
        <v>45597</v>
      </c>
      <c r="R2800" t="s">
        <v>1013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457655.61682242987</v>
      </c>
      <c r="AC2800">
        <v>457655.61682242987</v>
      </c>
      <c r="AD2800">
        <v>32035.893177570095</v>
      </c>
      <c r="AE2800">
        <v>489691.50999999995</v>
      </c>
      <c r="AF2800" t="s">
        <v>242</v>
      </c>
      <c r="AG2800">
        <v>8</v>
      </c>
      <c r="AH2800">
        <v>33500</v>
      </c>
      <c r="AI2800">
        <v>0</v>
      </c>
      <c r="AJ2800">
        <v>0</v>
      </c>
      <c r="AK2800">
        <v>2191.5887850467288</v>
      </c>
      <c r="AL2800" t="s">
        <v>58</v>
      </c>
    </row>
    <row r="2801" spans="1:38" x14ac:dyDescent="0.3">
      <c r="A2801" t="s">
        <v>798</v>
      </c>
      <c r="B2801">
        <v>4142301414</v>
      </c>
      <c r="C2801">
        <v>10460887</v>
      </c>
      <c r="D2801" t="s">
        <v>787</v>
      </c>
      <c r="E2801" t="s">
        <v>1096</v>
      </c>
      <c r="F2801" t="s">
        <v>430</v>
      </c>
      <c r="G2801" t="s">
        <v>230</v>
      </c>
      <c r="H2801" t="s">
        <v>234</v>
      </c>
      <c r="I2801" t="s">
        <v>1086</v>
      </c>
      <c r="J2801" t="s">
        <v>1093</v>
      </c>
      <c r="L2801" s="15" t="s">
        <v>52</v>
      </c>
      <c r="M2801" t="s">
        <v>1138</v>
      </c>
      <c r="N2801">
        <v>4000</v>
      </c>
      <c r="P2801">
        <v>45596</v>
      </c>
      <c r="Q2801">
        <v>45597</v>
      </c>
      <c r="R2801" t="s">
        <v>1013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186727.7041351939</v>
      </c>
      <c r="AC2801">
        <v>186727.7041351939</v>
      </c>
      <c r="AD2801">
        <v>13070.939289463575</v>
      </c>
      <c r="AE2801">
        <v>199798.64342465746</v>
      </c>
      <c r="AF2801" t="s">
        <v>242</v>
      </c>
      <c r="AG2801">
        <v>5</v>
      </c>
      <c r="AH2801">
        <v>20000</v>
      </c>
      <c r="AI2801">
        <v>0</v>
      </c>
      <c r="AJ2801">
        <v>0</v>
      </c>
      <c r="AK2801">
        <v>1308.4112149532712</v>
      </c>
      <c r="AL2801" t="s">
        <v>58</v>
      </c>
    </row>
    <row r="2802" spans="1:38" x14ac:dyDescent="0.3">
      <c r="A2802" t="s">
        <v>798</v>
      </c>
      <c r="B2802">
        <v>42201150</v>
      </c>
      <c r="C2802">
        <v>2758020463</v>
      </c>
      <c r="D2802" t="s">
        <v>933</v>
      </c>
      <c r="E2802" t="s">
        <v>1097</v>
      </c>
      <c r="F2802" t="s">
        <v>430</v>
      </c>
      <c r="G2802" t="s">
        <v>230</v>
      </c>
      <c r="H2802" t="s">
        <v>234</v>
      </c>
      <c r="I2802" t="s">
        <v>1086</v>
      </c>
      <c r="J2802" t="s">
        <v>1093</v>
      </c>
      <c r="L2802" s="15" t="s">
        <v>52</v>
      </c>
      <c r="M2802" t="s">
        <v>1138</v>
      </c>
      <c r="N2802">
        <v>5000</v>
      </c>
      <c r="P2802">
        <v>45596</v>
      </c>
      <c r="Q2802">
        <v>45597</v>
      </c>
      <c r="R2802" t="s">
        <v>1029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>
        <v>224150.81308411231</v>
      </c>
      <c r="AC2802">
        <v>224150.81308411231</v>
      </c>
      <c r="AD2802">
        <v>15690.556915887862</v>
      </c>
      <c r="AE2802">
        <v>239841.37000000017</v>
      </c>
      <c r="AF2802" t="s">
        <v>242</v>
      </c>
      <c r="AG2802">
        <v>20</v>
      </c>
      <c r="AH2802">
        <v>175000</v>
      </c>
      <c r="AI2802">
        <v>0</v>
      </c>
      <c r="AJ2802">
        <v>0</v>
      </c>
      <c r="AK2802">
        <v>11448.598130841114</v>
      </c>
      <c r="AL2802" t="s">
        <v>58</v>
      </c>
    </row>
    <row r="2803" spans="1:38" x14ac:dyDescent="0.3">
      <c r="A2803" t="s">
        <v>798</v>
      </c>
      <c r="B2803">
        <v>4142300720</v>
      </c>
      <c r="C2803">
        <v>10326408</v>
      </c>
      <c r="D2803" t="s">
        <v>205</v>
      </c>
      <c r="E2803" t="s">
        <v>1095</v>
      </c>
      <c r="F2803" t="s">
        <v>430</v>
      </c>
      <c r="G2803" t="s">
        <v>230</v>
      </c>
      <c r="H2803" t="s">
        <v>234</v>
      </c>
      <c r="I2803" t="s">
        <v>1086</v>
      </c>
      <c r="J2803" t="s">
        <v>1086</v>
      </c>
      <c r="L2803" s="15" t="s">
        <v>52</v>
      </c>
      <c r="M2803" t="s">
        <v>1138</v>
      </c>
      <c r="N2803">
        <v>5000</v>
      </c>
      <c r="P2803">
        <v>45596</v>
      </c>
      <c r="Q2803">
        <v>45597</v>
      </c>
      <c r="R2803" t="s">
        <v>1013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459637.94392523367</v>
      </c>
      <c r="AC2803">
        <v>459637.94392523367</v>
      </c>
      <c r="AD2803">
        <v>32174.656074766361</v>
      </c>
      <c r="AE2803">
        <v>491812.60000000003</v>
      </c>
      <c r="AF2803" t="s">
        <v>242</v>
      </c>
      <c r="AG2803">
        <v>15</v>
      </c>
      <c r="AH2803">
        <v>75000</v>
      </c>
      <c r="AI2803">
        <v>0</v>
      </c>
      <c r="AJ2803">
        <v>0</v>
      </c>
      <c r="AK2803">
        <v>4906.5420560747634</v>
      </c>
      <c r="AL2803" t="s">
        <v>58</v>
      </c>
    </row>
    <row r="2804" spans="1:38" x14ac:dyDescent="0.3">
      <c r="A2804" t="s">
        <v>798</v>
      </c>
      <c r="B2804">
        <v>4322400028</v>
      </c>
      <c r="C2804" t="s">
        <v>1123</v>
      </c>
      <c r="D2804" t="s">
        <v>1132</v>
      </c>
      <c r="E2804" t="s">
        <v>1117</v>
      </c>
      <c r="F2804" t="s">
        <v>433</v>
      </c>
      <c r="G2804" t="s">
        <v>232</v>
      </c>
      <c r="H2804" t="s">
        <v>234</v>
      </c>
      <c r="I2804" t="s">
        <v>1086</v>
      </c>
      <c r="J2804" t="s">
        <v>1086</v>
      </c>
      <c r="L2804" s="15" t="s">
        <v>52</v>
      </c>
      <c r="M2804" t="s">
        <v>1138</v>
      </c>
      <c r="N2804">
        <v>5000</v>
      </c>
      <c r="P2804">
        <v>45596</v>
      </c>
      <c r="Q2804">
        <v>45597</v>
      </c>
      <c r="R2804" t="s">
        <v>1013</v>
      </c>
      <c r="S2804">
        <v>0</v>
      </c>
      <c r="T2804">
        <v>0</v>
      </c>
      <c r="U2804">
        <v>0</v>
      </c>
      <c r="V2804">
        <v>257934.06</v>
      </c>
      <c r="W2804">
        <v>0</v>
      </c>
      <c r="X2804">
        <v>0</v>
      </c>
      <c r="Y2804">
        <v>0</v>
      </c>
      <c r="Z2804">
        <v>884040.31775700906</v>
      </c>
      <c r="AA2804">
        <v>0</v>
      </c>
      <c r="AB2804">
        <v>0</v>
      </c>
      <c r="AC2804">
        <v>1141974.3777570091</v>
      </c>
      <c r="AD2804">
        <v>0</v>
      </c>
      <c r="AE2804">
        <v>1141974.3777570091</v>
      </c>
      <c r="AF2804" t="s">
        <v>242</v>
      </c>
      <c r="AG2804">
        <v>1</v>
      </c>
      <c r="AH2804">
        <v>5000</v>
      </c>
      <c r="AI2804">
        <v>0</v>
      </c>
      <c r="AJ2804">
        <v>0</v>
      </c>
      <c r="AK2804">
        <v>0</v>
      </c>
      <c r="AL2804" t="s">
        <v>72</v>
      </c>
    </row>
    <row r="2805" spans="1:38" x14ac:dyDescent="0.3">
      <c r="A2805" t="s">
        <v>798</v>
      </c>
      <c r="B2805">
        <v>4132300048</v>
      </c>
      <c r="C2805">
        <v>1011567335</v>
      </c>
      <c r="D2805" t="s">
        <v>1102</v>
      </c>
      <c r="E2805" t="s">
        <v>1090</v>
      </c>
      <c r="F2805" t="s">
        <v>430</v>
      </c>
      <c r="G2805" t="s">
        <v>235</v>
      </c>
      <c r="H2805" t="s">
        <v>236</v>
      </c>
      <c r="I2805" t="s">
        <v>1086</v>
      </c>
      <c r="J2805" t="s">
        <v>1091</v>
      </c>
      <c r="L2805" s="15" t="s">
        <v>52</v>
      </c>
      <c r="M2805" t="s">
        <v>1138</v>
      </c>
      <c r="N2805">
        <v>5000</v>
      </c>
      <c r="P2805">
        <v>45596</v>
      </c>
      <c r="Q2805">
        <v>45597</v>
      </c>
      <c r="R2805" t="s">
        <v>1013</v>
      </c>
      <c r="S2805">
        <v>0</v>
      </c>
      <c r="T2805">
        <v>0</v>
      </c>
      <c r="U2805">
        <v>0</v>
      </c>
      <c r="V2805">
        <v>0</v>
      </c>
      <c r="W2805">
        <v>284405.40089229838</v>
      </c>
      <c r="X2805">
        <v>0</v>
      </c>
      <c r="Y2805">
        <v>0</v>
      </c>
      <c r="Z2805">
        <v>495037.8406716453</v>
      </c>
      <c r="AA2805">
        <v>0</v>
      </c>
      <c r="AB2805">
        <v>0</v>
      </c>
      <c r="AC2805">
        <v>779443.24156394368</v>
      </c>
      <c r="AD2805">
        <v>34652.648847015174</v>
      </c>
      <c r="AE2805">
        <v>814095.89041095891</v>
      </c>
      <c r="AF2805" t="s">
        <v>242</v>
      </c>
      <c r="AG2805">
        <v>4</v>
      </c>
      <c r="AH2805">
        <v>32000</v>
      </c>
      <c r="AI2805">
        <v>0</v>
      </c>
      <c r="AJ2805">
        <v>0</v>
      </c>
      <c r="AK2805">
        <v>1328.6595641997812</v>
      </c>
      <c r="AL2805" t="s">
        <v>58</v>
      </c>
    </row>
    <row r="2806" spans="1:38" x14ac:dyDescent="0.3">
      <c r="A2806" t="s">
        <v>798</v>
      </c>
      <c r="B2806">
        <v>4142301290</v>
      </c>
      <c r="C2806">
        <v>10276970</v>
      </c>
      <c r="D2806" t="s">
        <v>751</v>
      </c>
      <c r="E2806" t="s">
        <v>1096</v>
      </c>
      <c r="F2806" t="s">
        <v>430</v>
      </c>
      <c r="G2806" t="s">
        <v>230</v>
      </c>
      <c r="H2806" t="s">
        <v>234</v>
      </c>
      <c r="I2806" t="s">
        <v>1086</v>
      </c>
      <c r="J2806" t="s">
        <v>1093</v>
      </c>
      <c r="L2806" s="15" t="s">
        <v>52</v>
      </c>
      <c r="M2806" t="s">
        <v>1138</v>
      </c>
      <c r="N2806">
        <v>5000</v>
      </c>
      <c r="P2806">
        <v>45596</v>
      </c>
      <c r="Q2806">
        <v>45597</v>
      </c>
      <c r="R2806" t="s">
        <v>1013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534658.4085981308</v>
      </c>
      <c r="AC2806">
        <v>534658.4085981308</v>
      </c>
      <c r="AD2806">
        <v>37426.08860186916</v>
      </c>
      <c r="AE2806">
        <v>572084.49719999998</v>
      </c>
      <c r="AF2806" t="s">
        <v>242</v>
      </c>
      <c r="AG2806">
        <v>6</v>
      </c>
      <c r="AH2806">
        <v>33500</v>
      </c>
      <c r="AI2806">
        <v>0</v>
      </c>
      <c r="AJ2806">
        <v>0</v>
      </c>
      <c r="AK2806">
        <v>2191.5887850467293</v>
      </c>
      <c r="AL2806" t="s">
        <v>58</v>
      </c>
    </row>
    <row r="2807" spans="1:38" x14ac:dyDescent="0.3">
      <c r="A2807" t="s">
        <v>798</v>
      </c>
      <c r="B2807">
        <v>4312400013</v>
      </c>
      <c r="C2807" t="s">
        <v>1124</v>
      </c>
      <c r="D2807" t="s">
        <v>1133</v>
      </c>
      <c r="E2807" t="s">
        <v>1117</v>
      </c>
      <c r="F2807" t="s">
        <v>433</v>
      </c>
      <c r="G2807" t="s">
        <v>82</v>
      </c>
      <c r="H2807" t="s">
        <v>71</v>
      </c>
      <c r="I2807" t="s">
        <v>1086</v>
      </c>
      <c r="J2807" t="s">
        <v>1086</v>
      </c>
      <c r="L2807" s="15" t="s">
        <v>52</v>
      </c>
      <c r="M2807" t="s">
        <v>1138</v>
      </c>
      <c r="N2807">
        <v>10000</v>
      </c>
      <c r="P2807">
        <v>45596</v>
      </c>
      <c r="Q2807">
        <v>45597</v>
      </c>
      <c r="R2807" t="s">
        <v>1141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600959.51401869161</v>
      </c>
      <c r="AC2807">
        <v>600959.51401869161</v>
      </c>
      <c r="AD2807">
        <v>42067.165981308419</v>
      </c>
      <c r="AE2807">
        <v>643026.68000000005</v>
      </c>
      <c r="AF2807" t="s">
        <v>242</v>
      </c>
      <c r="AG2807">
        <v>1</v>
      </c>
      <c r="AH2807">
        <v>10000</v>
      </c>
      <c r="AI2807">
        <v>0</v>
      </c>
      <c r="AJ2807">
        <v>0</v>
      </c>
      <c r="AK2807">
        <v>654.20560747663512</v>
      </c>
      <c r="AL2807" t="s">
        <v>72</v>
      </c>
    </row>
    <row r="2808" spans="1:38" x14ac:dyDescent="0.3">
      <c r="A2808" t="s">
        <v>798</v>
      </c>
      <c r="B2808">
        <v>4142300794</v>
      </c>
      <c r="C2808">
        <v>10379208</v>
      </c>
      <c r="D2808" t="s">
        <v>209</v>
      </c>
      <c r="E2808" t="s">
        <v>1095</v>
      </c>
      <c r="F2808" t="s">
        <v>430</v>
      </c>
      <c r="G2808" t="s">
        <v>230</v>
      </c>
      <c r="H2808" t="s">
        <v>234</v>
      </c>
      <c r="I2808" t="s">
        <v>1086</v>
      </c>
      <c r="J2808" t="s">
        <v>1086</v>
      </c>
      <c r="L2808" s="15" t="s">
        <v>52</v>
      </c>
      <c r="M2808" t="s">
        <v>1138</v>
      </c>
      <c r="N2808">
        <v>12000</v>
      </c>
      <c r="P2808">
        <v>45596</v>
      </c>
      <c r="Q2808">
        <v>45597</v>
      </c>
      <c r="R2808" t="s">
        <v>1013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328131.09345794364</v>
      </c>
      <c r="AC2808">
        <v>328131.09345794364</v>
      </c>
      <c r="AD2808">
        <v>22969.176542056059</v>
      </c>
      <c r="AE2808">
        <v>351100.26999999973</v>
      </c>
      <c r="AF2808" t="s">
        <v>242</v>
      </c>
      <c r="AG2808">
        <v>15</v>
      </c>
      <c r="AH2808">
        <v>197000</v>
      </c>
      <c r="AI2808">
        <v>0</v>
      </c>
      <c r="AJ2808">
        <v>0</v>
      </c>
      <c r="AK2808">
        <v>12887.850467289729</v>
      </c>
      <c r="AL2808" t="s">
        <v>58</v>
      </c>
    </row>
    <row r="2809" spans="1:38" x14ac:dyDescent="0.3">
      <c r="A2809" t="s">
        <v>798</v>
      </c>
      <c r="B2809">
        <v>4312300014</v>
      </c>
      <c r="C2809" t="s">
        <v>69</v>
      </c>
      <c r="D2809" t="s">
        <v>936</v>
      </c>
      <c r="E2809" t="s">
        <v>1116</v>
      </c>
      <c r="F2809" t="s">
        <v>433</v>
      </c>
      <c r="G2809" t="s">
        <v>82</v>
      </c>
      <c r="H2809" t="s">
        <v>71</v>
      </c>
      <c r="I2809" t="s">
        <v>1086</v>
      </c>
      <c r="J2809" t="s">
        <v>1086</v>
      </c>
      <c r="L2809" s="15" t="s">
        <v>52</v>
      </c>
      <c r="M2809" t="s">
        <v>1138</v>
      </c>
      <c r="N2809">
        <v>15000</v>
      </c>
      <c r="P2809">
        <v>45596</v>
      </c>
      <c r="Q2809">
        <v>45597</v>
      </c>
      <c r="R2809" t="s">
        <v>1013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1783732.9158878508</v>
      </c>
      <c r="AC2809">
        <v>1783732.9158878508</v>
      </c>
      <c r="AD2809">
        <v>124861.30411214956</v>
      </c>
      <c r="AE2809">
        <v>1908594.2200000004</v>
      </c>
      <c r="AF2809" t="s">
        <v>242</v>
      </c>
      <c r="AG2809">
        <v>10</v>
      </c>
      <c r="AH2809">
        <v>117500</v>
      </c>
      <c r="AI2809">
        <v>0</v>
      </c>
      <c r="AJ2809">
        <v>0</v>
      </c>
      <c r="AK2809">
        <v>7686.9158878504668</v>
      </c>
      <c r="AL2809" t="s">
        <v>58</v>
      </c>
    </row>
    <row r="2810" spans="1:38" x14ac:dyDescent="0.3">
      <c r="A2810" t="s">
        <v>798</v>
      </c>
      <c r="B2810">
        <v>4312300013</v>
      </c>
      <c r="C2810" t="s">
        <v>67</v>
      </c>
      <c r="D2810" t="s">
        <v>936</v>
      </c>
      <c r="E2810" t="s">
        <v>1116</v>
      </c>
      <c r="F2810" t="s">
        <v>433</v>
      </c>
      <c r="G2810" t="s">
        <v>82</v>
      </c>
      <c r="H2810" t="s">
        <v>71</v>
      </c>
      <c r="I2810" t="s">
        <v>1086</v>
      </c>
      <c r="J2810" t="s">
        <v>1086</v>
      </c>
      <c r="L2810" s="15" t="s">
        <v>52</v>
      </c>
      <c r="M2810" t="s">
        <v>1138</v>
      </c>
      <c r="N2810">
        <v>15000</v>
      </c>
      <c r="P2810">
        <v>45596</v>
      </c>
      <c r="Q2810">
        <v>45597</v>
      </c>
      <c r="R2810" t="s">
        <v>1013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1758749.8224299068</v>
      </c>
      <c r="AC2810">
        <v>1758749.8224299068</v>
      </c>
      <c r="AD2810">
        <v>123112.48757009349</v>
      </c>
      <c r="AE2810">
        <v>1881862.3100000003</v>
      </c>
      <c r="AF2810" t="s">
        <v>242</v>
      </c>
      <c r="AG2810">
        <v>10</v>
      </c>
      <c r="AH2810">
        <v>117500</v>
      </c>
      <c r="AI2810">
        <v>0</v>
      </c>
      <c r="AJ2810">
        <v>0</v>
      </c>
      <c r="AK2810">
        <v>7686.9158878504668</v>
      </c>
      <c r="AL2810" t="s">
        <v>58</v>
      </c>
    </row>
    <row r="2811" spans="1:38" x14ac:dyDescent="0.3">
      <c r="A2811" t="s">
        <v>798</v>
      </c>
      <c r="B2811">
        <v>4312300011</v>
      </c>
      <c r="C2811" t="s">
        <v>70</v>
      </c>
      <c r="D2811" t="s">
        <v>935</v>
      </c>
      <c r="E2811" t="s">
        <v>1116</v>
      </c>
      <c r="F2811" t="s">
        <v>433</v>
      </c>
      <c r="G2811" t="s">
        <v>82</v>
      </c>
      <c r="H2811" t="s">
        <v>71</v>
      </c>
      <c r="I2811" t="s">
        <v>1086</v>
      </c>
      <c r="J2811" t="s">
        <v>1086</v>
      </c>
      <c r="L2811" s="15" t="s">
        <v>52</v>
      </c>
      <c r="M2811" t="s">
        <v>1138</v>
      </c>
      <c r="N2811">
        <v>20000</v>
      </c>
      <c r="P2811">
        <v>45596</v>
      </c>
      <c r="Q2811">
        <v>45597</v>
      </c>
      <c r="R2811" t="s">
        <v>1029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129451.40186915886</v>
      </c>
      <c r="AC2811">
        <v>129451.40186915886</v>
      </c>
      <c r="AD2811">
        <v>9061.598130841121</v>
      </c>
      <c r="AE2811">
        <v>138512.99999999997</v>
      </c>
      <c r="AF2811" t="s">
        <v>242</v>
      </c>
      <c r="AG2811">
        <v>12</v>
      </c>
      <c r="AH2811">
        <v>253000</v>
      </c>
      <c r="AI2811">
        <v>0</v>
      </c>
      <c r="AJ2811">
        <v>0</v>
      </c>
      <c r="AK2811">
        <v>16551.401869158872</v>
      </c>
      <c r="AL2811" t="s">
        <v>58</v>
      </c>
    </row>
    <row r="2812" spans="1:38" x14ac:dyDescent="0.3">
      <c r="A2812" t="s">
        <v>798</v>
      </c>
      <c r="B2812">
        <v>4312300003</v>
      </c>
      <c r="C2812" t="s">
        <v>63</v>
      </c>
      <c r="D2812" t="s">
        <v>935</v>
      </c>
      <c r="E2812" t="s">
        <v>1116</v>
      </c>
      <c r="F2812" t="s">
        <v>433</v>
      </c>
      <c r="G2812" t="s">
        <v>82</v>
      </c>
      <c r="H2812" t="s">
        <v>71</v>
      </c>
      <c r="I2812" t="s">
        <v>1086</v>
      </c>
      <c r="J2812" t="s">
        <v>1086</v>
      </c>
      <c r="L2812" s="15" t="s">
        <v>52</v>
      </c>
      <c r="M2812" t="s">
        <v>1138</v>
      </c>
      <c r="N2812">
        <v>20000</v>
      </c>
      <c r="P2812">
        <v>45596</v>
      </c>
      <c r="Q2812">
        <v>45597</v>
      </c>
      <c r="R2812" t="s">
        <v>1029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0</v>
      </c>
      <c r="AA2812">
        <v>0</v>
      </c>
      <c r="AB2812">
        <v>99181.467289719614</v>
      </c>
      <c r="AC2812">
        <v>99181.467289719614</v>
      </c>
      <c r="AD2812">
        <v>6942.702710280374</v>
      </c>
      <c r="AE2812">
        <v>106124.16999999998</v>
      </c>
      <c r="AF2812" t="s">
        <v>242</v>
      </c>
      <c r="AG2812">
        <v>11</v>
      </c>
      <c r="AH2812">
        <v>220000</v>
      </c>
      <c r="AI2812">
        <v>0</v>
      </c>
      <c r="AJ2812">
        <v>0</v>
      </c>
      <c r="AK2812">
        <v>14392.523364485973</v>
      </c>
      <c r="AL2812" t="s">
        <v>58</v>
      </c>
    </row>
    <row r="2813" spans="1:38" x14ac:dyDescent="0.3">
      <c r="A2813" t="s">
        <v>798</v>
      </c>
      <c r="B2813">
        <v>4312300012</v>
      </c>
      <c r="C2813" t="s">
        <v>61</v>
      </c>
      <c r="D2813" t="s">
        <v>963</v>
      </c>
      <c r="E2813" t="s">
        <v>1116</v>
      </c>
      <c r="F2813" t="s">
        <v>433</v>
      </c>
      <c r="G2813" t="s">
        <v>82</v>
      </c>
      <c r="H2813" t="s">
        <v>71</v>
      </c>
      <c r="I2813" t="s">
        <v>1086</v>
      </c>
      <c r="J2813" t="s">
        <v>1086</v>
      </c>
      <c r="L2813" s="15" t="s">
        <v>52</v>
      </c>
      <c r="M2813" t="s">
        <v>1138</v>
      </c>
      <c r="N2813">
        <v>25000</v>
      </c>
      <c r="P2813">
        <v>45596</v>
      </c>
      <c r="Q2813">
        <v>45597</v>
      </c>
      <c r="R2813" t="s">
        <v>1029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0</v>
      </c>
      <c r="AA2813">
        <v>0</v>
      </c>
      <c r="AB2813">
        <v>1455051.6635514023</v>
      </c>
      <c r="AC2813">
        <v>1455051.6635514023</v>
      </c>
      <c r="AD2813">
        <v>101853.61644859817</v>
      </c>
      <c r="AE2813">
        <v>1556905.2800000005</v>
      </c>
      <c r="AF2813" t="s">
        <v>242</v>
      </c>
      <c r="AG2813">
        <v>26</v>
      </c>
      <c r="AH2813">
        <v>555165</v>
      </c>
      <c r="AI2813">
        <v>0</v>
      </c>
      <c r="AJ2813">
        <v>0</v>
      </c>
      <c r="AK2813">
        <v>36319.205607476637</v>
      </c>
      <c r="AL2813" t="s">
        <v>58</v>
      </c>
    </row>
    <row r="2814" spans="1:38" x14ac:dyDescent="0.3">
      <c r="A2814" t="s">
        <v>798</v>
      </c>
      <c r="B2814">
        <v>4312400032</v>
      </c>
      <c r="C2814" t="s">
        <v>1125</v>
      </c>
      <c r="D2814" t="s">
        <v>1134</v>
      </c>
      <c r="E2814" t="s">
        <v>1117</v>
      </c>
      <c r="F2814" t="s">
        <v>433</v>
      </c>
      <c r="G2814" t="s">
        <v>82</v>
      </c>
      <c r="H2814" t="s">
        <v>71</v>
      </c>
      <c r="I2814" t="s">
        <v>1086</v>
      </c>
      <c r="J2814" t="s">
        <v>1086</v>
      </c>
      <c r="L2814" s="15" t="s">
        <v>52</v>
      </c>
      <c r="M2814" t="s">
        <v>1138</v>
      </c>
      <c r="N2814">
        <v>35840</v>
      </c>
      <c r="P2814">
        <v>45596</v>
      </c>
      <c r="Q2814">
        <v>45597</v>
      </c>
      <c r="R2814" t="s">
        <v>1013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100484.67289719626</v>
      </c>
      <c r="AC2814">
        <v>100484.67289719626</v>
      </c>
      <c r="AD2814">
        <v>7033.9271028037383</v>
      </c>
      <c r="AE2814">
        <v>107518.59999999999</v>
      </c>
      <c r="AF2814" t="s">
        <v>242</v>
      </c>
      <c r="AG2814">
        <v>1</v>
      </c>
      <c r="AH2814">
        <v>35840</v>
      </c>
      <c r="AI2814">
        <v>0</v>
      </c>
      <c r="AJ2814">
        <v>0</v>
      </c>
      <c r="AK2814">
        <v>2344.6728971962584</v>
      </c>
      <c r="AL2814" t="s">
        <v>72</v>
      </c>
    </row>
    <row r="2815" spans="1:38" x14ac:dyDescent="0.3">
      <c r="A2815" t="s">
        <v>798</v>
      </c>
      <c r="B2815">
        <v>4132302125</v>
      </c>
      <c r="C2815">
        <v>106524</v>
      </c>
      <c r="D2815" t="s">
        <v>1108</v>
      </c>
      <c r="E2815" t="s">
        <v>1107</v>
      </c>
      <c r="F2815" t="s">
        <v>430</v>
      </c>
      <c r="G2815" t="s">
        <v>230</v>
      </c>
      <c r="H2815" t="s">
        <v>231</v>
      </c>
      <c r="I2815" t="s">
        <v>1086</v>
      </c>
      <c r="J2815" t="s">
        <v>1093</v>
      </c>
      <c r="L2815" s="15" t="s">
        <v>52</v>
      </c>
      <c r="M2815" t="s">
        <v>1138</v>
      </c>
      <c r="N2815">
        <v>40000</v>
      </c>
      <c r="P2815">
        <v>45596</v>
      </c>
      <c r="Q2815">
        <v>45597</v>
      </c>
      <c r="R2815" t="s">
        <v>1142</v>
      </c>
      <c r="S2815">
        <v>0</v>
      </c>
      <c r="T2815">
        <v>9198.7978599651269</v>
      </c>
      <c r="U2815">
        <v>0</v>
      </c>
      <c r="V2815">
        <v>0</v>
      </c>
      <c r="W2815">
        <v>0</v>
      </c>
      <c r="X2815">
        <v>0</v>
      </c>
      <c r="Y2815">
        <v>89624.487981341008</v>
      </c>
      <c r="Z2815">
        <v>0</v>
      </c>
      <c r="AA2815">
        <v>327102.80373831774</v>
      </c>
      <c r="AB2815">
        <v>0</v>
      </c>
      <c r="AC2815">
        <v>425926.08957962389</v>
      </c>
      <c r="AD2815">
        <v>29170.910420376116</v>
      </c>
      <c r="AE2815">
        <v>455097</v>
      </c>
      <c r="AF2815" t="s">
        <v>242</v>
      </c>
      <c r="AG2815">
        <v>3</v>
      </c>
      <c r="AH2815">
        <v>140000</v>
      </c>
      <c r="AI2815">
        <v>0</v>
      </c>
      <c r="AJ2815">
        <v>0</v>
      </c>
      <c r="AK2815">
        <v>8958.4166824276253</v>
      </c>
      <c r="AL2815" t="s">
        <v>58</v>
      </c>
    </row>
    <row r="2816" spans="1:38" x14ac:dyDescent="0.3">
      <c r="A2816" t="s">
        <v>798</v>
      </c>
      <c r="B2816">
        <v>4312400031</v>
      </c>
      <c r="C2816" t="s">
        <v>1126</v>
      </c>
      <c r="D2816" t="s">
        <v>1134</v>
      </c>
      <c r="E2816" t="s">
        <v>1117</v>
      </c>
      <c r="F2816" t="s">
        <v>433</v>
      </c>
      <c r="G2816" t="s">
        <v>82</v>
      </c>
      <c r="H2816" t="s">
        <v>71</v>
      </c>
      <c r="I2816" t="s">
        <v>1086</v>
      </c>
      <c r="J2816" t="s">
        <v>1086</v>
      </c>
      <c r="L2816" s="15" t="s">
        <v>52</v>
      </c>
      <c r="M2816" t="s">
        <v>1138</v>
      </c>
      <c r="N2816">
        <v>59636</v>
      </c>
      <c r="P2816">
        <v>45596</v>
      </c>
      <c r="Q2816">
        <v>45597</v>
      </c>
      <c r="R2816" t="s">
        <v>1013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55735.420560747662</v>
      </c>
      <c r="AC2816">
        <v>55735.420560747662</v>
      </c>
      <c r="AD2816">
        <v>3901.4794392523368</v>
      </c>
      <c r="AE2816">
        <v>59636.9</v>
      </c>
      <c r="AF2816" t="s">
        <v>242</v>
      </c>
      <c r="AG2816">
        <v>1</v>
      </c>
      <c r="AH2816">
        <v>59636</v>
      </c>
      <c r="AI2816">
        <v>0</v>
      </c>
      <c r="AJ2816">
        <v>0</v>
      </c>
      <c r="AK2816">
        <v>3901.4205607476615</v>
      </c>
      <c r="AL2816" t="s">
        <v>72</v>
      </c>
    </row>
    <row r="2817" spans="1:38" x14ac:dyDescent="0.3">
      <c r="A2817" t="s">
        <v>798</v>
      </c>
      <c r="B2817">
        <v>4132302125</v>
      </c>
      <c r="C2817">
        <v>106524</v>
      </c>
      <c r="D2817" t="s">
        <v>1108</v>
      </c>
      <c r="E2817" t="s">
        <v>1107</v>
      </c>
      <c r="F2817" t="s">
        <v>430</v>
      </c>
      <c r="G2817" t="s">
        <v>230</v>
      </c>
      <c r="H2817" t="s">
        <v>231</v>
      </c>
      <c r="I2817" t="s">
        <v>1086</v>
      </c>
      <c r="J2817" t="s">
        <v>1093</v>
      </c>
      <c r="L2817" s="15" t="s">
        <v>52</v>
      </c>
      <c r="M2817" t="s">
        <v>1138</v>
      </c>
      <c r="N2817">
        <v>60000</v>
      </c>
      <c r="P2817">
        <v>45596</v>
      </c>
      <c r="Q2817">
        <v>45597</v>
      </c>
      <c r="R2817" t="s">
        <v>1142</v>
      </c>
      <c r="S2817">
        <v>0</v>
      </c>
      <c r="T2817">
        <v>7902.9677028065344</v>
      </c>
      <c r="U2817">
        <v>0</v>
      </c>
      <c r="V2817">
        <v>0</v>
      </c>
      <c r="W2817">
        <v>0</v>
      </c>
      <c r="X2817">
        <v>0</v>
      </c>
      <c r="Y2817">
        <v>34760.777847844365</v>
      </c>
      <c r="Z2817">
        <v>0</v>
      </c>
      <c r="AA2817">
        <v>327102.80373831774</v>
      </c>
      <c r="AB2817">
        <v>0</v>
      </c>
      <c r="AC2817">
        <v>369766.54928896867</v>
      </c>
      <c r="AD2817">
        <v>25330.45071103135</v>
      </c>
      <c r="AE2817">
        <v>395097</v>
      </c>
      <c r="AF2817" t="s">
        <v>242</v>
      </c>
      <c r="AG2817">
        <v>4</v>
      </c>
      <c r="AH2817">
        <v>200000</v>
      </c>
      <c r="AI2817">
        <v>0</v>
      </c>
      <c r="AJ2817">
        <v>0</v>
      </c>
      <c r="AK2817">
        <v>12798.876391772392</v>
      </c>
      <c r="AL2817" t="s">
        <v>58</v>
      </c>
    </row>
    <row r="2818" spans="1:38" x14ac:dyDescent="0.3">
      <c r="A2818" t="s">
        <v>798</v>
      </c>
      <c r="B2818">
        <v>4142300430</v>
      </c>
      <c r="C2818">
        <v>10182660</v>
      </c>
      <c r="D2818" t="s">
        <v>1135</v>
      </c>
      <c r="E2818" t="s">
        <v>1095</v>
      </c>
      <c r="F2818" t="s">
        <v>430</v>
      </c>
      <c r="G2818" t="s">
        <v>237</v>
      </c>
      <c r="H2818" t="s">
        <v>234</v>
      </c>
      <c r="I2818" t="s">
        <v>1099</v>
      </c>
      <c r="J2818" t="s">
        <v>1099</v>
      </c>
      <c r="L2818" s="15" t="s">
        <v>416</v>
      </c>
      <c r="M2818" t="s">
        <v>1099</v>
      </c>
      <c r="N2818">
        <v>0.29943080049890908</v>
      </c>
      <c r="P2818">
        <v>45595</v>
      </c>
      <c r="Q2818">
        <v>45595</v>
      </c>
      <c r="R2818" t="s">
        <v>1016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>
        <v>75700.934579439258</v>
      </c>
      <c r="AC2818">
        <v>75700.934579439258</v>
      </c>
      <c r="AD2818">
        <v>5299.0654205607489</v>
      </c>
      <c r="AE2818">
        <v>81000</v>
      </c>
      <c r="AF2818" t="s">
        <v>242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 t="s">
        <v>72</v>
      </c>
    </row>
    <row r="2819" spans="1:38" x14ac:dyDescent="0.3">
      <c r="A2819" t="s">
        <v>798</v>
      </c>
      <c r="B2819">
        <v>4142300430</v>
      </c>
      <c r="C2819">
        <v>10182660</v>
      </c>
      <c r="D2819" t="s">
        <v>1135</v>
      </c>
      <c r="E2819" t="s">
        <v>1095</v>
      </c>
      <c r="F2819" t="s">
        <v>430</v>
      </c>
      <c r="G2819" t="s">
        <v>422</v>
      </c>
      <c r="H2819" t="s">
        <v>234</v>
      </c>
      <c r="I2819" t="s">
        <v>1086</v>
      </c>
      <c r="J2819" t="s">
        <v>1092</v>
      </c>
      <c r="L2819" s="15" t="s">
        <v>52</v>
      </c>
      <c r="M2819" t="s">
        <v>1138</v>
      </c>
      <c r="N2819">
        <v>81000</v>
      </c>
      <c r="P2819">
        <v>45596</v>
      </c>
      <c r="Q2819">
        <v>45597</v>
      </c>
      <c r="R2819" t="s">
        <v>1018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 t="s">
        <v>242</v>
      </c>
      <c r="AG2819">
        <v>1</v>
      </c>
      <c r="AH2819">
        <v>81000</v>
      </c>
      <c r="AI2819">
        <v>0</v>
      </c>
      <c r="AJ2819">
        <v>0</v>
      </c>
      <c r="AK2819">
        <v>5299.0654205607425</v>
      </c>
      <c r="AL2819" t="s">
        <v>58</v>
      </c>
    </row>
    <row r="2820" spans="1:38" x14ac:dyDescent="0.3">
      <c r="A2820" t="s">
        <v>798</v>
      </c>
      <c r="B2820">
        <v>4312400020</v>
      </c>
      <c r="C2820" t="s">
        <v>1118</v>
      </c>
      <c r="D2820" t="s">
        <v>1119</v>
      </c>
      <c r="E2820" t="s">
        <v>1117</v>
      </c>
      <c r="F2820" t="s">
        <v>433</v>
      </c>
      <c r="G2820" t="s">
        <v>82</v>
      </c>
      <c r="H2820" t="s">
        <v>71</v>
      </c>
      <c r="I2820" t="s">
        <v>1086</v>
      </c>
      <c r="J2820" t="s">
        <v>1086</v>
      </c>
      <c r="L2820" s="15" t="s">
        <v>52</v>
      </c>
      <c r="M2820" t="s">
        <v>1138</v>
      </c>
      <c r="N2820">
        <v>150000</v>
      </c>
      <c r="P2820">
        <v>45596</v>
      </c>
      <c r="Q2820">
        <v>45597</v>
      </c>
      <c r="R2820" t="s">
        <v>1013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183517.19626168226</v>
      </c>
      <c r="AC2820">
        <v>183517.19626168226</v>
      </c>
      <c r="AD2820">
        <v>12846.203738317759</v>
      </c>
      <c r="AE2820">
        <v>196363.40000000002</v>
      </c>
      <c r="AF2820" t="s">
        <v>242</v>
      </c>
      <c r="AG2820">
        <v>2</v>
      </c>
      <c r="AH2820">
        <v>350000</v>
      </c>
      <c r="AI2820">
        <v>0</v>
      </c>
      <c r="AJ2820">
        <v>0</v>
      </c>
      <c r="AK2820">
        <v>22897.196261682257</v>
      </c>
      <c r="AL2820" t="s">
        <v>58</v>
      </c>
    </row>
    <row r="2821" spans="1:38" x14ac:dyDescent="0.3">
      <c r="A2821" t="s">
        <v>798</v>
      </c>
      <c r="B2821">
        <v>42201135</v>
      </c>
      <c r="C2821">
        <v>2758017349</v>
      </c>
      <c r="D2821" t="s">
        <v>1115</v>
      </c>
      <c r="E2821" t="s">
        <v>1097</v>
      </c>
      <c r="F2821" t="s">
        <v>430</v>
      </c>
      <c r="G2821" t="s">
        <v>230</v>
      </c>
      <c r="H2821" t="s">
        <v>234</v>
      </c>
      <c r="I2821" t="s">
        <v>1086</v>
      </c>
      <c r="J2821" t="s">
        <v>1091</v>
      </c>
      <c r="L2821" s="15" t="s">
        <v>52</v>
      </c>
      <c r="M2821" t="s">
        <v>1138</v>
      </c>
      <c r="N2821">
        <v>2000</v>
      </c>
      <c r="P2821">
        <v>45596</v>
      </c>
      <c r="Q2821">
        <v>45597</v>
      </c>
      <c r="R2821" t="s">
        <v>1013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494762.46728971973</v>
      </c>
      <c r="AC2821">
        <v>494762.46728971973</v>
      </c>
      <c r="AD2821">
        <v>34633.372710280382</v>
      </c>
      <c r="AE2821">
        <v>529395.84000000008</v>
      </c>
      <c r="AF2821" t="s">
        <v>242</v>
      </c>
      <c r="AG2821">
        <v>5</v>
      </c>
      <c r="AH2821">
        <v>10000</v>
      </c>
      <c r="AI2821">
        <v>0</v>
      </c>
      <c r="AJ2821">
        <v>0</v>
      </c>
      <c r="AK2821">
        <v>654.20560747663558</v>
      </c>
      <c r="AL2821" t="s">
        <v>58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Hold_Cutting</vt:lpstr>
      <vt:lpstr>Complete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Paramut Chanthakan (Alpha)</dc:creator>
  <cp:lastModifiedBy>Paramut Chanthakan (Alpha)</cp:lastModifiedBy>
  <dcterms:created xsi:type="dcterms:W3CDTF">2024-01-25T09:50:25Z</dcterms:created>
  <dcterms:modified xsi:type="dcterms:W3CDTF">2025-07-14T06:49:21Z</dcterms:modified>
</cp:coreProperties>
</file>